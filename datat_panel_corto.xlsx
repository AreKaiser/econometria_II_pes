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lexp\github\econometria_II_pes\"/>
    </mc:Choice>
  </mc:AlternateContent>
  <xr:revisionPtr revIDLastSave="0" documentId="13_ncr:1_{9D0FB39A-BA7B-4073-A363-A71660698E79}" xr6:coauthVersionLast="47" xr6:coauthVersionMax="47" xr10:uidLastSave="{00000000-0000-0000-0000-000000000000}"/>
  <bookViews>
    <workbookView xWindow="-108" yWindow="-108" windowWidth="23256" windowHeight="12456" xr2:uid="{57E2B3DF-2554-444A-B470-C3C0C78E412D}"/>
  </bookViews>
  <sheets>
    <sheet name="data_2015-2020" sheetId="1" r:id="rId1"/>
    <sheet name="Sheet2" sheetId="3" r:id="rId2"/>
    <sheet name="Sheet1" sheetId="2" r:id="rId3"/>
  </sheets>
  <definedNames>
    <definedName name="_xlnm._FilterDatabase" localSheetId="0">'data_2015-2020'!$A$1:$E$1111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1111" i="1"/>
  <c r="M1110" i="1"/>
  <c r="M1109" i="1"/>
  <c r="M1108" i="1"/>
  <c r="M1107" i="1"/>
  <c r="M1106" i="1"/>
  <c r="M1105" i="1"/>
  <c r="M1104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1" i="1"/>
  <c r="M1080" i="1"/>
  <c r="M1079" i="1"/>
  <c r="M1078" i="1"/>
  <c r="M1077" i="1"/>
  <c r="M1076" i="1"/>
  <c r="M1075" i="1"/>
  <c r="M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<sst xmlns="http://schemas.openxmlformats.org/spreadsheetml/2006/main" count="11486" uniqueCount="413">
  <si>
    <t>country</t>
  </si>
  <si>
    <t>currency_unit</t>
  </si>
  <si>
    <t>year</t>
  </si>
  <si>
    <t>pop</t>
  </si>
  <si>
    <t>emp</t>
  </si>
  <si>
    <t>avh</t>
  </si>
  <si>
    <t>hc</t>
  </si>
  <si>
    <t>ccon</t>
  </si>
  <si>
    <t>cda</t>
  </si>
  <si>
    <t>cgdpe</t>
  </si>
  <si>
    <t>cgdpo</t>
  </si>
  <si>
    <t>cn</t>
  </si>
  <si>
    <t>ck</t>
  </si>
  <si>
    <t>ctfp</t>
  </si>
  <si>
    <t>cwtfp</t>
  </si>
  <si>
    <t>rgdpna</t>
  </si>
  <si>
    <t>rconna</t>
  </si>
  <si>
    <t>rdana</t>
  </si>
  <si>
    <t>rnna</t>
  </si>
  <si>
    <t>rkna</t>
  </si>
  <si>
    <t>rtfpna</t>
  </si>
  <si>
    <t>rwtfpna</t>
  </si>
  <si>
    <t>labsh</t>
  </si>
  <si>
    <t>irr</t>
  </si>
  <si>
    <t>delta</t>
  </si>
  <si>
    <t>xr</t>
  </si>
  <si>
    <t>pl_con</t>
  </si>
  <si>
    <t>pl_da</t>
  </si>
  <si>
    <t>pl_gdpo</t>
  </si>
  <si>
    <t>i_cig</t>
  </si>
  <si>
    <t>i_xm</t>
  </si>
  <si>
    <t>i_xr</t>
  </si>
  <si>
    <t>i_outlier</t>
  </si>
  <si>
    <t>i_irr</t>
  </si>
  <si>
    <t>cor_exp</t>
  </si>
  <si>
    <t>csh_c</t>
  </si>
  <si>
    <t>csh_i</t>
  </si>
  <si>
    <t>csh_g</t>
  </si>
  <si>
    <t>csh_x</t>
  </si>
  <si>
    <t>csh_m</t>
  </si>
  <si>
    <t>csh_r</t>
  </si>
  <si>
    <t>pl_c</t>
  </si>
  <si>
    <t>pl_i</t>
  </si>
  <si>
    <t>pl_g</t>
  </si>
  <si>
    <t>pl_x</t>
  </si>
  <si>
    <t>pl_m</t>
  </si>
  <si>
    <t>pl_n</t>
  </si>
  <si>
    <t>pl_k</t>
  </si>
  <si>
    <t>Aruba</t>
  </si>
  <si>
    <t>Aruban Guilder</t>
  </si>
  <si>
    <t>ICP PPP timeseries: benchmark or interpolated</t>
  </si>
  <si>
    <t>Benchmark</t>
  </si>
  <si>
    <t>Market-based</t>
  </si>
  <si>
    <t>Regular</t>
  </si>
  <si>
    <t>Extrapolated</t>
  </si>
  <si>
    <t>Angola</t>
  </si>
  <si>
    <t>Kwanza</t>
  </si>
  <si>
    <t>Anguilla</t>
  </si>
  <si>
    <t>East Caribbean Dollar</t>
  </si>
  <si>
    <t>Albania</t>
  </si>
  <si>
    <t>Lek</t>
  </si>
  <si>
    <t>Lower bound</t>
  </si>
  <si>
    <t>Outlier</t>
  </si>
  <si>
    <t>United Arab Emirates</t>
  </si>
  <si>
    <t>UAE Dirham</t>
  </si>
  <si>
    <t>Argentina</t>
  </si>
  <si>
    <t>Argentine Peso</t>
  </si>
  <si>
    <t>ICP PPP timeseries: extrapolated</t>
  </si>
  <si>
    <t>Armenia</t>
  </si>
  <si>
    <t>Armenian Dram</t>
  </si>
  <si>
    <t>Antigua and Barbuda</t>
  </si>
  <si>
    <t>Australia</t>
  </si>
  <si>
    <t>Australian Dollar</t>
  </si>
  <si>
    <t>Austria</t>
  </si>
  <si>
    <t>Euro</t>
  </si>
  <si>
    <t>Azerbaijan</t>
  </si>
  <si>
    <t>Azerbaijanian Manat</t>
  </si>
  <si>
    <t>Burundi</t>
  </si>
  <si>
    <t>Burundi Franc</t>
  </si>
  <si>
    <t>Low capital share</t>
  </si>
  <si>
    <t>Belgium</t>
  </si>
  <si>
    <t>Benin</t>
  </si>
  <si>
    <t>CFA Franc BCEAO</t>
  </si>
  <si>
    <t>Burkina Faso</t>
  </si>
  <si>
    <t>Bangladesh</t>
  </si>
  <si>
    <t>Taka</t>
  </si>
  <si>
    <t>Bulgaria</t>
  </si>
  <si>
    <t>Bulgarian Lev</t>
  </si>
  <si>
    <t>Bahrain</t>
  </si>
  <si>
    <t>Bahraini Dinar</t>
  </si>
  <si>
    <t>Bahamas</t>
  </si>
  <si>
    <t>Bahamian Dollar</t>
  </si>
  <si>
    <t>Bosnia and Herzegovina</t>
  </si>
  <si>
    <t>Convertible Marks</t>
  </si>
  <si>
    <t>Belarus</t>
  </si>
  <si>
    <t>Belarussian Ruble</t>
  </si>
  <si>
    <t>Belize</t>
  </si>
  <si>
    <t>Belize Dollar</t>
  </si>
  <si>
    <t>Bermuda</t>
  </si>
  <si>
    <t>Bermudian Dollar</t>
  </si>
  <si>
    <t>Bolivia (Plurinational State of)</t>
  </si>
  <si>
    <t>Boliviano</t>
  </si>
  <si>
    <t>Brazil</t>
  </si>
  <si>
    <t>Brazilian Real</t>
  </si>
  <si>
    <t>Barbados</t>
  </si>
  <si>
    <t>Barbados Dollar</t>
  </si>
  <si>
    <t>Brunei Darussalam</t>
  </si>
  <si>
    <t>Brunei Dollar</t>
  </si>
  <si>
    <t>Bhutan</t>
  </si>
  <si>
    <t>Ngultrum</t>
  </si>
  <si>
    <t>Botswana</t>
  </si>
  <si>
    <t>Pula</t>
  </si>
  <si>
    <t>Central African Republic</t>
  </si>
  <si>
    <t>CFA Franc BEAC</t>
  </si>
  <si>
    <t>Canada</t>
  </si>
  <si>
    <t>Canadian Dollar</t>
  </si>
  <si>
    <t>Switzerland</t>
  </si>
  <si>
    <t>Swiss Franc</t>
  </si>
  <si>
    <t>Chile</t>
  </si>
  <si>
    <t>Chilean Peso</t>
  </si>
  <si>
    <t>China</t>
  </si>
  <si>
    <t>Yuan Renminbi</t>
  </si>
  <si>
    <t>Côte d'Ivoire</t>
  </si>
  <si>
    <t>Cameroon</t>
  </si>
  <si>
    <t>D.R. of the Congo</t>
  </si>
  <si>
    <t>Franc Congolais</t>
  </si>
  <si>
    <t>Congo</t>
  </si>
  <si>
    <t>Colombia</t>
  </si>
  <si>
    <t>Colombian Peso</t>
  </si>
  <si>
    <t>Comoros</t>
  </si>
  <si>
    <t>Comoro Franc</t>
  </si>
  <si>
    <t>Cabo Verde</t>
  </si>
  <si>
    <t>Cabo Verde Escudo</t>
  </si>
  <si>
    <t>Costa Rica</t>
  </si>
  <si>
    <t>Costa Rican Colon</t>
  </si>
  <si>
    <t>Curaçao</t>
  </si>
  <si>
    <t>Netherlands Antillian Guilder</t>
  </si>
  <si>
    <t>Cayman Islands</t>
  </si>
  <si>
    <t>Cayman Islands Dollar</t>
  </si>
  <si>
    <t>Cyprus</t>
  </si>
  <si>
    <t>Czechia</t>
  </si>
  <si>
    <t>Czech Koruna</t>
  </si>
  <si>
    <t>Germany</t>
  </si>
  <si>
    <t>Djibouti</t>
  </si>
  <si>
    <t>Djibouti Franc</t>
  </si>
  <si>
    <t>Dominica</t>
  </si>
  <si>
    <t>Denmark</t>
  </si>
  <si>
    <t>Danish Krone</t>
  </si>
  <si>
    <t>Dominican Republic</t>
  </si>
  <si>
    <t>Dominican Peso</t>
  </si>
  <si>
    <t>Algeria</t>
  </si>
  <si>
    <t>Algerian Dinar</t>
  </si>
  <si>
    <t>Ecuador</t>
  </si>
  <si>
    <t>US Dollar</t>
  </si>
  <si>
    <t>Egypt</t>
  </si>
  <si>
    <t>Egyptian Pound</t>
  </si>
  <si>
    <t>Spain</t>
  </si>
  <si>
    <t>Estonia</t>
  </si>
  <si>
    <t>Ethiopia</t>
  </si>
  <si>
    <t>Ethiopian Birr</t>
  </si>
  <si>
    <t>Finland</t>
  </si>
  <si>
    <t>Fiji</t>
  </si>
  <si>
    <t>Fiji Dollar</t>
  </si>
  <si>
    <t>France</t>
  </si>
  <si>
    <t>Gabon</t>
  </si>
  <si>
    <t>United Kingdom</t>
  </si>
  <si>
    <t>Pound Sterling</t>
  </si>
  <si>
    <t>Georgia</t>
  </si>
  <si>
    <t>Lari</t>
  </si>
  <si>
    <t>Ghana</t>
  </si>
  <si>
    <t>Cedi</t>
  </si>
  <si>
    <t>Guinea</t>
  </si>
  <si>
    <t>Guinea Franc</t>
  </si>
  <si>
    <t>Gambia</t>
  </si>
  <si>
    <t>Dalasi</t>
  </si>
  <si>
    <t>Guinea-Bissau</t>
  </si>
  <si>
    <t>Equatorial Guinea</t>
  </si>
  <si>
    <t>Greece</t>
  </si>
  <si>
    <t>Grenada</t>
  </si>
  <si>
    <t>Guatemala</t>
  </si>
  <si>
    <t>Quetzal</t>
  </si>
  <si>
    <t>Guyana</t>
  </si>
  <si>
    <t>Guyana Dollar</t>
  </si>
  <si>
    <t>China, Hong Kong SAR</t>
  </si>
  <si>
    <t>Hong Kong Dollar</t>
  </si>
  <si>
    <t>Honduras</t>
  </si>
  <si>
    <t>Lempira</t>
  </si>
  <si>
    <t>Croatia</t>
  </si>
  <si>
    <t>Haiti</t>
  </si>
  <si>
    <t>Gourde</t>
  </si>
  <si>
    <t>Hungary</t>
  </si>
  <si>
    <t>Forint</t>
  </si>
  <si>
    <t>Indonesia</t>
  </si>
  <si>
    <t>Rupiah</t>
  </si>
  <si>
    <t>India</t>
  </si>
  <si>
    <t>Indian Rupee</t>
  </si>
  <si>
    <t>Ireland</t>
  </si>
  <si>
    <t>Iran (Islamic Republic of)</t>
  </si>
  <si>
    <t>Iranian Rial</t>
  </si>
  <si>
    <t>Estimated</t>
  </si>
  <si>
    <t>Iraq</t>
  </si>
  <si>
    <t>Iraqi Dinar</t>
  </si>
  <si>
    <t>Iceland</t>
  </si>
  <si>
    <t>Iceland Krona</t>
  </si>
  <si>
    <t>Israel</t>
  </si>
  <si>
    <t>New Israeli Sheqel</t>
  </si>
  <si>
    <t>Italy</t>
  </si>
  <si>
    <t>Jamaica</t>
  </si>
  <si>
    <t>Jamaican Dollar</t>
  </si>
  <si>
    <t>Jordan</t>
  </si>
  <si>
    <t>Jordanian Dinar</t>
  </si>
  <si>
    <t>Japan</t>
  </si>
  <si>
    <t>Yen</t>
  </si>
  <si>
    <t>Kazakhstan</t>
  </si>
  <si>
    <t>Tenge</t>
  </si>
  <si>
    <t>Kenya</t>
  </si>
  <si>
    <t>Kenyan Shilling</t>
  </si>
  <si>
    <t>Kyrgyzstan</t>
  </si>
  <si>
    <t>Som</t>
  </si>
  <si>
    <t>Cambodia</t>
  </si>
  <si>
    <t>Riel</t>
  </si>
  <si>
    <t>Saint Kitts and Nevis</t>
  </si>
  <si>
    <t>Republic of Korea</t>
  </si>
  <si>
    <t>Won</t>
  </si>
  <si>
    <t>Kuwait</t>
  </si>
  <si>
    <t>Kuwaiti Dinar</t>
  </si>
  <si>
    <t>Lao People's DR</t>
  </si>
  <si>
    <t>Kip</t>
  </si>
  <si>
    <t>Lebanon</t>
  </si>
  <si>
    <t>Lebanese Pound</t>
  </si>
  <si>
    <t>Interpolated</t>
  </si>
  <si>
    <t>Liberia</t>
  </si>
  <si>
    <t>Saint Lucia</t>
  </si>
  <si>
    <t>Sri Lanka</t>
  </si>
  <si>
    <t>Sri Lanka Rupee</t>
  </si>
  <si>
    <t>Lesotho</t>
  </si>
  <si>
    <t>Loti</t>
  </si>
  <si>
    <t>Lithuania</t>
  </si>
  <si>
    <t>Luxembourg</t>
  </si>
  <si>
    <t>Latvia</t>
  </si>
  <si>
    <t>China, Macao SAR</t>
  </si>
  <si>
    <t>Pataca</t>
  </si>
  <si>
    <t>Morocco</t>
  </si>
  <si>
    <t>Moroccan Dirham</t>
  </si>
  <si>
    <t>Republic of Moldova</t>
  </si>
  <si>
    <t>Moldovan Leu</t>
  </si>
  <si>
    <t>Madagascar</t>
  </si>
  <si>
    <t>Malagasy Ariary</t>
  </si>
  <si>
    <t>Maldives</t>
  </si>
  <si>
    <t>Rufiyaa</t>
  </si>
  <si>
    <t>Mexico</t>
  </si>
  <si>
    <t>Mexican Peso</t>
  </si>
  <si>
    <t>North Macedonia</t>
  </si>
  <si>
    <t>Denar</t>
  </si>
  <si>
    <t>Mali</t>
  </si>
  <si>
    <t>Malta</t>
  </si>
  <si>
    <t>Myanmar</t>
  </si>
  <si>
    <t>Kyat</t>
  </si>
  <si>
    <t>Montenegro</t>
  </si>
  <si>
    <t>Mongolia</t>
  </si>
  <si>
    <t>Tugrik</t>
  </si>
  <si>
    <t>Mozambique</t>
  </si>
  <si>
    <t>Metical</t>
  </si>
  <si>
    <t>Mauritania</t>
  </si>
  <si>
    <t>Ouguiya</t>
  </si>
  <si>
    <t>Montserrat</t>
  </si>
  <si>
    <t>Mauritius</t>
  </si>
  <si>
    <t>Mauritius Rupee</t>
  </si>
  <si>
    <t>Malawi</t>
  </si>
  <si>
    <t>Kwacha</t>
  </si>
  <si>
    <t>Malaysia</t>
  </si>
  <si>
    <t>Malaysian Ringgit</t>
  </si>
  <si>
    <t>Namibia</t>
  </si>
  <si>
    <t>Namibian Dollar</t>
  </si>
  <si>
    <t>Niger</t>
  </si>
  <si>
    <t>Nigeria</t>
  </si>
  <si>
    <t>Naira</t>
  </si>
  <si>
    <t>Nicaragua</t>
  </si>
  <si>
    <t>Cordoba Oro</t>
  </si>
  <si>
    <t>Netherlands</t>
  </si>
  <si>
    <t>Norway</t>
  </si>
  <si>
    <t>Norwegian Krone</t>
  </si>
  <si>
    <t>Nepal</t>
  </si>
  <si>
    <t>Nepalese Rupee</t>
  </si>
  <si>
    <t>New Zealand</t>
  </si>
  <si>
    <t>New Zealand Dollar</t>
  </si>
  <si>
    <t>Oman</t>
  </si>
  <si>
    <t>Rial Omani</t>
  </si>
  <si>
    <t>Pakistan</t>
  </si>
  <si>
    <t>Pakistan Rupee</t>
  </si>
  <si>
    <t>Panama</t>
  </si>
  <si>
    <t>Balboa</t>
  </si>
  <si>
    <t>Peru</t>
  </si>
  <si>
    <t>Nuevo Sol</t>
  </si>
  <si>
    <t>Philippines</t>
  </si>
  <si>
    <t>Philippine Peso</t>
  </si>
  <si>
    <t>Poland</t>
  </si>
  <si>
    <t>Zloty</t>
  </si>
  <si>
    <t>Portugal</t>
  </si>
  <si>
    <t>Paraguay</t>
  </si>
  <si>
    <t>Guarani</t>
  </si>
  <si>
    <t>State of Palestine</t>
  </si>
  <si>
    <t>Qatar</t>
  </si>
  <si>
    <t>Qatari Rial</t>
  </si>
  <si>
    <t>Romania</t>
  </si>
  <si>
    <t>New Leu</t>
  </si>
  <si>
    <t>Russian Federation</t>
  </si>
  <si>
    <t>Russian Ruble</t>
  </si>
  <si>
    <t>Rwanda</t>
  </si>
  <si>
    <t>Rwanda Franc</t>
  </si>
  <si>
    <t>Saudi Arabia</t>
  </si>
  <si>
    <t>Saudi Riyal</t>
  </si>
  <si>
    <t>Sudan</t>
  </si>
  <si>
    <t>Sudanese Pound</t>
  </si>
  <si>
    <t>Senegal</t>
  </si>
  <si>
    <t>Singapore</t>
  </si>
  <si>
    <t>Singapore Dollar</t>
  </si>
  <si>
    <t>Sierra Leone</t>
  </si>
  <si>
    <t>Leone</t>
  </si>
  <si>
    <t>El Salvador</t>
  </si>
  <si>
    <t>Somalia</t>
  </si>
  <si>
    <t>Somali Shilling</t>
  </si>
  <si>
    <t>Serbia</t>
  </si>
  <si>
    <t>Serbian Dinar</t>
  </si>
  <si>
    <t>South Sudan</t>
  </si>
  <si>
    <t>South Sudanese Pound</t>
  </si>
  <si>
    <t>Sao Tome and Principe</t>
  </si>
  <si>
    <t>Dobra</t>
  </si>
  <si>
    <t>Suriname</t>
  </si>
  <si>
    <t>Surinam Dollar</t>
  </si>
  <si>
    <t>Slovakia</t>
  </si>
  <si>
    <t>Slovenia</t>
  </si>
  <si>
    <t>Sweden</t>
  </si>
  <si>
    <t>Swedish Krona</t>
  </si>
  <si>
    <t>Eswatini</t>
  </si>
  <si>
    <t>Lilangeni</t>
  </si>
  <si>
    <t>Sint Maarten (Dutch part)</t>
  </si>
  <si>
    <t>Seychelles</t>
  </si>
  <si>
    <t>Seychelles Rupee</t>
  </si>
  <si>
    <t>Syrian Arab Republic</t>
  </si>
  <si>
    <t>Syrian Pound</t>
  </si>
  <si>
    <t>Turks and Caicos Islands</t>
  </si>
  <si>
    <t>Chad</t>
  </si>
  <si>
    <t>Togo</t>
  </si>
  <si>
    <t>Thailand</t>
  </si>
  <si>
    <t>Baht</t>
  </si>
  <si>
    <t>Tajikistan</t>
  </si>
  <si>
    <t>Somoni</t>
  </si>
  <si>
    <t>Turkmenistan</t>
  </si>
  <si>
    <t>Turkmenistan Manat</t>
  </si>
  <si>
    <t>Trinidad and Tobago</t>
  </si>
  <si>
    <t>Trinidad and Tobago Dollar</t>
  </si>
  <si>
    <t>Tunisia</t>
  </si>
  <si>
    <t>Tunisian Dinar</t>
  </si>
  <si>
    <t>Türkiye</t>
  </si>
  <si>
    <t>New Turkish Lira</t>
  </si>
  <si>
    <t>Taiwan</t>
  </si>
  <si>
    <t>New Taiwan Dollar</t>
  </si>
  <si>
    <t>U.R. of Tanzania: Mainland</t>
  </si>
  <si>
    <t>Tanzanian Shilling</t>
  </si>
  <si>
    <t>Uganda</t>
  </si>
  <si>
    <t>Uganda Shilling</t>
  </si>
  <si>
    <t>Ukraine</t>
  </si>
  <si>
    <t>Hryvnia</t>
  </si>
  <si>
    <t>Uruguay</t>
  </si>
  <si>
    <t>Peso Uruguayo</t>
  </si>
  <si>
    <t>United States</t>
  </si>
  <si>
    <t>Uzbekistan</t>
  </si>
  <si>
    <t>Uzbekistan Sum</t>
  </si>
  <si>
    <t>St. Vincent and the Grenadines</t>
  </si>
  <si>
    <t>Venezuela (Bolivarian Republic of)</t>
  </si>
  <si>
    <t>Bolivar Digital</t>
  </si>
  <si>
    <t>British Virgin Islands</t>
  </si>
  <si>
    <t>Viet Nam</t>
  </si>
  <si>
    <t>Dong</t>
  </si>
  <si>
    <t>Yemen</t>
  </si>
  <si>
    <t>Yemeni Rial</t>
  </si>
  <si>
    <t>South Africa</t>
  </si>
  <si>
    <t>Rand</t>
  </si>
  <si>
    <t>Zambia</t>
  </si>
  <si>
    <t>Zimbabwe</t>
  </si>
  <si>
    <t>t</t>
  </si>
  <si>
    <t>i</t>
  </si>
  <si>
    <t>continent</t>
  </si>
  <si>
    <t>subregion</t>
  </si>
  <si>
    <t>Americas</t>
  </si>
  <si>
    <t>Caribbean</t>
  </si>
  <si>
    <t>Africa</t>
  </si>
  <si>
    <t>Middle Africa</t>
  </si>
  <si>
    <t>Europe</t>
  </si>
  <si>
    <t>Southern Europe</t>
  </si>
  <si>
    <t>Asia</t>
  </si>
  <si>
    <t>Western Asia</t>
  </si>
  <si>
    <t>South America</t>
  </si>
  <si>
    <t>Oceania</t>
  </si>
  <si>
    <t>Australia and New Zealand</t>
  </si>
  <si>
    <t>Western Europe</t>
  </si>
  <si>
    <t>Eastern Africa</t>
  </si>
  <si>
    <t>Western Africa</t>
  </si>
  <si>
    <t>Southern Asia</t>
  </si>
  <si>
    <t>Eastern Europe</t>
  </si>
  <si>
    <t>Central America</t>
  </si>
  <si>
    <t>Northern America</t>
  </si>
  <si>
    <t>South-eastern Asia</t>
  </si>
  <si>
    <t>Southern Africa</t>
  </si>
  <si>
    <t>Eastern Asia</t>
  </si>
  <si>
    <t>Northern Europe</t>
  </si>
  <si>
    <t>Northern Africa</t>
  </si>
  <si>
    <t>Melanesia</t>
  </si>
  <si>
    <t>Central Asia</t>
  </si>
  <si>
    <t>Pais</t>
  </si>
  <si>
    <t>continente</t>
  </si>
  <si>
    <t>región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</si>
</sst>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" fontId="0" fillId="0" borderId="0" xfId="0" applyNumberFormat="1"/>
    <xf numFmtId="1" fontId="0" fillId="0" borderId="0" xfId="0" applyNumberFormat="1"/>
    <xf numFmtId="0" fontId="0" fillId="0" borderId="1" xfId="0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8C3C5-41F0-4B1D-A814-94A9E059729D}">
  <dimension ref="A1:AU1111"/>
  <sheetViews>
    <sheetView tabSelected="1" zoomScaleNormal="100" workbookViewId="0">
      <pane xSplit="2" ySplit="1" topLeftCell="C2" activePane="bottomRight" state="frozen"/>
      <selection pane="topRight" activeCell="E1" sqref="E1"/>
      <selection pane="bottomLeft" activeCell="A2" sqref="A2"/>
      <selection pane="bottomRight" activeCell="B3" sqref="B3"/>
    </sheetView>
  </sheetViews>
  <sheetFormatPr defaultColWidth="8.6640625" defaultRowHeight="14.4" x14ac:dyDescent="0.3"/>
  <cols>
    <col min="6" max="9" width="8.6640625" customWidth="1"/>
    <col min="15" max="15" width="8.6640625" style="2"/>
    <col min="18" max="30" width="8.6640625" style="2" customWidth="1"/>
    <col min="31" max="46" width="8.6640625" customWidth="1"/>
  </cols>
  <sheetData>
    <row r="1" spans="1:47" x14ac:dyDescent="0.3">
      <c r="A1" s="5" t="s">
        <v>0</v>
      </c>
      <c r="B1" s="5" t="s">
        <v>2</v>
      </c>
      <c r="C1" s="5" t="s">
        <v>15</v>
      </c>
      <c r="D1" s="5" t="s">
        <v>18</v>
      </c>
      <c r="E1" s="5" t="s">
        <v>4</v>
      </c>
      <c r="F1" t="s">
        <v>19</v>
      </c>
      <c r="G1" t="s">
        <v>23</v>
      </c>
      <c r="H1" t="s">
        <v>24</v>
      </c>
      <c r="I1" t="s">
        <v>25</v>
      </c>
      <c r="J1" s="1" t="s">
        <v>6</v>
      </c>
      <c r="K1" t="s">
        <v>21</v>
      </c>
      <c r="L1" t="s">
        <v>381</v>
      </c>
      <c r="M1" t="s">
        <v>382</v>
      </c>
      <c r="N1" t="s">
        <v>411</v>
      </c>
      <c r="O1" s="2" t="s">
        <v>412</v>
      </c>
      <c r="P1" t="s">
        <v>385</v>
      </c>
      <c r="Q1" t="s">
        <v>389</v>
      </c>
      <c r="R1" s="2" t="s">
        <v>391</v>
      </c>
      <c r="S1" s="2" t="s">
        <v>387</v>
      </c>
      <c r="T1" s="2" t="s">
        <v>394</v>
      </c>
      <c r="U1" s="2" t="s">
        <v>386</v>
      </c>
      <c r="V1" s="2" t="s">
        <v>388</v>
      </c>
      <c r="W1" s="2" t="s">
        <v>390</v>
      </c>
      <c r="X1" s="2" t="s">
        <v>392</v>
      </c>
      <c r="Y1" s="2" t="s">
        <v>393</v>
      </c>
      <c r="Z1" s="2" t="s">
        <v>395</v>
      </c>
      <c r="AA1" s="2" t="s">
        <v>396</v>
      </c>
      <c r="AB1" s="2" t="s">
        <v>397</v>
      </c>
      <c r="AC1" s="2" t="s">
        <v>398</v>
      </c>
      <c r="AD1" s="2" t="s">
        <v>399</v>
      </c>
      <c r="AE1" t="s">
        <v>400</v>
      </c>
      <c r="AF1" t="s">
        <v>401</v>
      </c>
      <c r="AG1" t="s">
        <v>402</v>
      </c>
      <c r="AH1" t="s">
        <v>403</v>
      </c>
      <c r="AI1" t="s">
        <v>404</v>
      </c>
      <c r="AJ1" t="s">
        <v>405</v>
      </c>
      <c r="AK1" t="s">
        <v>406</v>
      </c>
      <c r="AL1" t="s">
        <v>407</v>
      </c>
      <c r="AM1" t="s">
        <v>408</v>
      </c>
      <c r="AN1" t="s">
        <v>409</v>
      </c>
    </row>
    <row r="2" spans="1:47" x14ac:dyDescent="0.3">
      <c r="A2" t="s">
        <v>48</v>
      </c>
      <c r="B2" s="3">
        <v>2015</v>
      </c>
      <c r="C2" s="3">
        <v>4032.470703125</v>
      </c>
      <c r="D2" s="3">
        <v>21116.46484375</v>
      </c>
      <c r="E2" s="3">
        <v>4.6936772763729102E-2</v>
      </c>
      <c r="F2" s="3">
        <v>0.91074913740158103</v>
      </c>
      <c r="G2" s="3">
        <v>4.9298904836177798E-2</v>
      </c>
      <c r="H2" s="3">
        <v>3.3945105969905902E-2</v>
      </c>
      <c r="I2" s="3">
        <v>1.79</v>
      </c>
      <c r="J2" s="3"/>
      <c r="K2" s="3"/>
      <c r="L2" s="3">
        <f>B2-2014</f>
        <v>1</v>
      </c>
      <c r="M2">
        <f>VLOOKUP($A2,Sheet2!$B$2:$E$186,2,FALSE)</f>
        <v>1</v>
      </c>
      <c r="N2" t="s">
        <v>385</v>
      </c>
      <c r="O2" t="s">
        <v>386</v>
      </c>
      <c r="P2">
        <v>1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  <row r="3" spans="1:47" x14ac:dyDescent="0.3">
      <c r="A3" t="s">
        <v>48</v>
      </c>
      <c r="B3" s="3">
        <v>2016</v>
      </c>
      <c r="C3" s="3">
        <v>4101.81396484375</v>
      </c>
      <c r="D3" s="3">
        <v>21373.1484375</v>
      </c>
      <c r="E3" s="3">
        <v>4.7294035553932197E-2</v>
      </c>
      <c r="F3" s="3">
        <v>0.92656701803207397</v>
      </c>
      <c r="G3" s="3">
        <v>5.2998036146163899E-2</v>
      </c>
      <c r="H3" s="3">
        <v>3.4145254641771303E-2</v>
      </c>
      <c r="I3" s="3">
        <v>1.79</v>
      </c>
      <c r="J3" s="3"/>
      <c r="K3" s="3"/>
      <c r="L3" s="3">
        <f t="shared" ref="L3:L66" si="0">B3-2014</f>
        <v>2</v>
      </c>
      <c r="M3">
        <f>VLOOKUP(A3,Sheet2!$B$2:$E$186,2,FALSE)</f>
        <v>1</v>
      </c>
      <c r="N3" t="s">
        <v>385</v>
      </c>
      <c r="O3" t="s">
        <v>386</v>
      </c>
      <c r="P3">
        <v>1</v>
      </c>
      <c r="Q3">
        <v>0</v>
      </c>
      <c r="R3">
        <v>0</v>
      </c>
      <c r="S3">
        <v>0</v>
      </c>
      <c r="T3">
        <v>0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</row>
    <row r="4" spans="1:47" x14ac:dyDescent="0.3">
      <c r="A4" t="s">
        <v>48</v>
      </c>
      <c r="B4" s="3">
        <v>2017</v>
      </c>
      <c r="C4" s="3">
        <v>4390.931640625</v>
      </c>
      <c r="D4" s="3">
        <v>21666.6796875</v>
      </c>
      <c r="E4" s="3">
        <v>4.7633726149797398E-2</v>
      </c>
      <c r="F4" s="3">
        <v>0.94581091403961204</v>
      </c>
      <c r="G4" s="3">
        <v>5.57840950787067E-2</v>
      </c>
      <c r="H4" s="3">
        <v>3.4465383738279301E-2</v>
      </c>
      <c r="I4" s="3">
        <v>1.79</v>
      </c>
      <c r="J4" s="3"/>
      <c r="K4" s="3"/>
      <c r="L4" s="3">
        <f t="shared" si="0"/>
        <v>3</v>
      </c>
      <c r="M4">
        <f>VLOOKUP(A4,Sheet2!$B$2:$E$186,2,FALSE)</f>
        <v>1</v>
      </c>
      <c r="N4" t="s">
        <v>385</v>
      </c>
      <c r="O4" t="s">
        <v>386</v>
      </c>
      <c r="P4">
        <v>1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</row>
    <row r="5" spans="1:47" x14ac:dyDescent="0.3">
      <c r="A5" t="s">
        <v>48</v>
      </c>
      <c r="B5" s="3">
        <v>2018</v>
      </c>
      <c r="C5" s="3">
        <v>4496.18603515625</v>
      </c>
      <c r="D5" s="3">
        <v>21968.63671875</v>
      </c>
      <c r="E5" s="3">
        <v>4.7949537634849597E-2</v>
      </c>
      <c r="F5" s="3">
        <v>0.96592062711715698</v>
      </c>
      <c r="G5" s="3">
        <v>4.7910463064909002E-2</v>
      </c>
      <c r="H5" s="3">
        <v>3.4878090023994397E-2</v>
      </c>
      <c r="I5" s="3">
        <v>1.79</v>
      </c>
      <c r="J5" s="3"/>
      <c r="K5" s="3"/>
      <c r="L5" s="3">
        <f t="shared" si="0"/>
        <v>4</v>
      </c>
      <c r="M5">
        <f>VLOOKUP(A5,Sheet2!$B$2:$E$186,2,FALSE)</f>
        <v>1</v>
      </c>
      <c r="N5" t="s">
        <v>385</v>
      </c>
      <c r="O5" t="s">
        <v>386</v>
      </c>
      <c r="P5">
        <v>1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</row>
    <row r="6" spans="1:47" x14ac:dyDescent="0.3">
      <c r="A6" t="s">
        <v>48</v>
      </c>
      <c r="B6" s="3">
        <v>2019</v>
      </c>
      <c r="C6" s="3">
        <v>4395.8115234375</v>
      </c>
      <c r="D6" s="3">
        <v>22266.49609375</v>
      </c>
      <c r="E6" s="3">
        <v>4.8239670693874401E-2</v>
      </c>
      <c r="F6" s="3">
        <v>0.98533987998962402</v>
      </c>
      <c r="G6" s="3">
        <v>4.7444622963666902E-2</v>
      </c>
      <c r="H6" s="3">
        <v>3.5302024334669099E-2</v>
      </c>
      <c r="I6" s="3">
        <v>1.79</v>
      </c>
      <c r="J6" s="3"/>
      <c r="K6" s="3"/>
      <c r="L6" s="3">
        <f t="shared" si="0"/>
        <v>5</v>
      </c>
      <c r="M6">
        <f>VLOOKUP(A6,Sheet2!$B$2:$E$186,2,FALSE)</f>
        <v>1</v>
      </c>
      <c r="N6" t="s">
        <v>385</v>
      </c>
      <c r="O6" t="s">
        <v>386</v>
      </c>
      <c r="P6">
        <v>1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</row>
    <row r="7" spans="1:47" x14ac:dyDescent="0.3">
      <c r="A7" t="s">
        <v>48</v>
      </c>
      <c r="B7" s="3">
        <v>2020</v>
      </c>
      <c r="C7" s="3">
        <v>3243.58911132813</v>
      </c>
      <c r="D7" s="3">
        <v>22325.037109375</v>
      </c>
      <c r="E7" s="3">
        <v>4.8385642468929298E-2</v>
      </c>
      <c r="F7" s="3">
        <v>0.99136048555374201</v>
      </c>
      <c r="G7" s="3">
        <v>2.1925922483205799E-2</v>
      </c>
      <c r="H7" s="3">
        <v>3.5575263202190399E-2</v>
      </c>
      <c r="I7" s="3">
        <v>1.79</v>
      </c>
      <c r="J7" s="3"/>
      <c r="K7" s="3"/>
      <c r="L7" s="3">
        <f t="shared" si="0"/>
        <v>6</v>
      </c>
      <c r="M7">
        <f>VLOOKUP(A7,Sheet2!$B$2:$E$186,2,FALSE)</f>
        <v>1</v>
      </c>
      <c r="N7" t="s">
        <v>385</v>
      </c>
      <c r="O7" t="s">
        <v>386</v>
      </c>
      <c r="P7">
        <v>1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 spans="1:47" x14ac:dyDescent="0.3">
      <c r="A8" t="s">
        <v>55</v>
      </c>
      <c r="B8" s="3">
        <v>2015</v>
      </c>
      <c r="C8" s="3">
        <v>236550.796875</v>
      </c>
      <c r="D8" s="3">
        <v>633460.125</v>
      </c>
      <c r="E8" s="3">
        <v>12.9602308273315</v>
      </c>
      <c r="F8" s="3">
        <v>0.95452278852462802</v>
      </c>
      <c r="G8" s="3">
        <v>6.4976379275322002E-2</v>
      </c>
      <c r="H8" s="3">
        <v>4.8470813781022998E-2</v>
      </c>
      <c r="I8" s="3">
        <v>120.060701665019</v>
      </c>
      <c r="J8" s="3">
        <v>1.45280301570892</v>
      </c>
      <c r="K8" s="3">
        <v>1.3628133535385101</v>
      </c>
      <c r="L8" s="3">
        <f t="shared" si="0"/>
        <v>1</v>
      </c>
      <c r="M8">
        <f>VLOOKUP(A8,Sheet2!$B$2:$E$186,2,FALSE)</f>
        <v>2</v>
      </c>
      <c r="N8" t="s">
        <v>387</v>
      </c>
      <c r="O8" t="s">
        <v>388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</row>
    <row r="9" spans="1:47" x14ac:dyDescent="0.3">
      <c r="A9" t="s">
        <v>55</v>
      </c>
      <c r="B9" s="3">
        <v>2016</v>
      </c>
      <c r="C9" s="3">
        <v>230400.46875</v>
      </c>
      <c r="D9" s="3">
        <v>651413.4375</v>
      </c>
      <c r="E9" s="3">
        <v>13.3612470626831</v>
      </c>
      <c r="F9" s="3">
        <v>0.97432672977447499</v>
      </c>
      <c r="G9" s="3">
        <v>6.7191809415817302E-2</v>
      </c>
      <c r="H9" s="3">
        <v>4.7874562442302697E-2</v>
      </c>
      <c r="I9" s="3">
        <v>163.65643411657899</v>
      </c>
      <c r="J9" s="3">
        <v>1.46004402637482</v>
      </c>
      <c r="K9" s="3">
        <v>1.2608934640884399</v>
      </c>
      <c r="L9" s="3">
        <f t="shared" si="0"/>
        <v>2</v>
      </c>
      <c r="M9">
        <f>VLOOKUP(A9,Sheet2!$B$2:$E$186,2,FALSE)</f>
        <v>2</v>
      </c>
      <c r="N9" t="s">
        <v>387</v>
      </c>
      <c r="O9" t="s">
        <v>388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 spans="1:47" x14ac:dyDescent="0.3">
      <c r="A10" t="s">
        <v>55</v>
      </c>
      <c r="B10" s="3">
        <v>2017</v>
      </c>
      <c r="C10" s="3">
        <v>230170.078125</v>
      </c>
      <c r="D10" s="3">
        <v>659431.125</v>
      </c>
      <c r="E10" s="3">
        <v>13.7866048812866</v>
      </c>
      <c r="F10" s="3">
        <v>0.97949492931366</v>
      </c>
      <c r="G10" s="3">
        <v>5.55250719189644E-2</v>
      </c>
      <c r="H10" s="3">
        <v>4.6948641538620002E-2</v>
      </c>
      <c r="I10" s="3">
        <v>165.91595069149801</v>
      </c>
      <c r="J10" s="3">
        <v>1.4673211574554399</v>
      </c>
      <c r="K10" s="3">
        <v>1.18250107765198</v>
      </c>
      <c r="L10" s="3">
        <f t="shared" si="0"/>
        <v>3</v>
      </c>
      <c r="M10">
        <f>VLOOKUP(A10,Sheet2!$B$2:$E$186,2,FALSE)</f>
        <v>2</v>
      </c>
      <c r="N10" t="s">
        <v>387</v>
      </c>
      <c r="O10" t="s">
        <v>388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</row>
    <row r="11" spans="1:47" x14ac:dyDescent="0.3">
      <c r="A11" t="s">
        <v>55</v>
      </c>
      <c r="B11" s="3">
        <v>2018</v>
      </c>
      <c r="C11" s="3">
        <v>227177.875</v>
      </c>
      <c r="D11" s="3">
        <v>665065.5625</v>
      </c>
      <c r="E11" s="3">
        <v>14.2241430282593</v>
      </c>
      <c r="F11" s="3">
        <v>0.98284637928009</v>
      </c>
      <c r="G11" s="3">
        <v>8.8185951113700894E-2</v>
      </c>
      <c r="H11" s="3">
        <v>4.6239789575338398E-2</v>
      </c>
      <c r="I11" s="3">
        <v>252.85574773129699</v>
      </c>
      <c r="J11" s="3">
        <v>1.4746345281601001</v>
      </c>
      <c r="K11" s="3">
        <v>1.1222218275070199</v>
      </c>
      <c r="L11" s="3">
        <f t="shared" si="0"/>
        <v>4</v>
      </c>
      <c r="M11">
        <f>VLOOKUP(A11,Sheet2!$B$2:$E$186,2,FALSE)</f>
        <v>2</v>
      </c>
      <c r="N11" t="s">
        <v>387</v>
      </c>
      <c r="O11" t="s">
        <v>388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 spans="1:47" x14ac:dyDescent="0.3">
      <c r="A12" t="s">
        <v>55</v>
      </c>
      <c r="B12" s="3">
        <v>2019</v>
      </c>
      <c r="C12" s="3">
        <v>225587.609375</v>
      </c>
      <c r="D12" s="3">
        <v>672279.1875</v>
      </c>
      <c r="E12" s="3">
        <v>14.692120552063001</v>
      </c>
      <c r="F12" s="3">
        <v>0.989821016788483</v>
      </c>
      <c r="G12" s="3">
        <v>0.10399090498685799</v>
      </c>
      <c r="H12" s="3">
        <v>4.5704171061515801E-2</v>
      </c>
      <c r="I12" s="3">
        <v>364.82580498088703</v>
      </c>
      <c r="J12" s="3">
        <v>1.48198437690735</v>
      </c>
      <c r="K12" s="3">
        <v>1.08702564239502</v>
      </c>
      <c r="L12" s="3">
        <f t="shared" si="0"/>
        <v>5</v>
      </c>
      <c r="M12">
        <f>VLOOKUP(A12,Sheet2!$B$2:$E$186,2,FALSE)</f>
        <v>2</v>
      </c>
      <c r="N12" t="s">
        <v>387</v>
      </c>
      <c r="O12" t="s">
        <v>388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</row>
    <row r="13" spans="1:47" x14ac:dyDescent="0.3">
      <c r="A13" t="s">
        <v>55</v>
      </c>
      <c r="B13" s="3">
        <v>2020</v>
      </c>
      <c r="C13" s="3">
        <v>212868.46875</v>
      </c>
      <c r="D13" s="3">
        <v>677214.1875</v>
      </c>
      <c r="E13" s="3">
        <v>15.093854904174799</v>
      </c>
      <c r="F13" s="3">
        <v>0.99248093366622903</v>
      </c>
      <c r="G13" s="3">
        <v>0.14851917326450301</v>
      </c>
      <c r="H13" s="3">
        <v>4.50356602668762E-2</v>
      </c>
      <c r="I13" s="3">
        <v>578.25878028011005</v>
      </c>
      <c r="J13" s="3">
        <v>1.4893708229064899</v>
      </c>
      <c r="K13" s="3">
        <v>1.01764976978302</v>
      </c>
      <c r="L13" s="3">
        <f t="shared" si="0"/>
        <v>6</v>
      </c>
      <c r="M13">
        <f>VLOOKUP(A13,Sheet2!$B$2:$E$186,2,FALSE)</f>
        <v>2</v>
      </c>
      <c r="N13" t="s">
        <v>387</v>
      </c>
      <c r="O13" t="s">
        <v>388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</row>
    <row r="14" spans="1:47" s="2" customFormat="1" x14ac:dyDescent="0.3">
      <c r="A14" t="s">
        <v>57</v>
      </c>
      <c r="B14" s="3">
        <v>2015</v>
      </c>
      <c r="C14" s="3">
        <v>329.08401489257801</v>
      </c>
      <c r="D14" s="3">
        <v>3546.16333007813</v>
      </c>
      <c r="E14" s="3"/>
      <c r="F14" s="3"/>
      <c r="G14" s="3"/>
      <c r="H14" s="3">
        <v>2.6040447875857398E-2</v>
      </c>
      <c r="I14" s="3">
        <v>2.7</v>
      </c>
      <c r="J14" s="3"/>
      <c r="K14" s="3"/>
      <c r="L14" s="3">
        <f t="shared" si="0"/>
        <v>1</v>
      </c>
      <c r="M14">
        <f>VLOOKUP(A14,Sheet2!$B$2:$E$186,2,FALSE)</f>
        <v>3</v>
      </c>
      <c r="N14" t="s">
        <v>385</v>
      </c>
      <c r="O14" t="s">
        <v>386</v>
      </c>
      <c r="P14">
        <v>1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/>
      <c r="AP14"/>
      <c r="AQ14"/>
      <c r="AR14"/>
      <c r="AS14"/>
      <c r="AT14"/>
      <c r="AU14"/>
    </row>
    <row r="15" spans="1:47" s="2" customFormat="1" x14ac:dyDescent="0.3">
      <c r="A15" t="s">
        <v>57</v>
      </c>
      <c r="B15" s="3">
        <v>2016</v>
      </c>
      <c r="C15" s="3">
        <v>314.61245727539102</v>
      </c>
      <c r="D15" s="3">
        <v>3592.67041015625</v>
      </c>
      <c r="E15" s="3"/>
      <c r="F15" s="3"/>
      <c r="G15" s="3"/>
      <c r="H15" s="3">
        <v>2.5143980979919399E-2</v>
      </c>
      <c r="I15" s="3">
        <v>2.7</v>
      </c>
      <c r="J15" s="3"/>
      <c r="K15" s="3"/>
      <c r="L15" s="3">
        <f t="shared" si="0"/>
        <v>2</v>
      </c>
      <c r="M15">
        <f>VLOOKUP(A15,Sheet2!$B$2:$E$186,2,FALSE)</f>
        <v>3</v>
      </c>
      <c r="N15" t="s">
        <v>385</v>
      </c>
      <c r="O15" t="s">
        <v>386</v>
      </c>
      <c r="P15">
        <v>1</v>
      </c>
      <c r="Q15">
        <v>0</v>
      </c>
      <c r="R15">
        <v>0</v>
      </c>
      <c r="S15">
        <v>0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/>
      <c r="AP15"/>
      <c r="AQ15"/>
      <c r="AR15"/>
      <c r="AS15"/>
      <c r="AT15"/>
      <c r="AU15"/>
    </row>
    <row r="16" spans="1:47" s="2" customFormat="1" x14ac:dyDescent="0.3">
      <c r="A16" t="s">
        <v>57</v>
      </c>
      <c r="B16" s="3">
        <v>2017</v>
      </c>
      <c r="C16" s="3">
        <v>297.13238525390602</v>
      </c>
      <c r="D16" s="3">
        <v>3638.69897460938</v>
      </c>
      <c r="E16" s="3"/>
      <c r="F16" s="3"/>
      <c r="G16" s="3"/>
      <c r="H16" s="3">
        <v>2.4726143106818199E-2</v>
      </c>
      <c r="I16" s="3">
        <v>2.7</v>
      </c>
      <c r="J16" s="3"/>
      <c r="K16" s="3"/>
      <c r="L16" s="3">
        <f t="shared" si="0"/>
        <v>3</v>
      </c>
      <c r="M16">
        <f>VLOOKUP(A16,Sheet2!$B$2:$E$186,2,FALSE)</f>
        <v>3</v>
      </c>
      <c r="N16" t="s">
        <v>385</v>
      </c>
      <c r="O16" t="s">
        <v>386</v>
      </c>
      <c r="P16">
        <v>1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/>
      <c r="AP16"/>
      <c r="AQ16"/>
      <c r="AR16"/>
      <c r="AS16"/>
      <c r="AT16"/>
      <c r="AU16"/>
    </row>
    <row r="17" spans="1:47" s="2" customFormat="1" x14ac:dyDescent="0.3">
      <c r="A17" t="s">
        <v>57</v>
      </c>
      <c r="B17" s="3">
        <v>2018</v>
      </c>
      <c r="C17" s="3">
        <v>320.89227294921898</v>
      </c>
      <c r="D17" s="3">
        <v>3851.85302734375</v>
      </c>
      <c r="E17" s="3"/>
      <c r="F17" s="3"/>
      <c r="G17" s="3"/>
      <c r="H17" s="3">
        <v>2.54548285156488E-2</v>
      </c>
      <c r="I17" s="3">
        <v>2.7</v>
      </c>
      <c r="J17" s="3"/>
      <c r="K17" s="3"/>
      <c r="L17" s="3">
        <f t="shared" si="0"/>
        <v>4</v>
      </c>
      <c r="M17">
        <f>VLOOKUP(A17,Sheet2!$B$2:$E$186,2,FALSE)</f>
        <v>3</v>
      </c>
      <c r="N17" t="s">
        <v>385</v>
      </c>
      <c r="O17" t="s">
        <v>386</v>
      </c>
      <c r="P17">
        <v>1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/>
      <c r="AP17"/>
      <c r="AQ17"/>
      <c r="AR17"/>
      <c r="AS17"/>
      <c r="AT17"/>
      <c r="AU17"/>
    </row>
    <row r="18" spans="1:47" s="2" customFormat="1" x14ac:dyDescent="0.3">
      <c r="A18" t="s">
        <v>57</v>
      </c>
      <c r="B18" s="3">
        <v>2019</v>
      </c>
      <c r="C18" s="3">
        <v>342.03167724609398</v>
      </c>
      <c r="D18" s="3">
        <v>3890.53100585938</v>
      </c>
      <c r="E18" s="3"/>
      <c r="F18" s="3"/>
      <c r="G18" s="3"/>
      <c r="H18" s="3">
        <v>2.5963367894291899E-2</v>
      </c>
      <c r="I18" s="3">
        <v>2.7</v>
      </c>
      <c r="J18" s="3"/>
      <c r="K18" s="3"/>
      <c r="L18" s="3">
        <f t="shared" si="0"/>
        <v>5</v>
      </c>
      <c r="M18">
        <f>VLOOKUP(A18,Sheet2!$B$2:$E$186,2,FALSE)</f>
        <v>3</v>
      </c>
      <c r="N18" t="s">
        <v>385</v>
      </c>
      <c r="O18" t="s">
        <v>386</v>
      </c>
      <c r="P18">
        <v>1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/>
      <c r="AP18"/>
      <c r="AQ18"/>
      <c r="AR18"/>
      <c r="AS18"/>
      <c r="AT18"/>
      <c r="AU18"/>
    </row>
    <row r="19" spans="1:47" s="2" customFormat="1" x14ac:dyDescent="0.3">
      <c r="A19" t="s">
        <v>57</v>
      </c>
      <c r="B19" s="3">
        <v>2020</v>
      </c>
      <c r="C19" s="3">
        <v>242.52053833007801</v>
      </c>
      <c r="D19" s="3">
        <v>3925.0625</v>
      </c>
      <c r="E19" s="3"/>
      <c r="F19" s="3"/>
      <c r="G19" s="3"/>
      <c r="H19" s="3">
        <v>2.56959889084101E-2</v>
      </c>
      <c r="I19" s="3">
        <v>2.7</v>
      </c>
      <c r="J19" s="3"/>
      <c r="K19" s="3"/>
      <c r="L19" s="3">
        <f t="shared" si="0"/>
        <v>6</v>
      </c>
      <c r="M19">
        <f>VLOOKUP(A19,Sheet2!$B$2:$E$186,2,FALSE)</f>
        <v>3</v>
      </c>
      <c r="N19" t="s">
        <v>385</v>
      </c>
      <c r="O19" t="s">
        <v>386</v>
      </c>
      <c r="P19">
        <v>1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/>
      <c r="AP19"/>
      <c r="AQ19"/>
      <c r="AR19"/>
      <c r="AS19"/>
      <c r="AT19"/>
      <c r="AU19"/>
    </row>
    <row r="20" spans="1:47" x14ac:dyDescent="0.3">
      <c r="A20" t="s">
        <v>59</v>
      </c>
      <c r="B20" s="3">
        <v>2015</v>
      </c>
      <c r="C20" s="3">
        <v>35266.328125</v>
      </c>
      <c r="D20" s="3">
        <v>202508.8125</v>
      </c>
      <c r="E20" s="3">
        <v>0.98453122377395597</v>
      </c>
      <c r="F20" s="3">
        <v>0.83701330423355103</v>
      </c>
      <c r="G20" s="3">
        <v>9.9999997764825804E-3</v>
      </c>
      <c r="H20" s="3">
        <v>2.8407657518982901E-2</v>
      </c>
      <c r="I20" s="3">
        <v>125.961666666667</v>
      </c>
      <c r="J20" s="3">
        <v>2.9801273345947301</v>
      </c>
      <c r="K20" s="3">
        <v>1.0859904289245601</v>
      </c>
      <c r="L20" s="3">
        <f t="shared" si="0"/>
        <v>1</v>
      </c>
      <c r="M20">
        <f>VLOOKUP(A20,Sheet2!$B$2:$E$186,2,FALSE)</f>
        <v>4</v>
      </c>
      <c r="N20" t="s">
        <v>389</v>
      </c>
      <c r="O20" t="s">
        <v>390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 spans="1:47" x14ac:dyDescent="0.3">
      <c r="A21" t="s">
        <v>59</v>
      </c>
      <c r="B21" s="3">
        <v>2016</v>
      </c>
      <c r="C21" s="3">
        <v>36435.22265625</v>
      </c>
      <c r="D21" s="3">
        <v>208733.625</v>
      </c>
      <c r="E21" s="3">
        <v>1.0445851087570199</v>
      </c>
      <c r="F21" s="3">
        <v>0.86440354585647605</v>
      </c>
      <c r="G21" s="3">
        <v>9.9999997764825804E-3</v>
      </c>
      <c r="H21" s="3">
        <v>2.84671038389206E-2</v>
      </c>
      <c r="I21" s="3">
        <v>124.1425</v>
      </c>
      <c r="J21" s="3">
        <v>2.9779167175293</v>
      </c>
      <c r="K21" s="3">
        <v>1.0072654485702499</v>
      </c>
      <c r="L21" s="3">
        <f t="shared" si="0"/>
        <v>2</v>
      </c>
      <c r="M21">
        <f>VLOOKUP(A21,Sheet2!$B$2:$E$186,2,FALSE)</f>
        <v>4</v>
      </c>
      <c r="N21" t="s">
        <v>389</v>
      </c>
      <c r="O21" t="s">
        <v>390</v>
      </c>
      <c r="P21">
        <v>0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</row>
    <row r="22" spans="1:47" x14ac:dyDescent="0.3">
      <c r="A22" t="s">
        <v>59</v>
      </c>
      <c r="B22" s="3">
        <v>2017</v>
      </c>
      <c r="C22" s="3">
        <v>37820.6484375</v>
      </c>
      <c r="D22" s="3">
        <v>215490.8125</v>
      </c>
      <c r="E22" s="3">
        <v>1.08628225326538</v>
      </c>
      <c r="F22" s="3">
        <v>0.89211684465408303</v>
      </c>
      <c r="G22" s="3">
        <v>9.9999997764825804E-3</v>
      </c>
      <c r="H22" s="3">
        <v>2.85640563815832E-2</v>
      </c>
      <c r="I22" s="3">
        <v>119.1</v>
      </c>
      <c r="J22" s="3">
        <v>2.97570776939392</v>
      </c>
      <c r="K22" s="3">
        <v>0.98870152235031095</v>
      </c>
      <c r="L22" s="3">
        <f t="shared" si="0"/>
        <v>3</v>
      </c>
      <c r="M22">
        <f>VLOOKUP(A22,Sheet2!$B$2:$E$186,2,FALSE)</f>
        <v>4</v>
      </c>
      <c r="N22" t="s">
        <v>389</v>
      </c>
      <c r="O22" t="s">
        <v>390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</row>
    <row r="23" spans="1:47" x14ac:dyDescent="0.3">
      <c r="A23" t="s">
        <v>59</v>
      </c>
      <c r="B23" s="3">
        <v>2018</v>
      </c>
      <c r="C23" s="3">
        <v>39340.6484375</v>
      </c>
      <c r="D23" s="3">
        <v>222377.046875</v>
      </c>
      <c r="E23" s="3">
        <v>1.12976121902466</v>
      </c>
      <c r="F23" s="3">
        <v>0.91985964775085505</v>
      </c>
      <c r="G23" s="3">
        <v>4.2504008859396002E-2</v>
      </c>
      <c r="H23" s="3">
        <v>2.86373924463987E-2</v>
      </c>
      <c r="I23" s="3">
        <v>107.989166666667</v>
      </c>
      <c r="J23" s="3">
        <v>2.9827330112457302</v>
      </c>
      <c r="K23" s="3">
        <v>0.96123200654983498</v>
      </c>
      <c r="L23" s="3">
        <f t="shared" si="0"/>
        <v>4</v>
      </c>
      <c r="M23">
        <f>VLOOKUP(A23,Sheet2!$B$2:$E$186,2,FALSE)</f>
        <v>4</v>
      </c>
      <c r="N23" t="s">
        <v>389</v>
      </c>
      <c r="O23" t="s">
        <v>390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</row>
    <row r="24" spans="1:47" x14ac:dyDescent="0.3">
      <c r="A24" t="s">
        <v>59</v>
      </c>
      <c r="B24" s="3">
        <v>2019</v>
      </c>
      <c r="C24" s="3">
        <v>40161.95703125</v>
      </c>
      <c r="D24" s="3">
        <v>228637.8125</v>
      </c>
      <c r="E24" s="3">
        <v>1.1612085103988601</v>
      </c>
      <c r="F24" s="3">
        <v>0.94402945041656505</v>
      </c>
      <c r="G24" s="3">
        <v>4.1939247399568599E-2</v>
      </c>
      <c r="H24" s="3">
        <v>2.8646111488342299E-2</v>
      </c>
      <c r="I24" s="3">
        <v>109.850833333333</v>
      </c>
      <c r="J24" s="3">
        <v>2.9897987842559801</v>
      </c>
      <c r="K24" s="3">
        <v>0.94758808612823497</v>
      </c>
      <c r="L24" s="3">
        <f t="shared" si="0"/>
        <v>5</v>
      </c>
      <c r="M24">
        <f>VLOOKUP(A24,Sheet2!$B$2:$E$186,2,FALSE)</f>
        <v>4</v>
      </c>
      <c r="N24" t="s">
        <v>389</v>
      </c>
      <c r="O24" t="s">
        <v>390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</row>
    <row r="25" spans="1:47" x14ac:dyDescent="0.3">
      <c r="A25" t="s">
        <v>59</v>
      </c>
      <c r="B25" s="3">
        <v>2020</v>
      </c>
      <c r="C25" s="3">
        <v>38835.77734375</v>
      </c>
      <c r="D25" s="3">
        <v>234575.390625</v>
      </c>
      <c r="E25" s="3">
        <v>1.1091212034225499</v>
      </c>
      <c r="F25" s="3">
        <v>0.96601796150207497</v>
      </c>
      <c r="G25" s="3">
        <v>3.9108142256736797E-2</v>
      </c>
      <c r="H25" s="3">
        <v>2.85391472280025E-2</v>
      </c>
      <c r="I25" s="3">
        <v>108.65</v>
      </c>
      <c r="J25" s="3">
        <v>2.99690508842468</v>
      </c>
      <c r="K25" s="3">
        <v>0.97545850276946999</v>
      </c>
      <c r="L25" s="3">
        <f t="shared" si="0"/>
        <v>6</v>
      </c>
      <c r="M25">
        <f>VLOOKUP(A25,Sheet2!$B$2:$E$186,2,FALSE)</f>
        <v>4</v>
      </c>
      <c r="N25" t="s">
        <v>389</v>
      </c>
      <c r="O25" t="s">
        <v>390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</row>
    <row r="26" spans="1:47" s="2" customFormat="1" x14ac:dyDescent="0.3">
      <c r="A26" t="s">
        <v>63</v>
      </c>
      <c r="B26" s="3">
        <v>2015</v>
      </c>
      <c r="C26" s="3">
        <v>658130.9375</v>
      </c>
      <c r="D26" s="3">
        <v>4665240.5</v>
      </c>
      <c r="E26" s="3">
        <v>5.7929506301879901</v>
      </c>
      <c r="F26" s="3"/>
      <c r="G26" s="3"/>
      <c r="H26" s="3">
        <v>3.7582173943519599E-2</v>
      </c>
      <c r="I26" s="3">
        <v>3.6724999999999999</v>
      </c>
      <c r="J26" s="3">
        <v>2.8614408969879199</v>
      </c>
      <c r="K26" s="3"/>
      <c r="L26" s="3">
        <f t="shared" si="0"/>
        <v>1</v>
      </c>
      <c r="M26">
        <f>VLOOKUP(A26,Sheet2!$B$2:$E$186,2,FALSE)</f>
        <v>5</v>
      </c>
      <c r="N26" t="s">
        <v>391</v>
      </c>
      <c r="O26" t="s">
        <v>392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/>
      <c r="AP26"/>
      <c r="AQ26"/>
      <c r="AR26"/>
      <c r="AS26"/>
      <c r="AT26"/>
      <c r="AU26"/>
    </row>
    <row r="27" spans="1:47" s="2" customFormat="1" x14ac:dyDescent="0.3">
      <c r="A27" t="s">
        <v>63</v>
      </c>
      <c r="B27" s="3">
        <v>2016</v>
      </c>
      <c r="C27" s="3">
        <v>694732.875</v>
      </c>
      <c r="D27" s="3">
        <v>4863628.5</v>
      </c>
      <c r="E27" s="3">
        <v>5.8849596977233896</v>
      </c>
      <c r="F27" s="3"/>
      <c r="G27" s="3"/>
      <c r="H27" s="3">
        <v>3.8047052919864703E-2</v>
      </c>
      <c r="I27" s="3">
        <v>3.6724999999999999</v>
      </c>
      <c r="J27" s="3">
        <v>2.89114570617676</v>
      </c>
      <c r="K27" s="3"/>
      <c r="L27" s="3">
        <f t="shared" si="0"/>
        <v>2</v>
      </c>
      <c r="M27">
        <f>VLOOKUP(A27,Sheet2!$B$2:$E$186,2,FALSE)</f>
        <v>5</v>
      </c>
      <c r="N27" t="s">
        <v>391</v>
      </c>
      <c r="O27" t="s">
        <v>392</v>
      </c>
      <c r="P27">
        <v>0</v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/>
      <c r="AP27"/>
      <c r="AQ27"/>
      <c r="AR27"/>
      <c r="AS27"/>
      <c r="AT27"/>
      <c r="AU27"/>
    </row>
    <row r="28" spans="1:47" s="2" customFormat="1" x14ac:dyDescent="0.3">
      <c r="A28" t="s">
        <v>63</v>
      </c>
      <c r="B28" s="3">
        <v>2017</v>
      </c>
      <c r="C28" s="3">
        <v>699839.625</v>
      </c>
      <c r="D28" s="3">
        <v>5015024</v>
      </c>
      <c r="E28" s="3">
        <v>5.9148077964782697</v>
      </c>
      <c r="F28" s="3"/>
      <c r="G28" s="3"/>
      <c r="H28" s="3">
        <v>3.8230750709772103E-2</v>
      </c>
      <c r="I28" s="3">
        <v>3.6724999999999999</v>
      </c>
      <c r="J28" s="3">
        <v>3.11606049537659</v>
      </c>
      <c r="K28" s="3"/>
      <c r="L28" s="3">
        <f t="shared" si="0"/>
        <v>3</v>
      </c>
      <c r="M28">
        <f>VLOOKUP(A28,Sheet2!$B$2:$E$186,2,FALSE)</f>
        <v>5</v>
      </c>
      <c r="N28" t="s">
        <v>391</v>
      </c>
      <c r="O28" t="s">
        <v>392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/>
      <c r="AP28"/>
      <c r="AQ28"/>
      <c r="AR28"/>
      <c r="AS28"/>
      <c r="AT28"/>
      <c r="AU28"/>
    </row>
    <row r="29" spans="1:47" s="2" customFormat="1" x14ac:dyDescent="0.3">
      <c r="A29" t="s">
        <v>63</v>
      </c>
      <c r="B29" s="3">
        <v>2018</v>
      </c>
      <c r="C29" s="3">
        <v>709034.875</v>
      </c>
      <c r="D29" s="3">
        <v>5142086.5</v>
      </c>
      <c r="E29" s="3">
        <v>5.9997138977050799</v>
      </c>
      <c r="F29" s="3"/>
      <c r="G29" s="3"/>
      <c r="H29" s="3">
        <v>3.7886045873165103E-2</v>
      </c>
      <c r="I29" s="3">
        <v>3.6724999999999999</v>
      </c>
      <c r="J29" s="3">
        <v>3.1974718570709202</v>
      </c>
      <c r="K29" s="3"/>
      <c r="L29" s="3">
        <f t="shared" si="0"/>
        <v>4</v>
      </c>
      <c r="M29">
        <f>VLOOKUP(A29,Sheet2!$B$2:$E$186,2,FALSE)</f>
        <v>5</v>
      </c>
      <c r="N29" t="s">
        <v>391</v>
      </c>
      <c r="O29" t="s">
        <v>392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/>
      <c r="AP29"/>
      <c r="AQ29"/>
      <c r="AR29"/>
      <c r="AS29"/>
      <c r="AT29"/>
      <c r="AU29"/>
    </row>
    <row r="30" spans="1:47" s="2" customFormat="1" x14ac:dyDescent="0.3">
      <c r="A30" t="s">
        <v>63</v>
      </c>
      <c r="B30" s="3">
        <v>2019</v>
      </c>
      <c r="C30" s="3">
        <v>716893.4375</v>
      </c>
      <c r="D30" s="3">
        <v>5297392</v>
      </c>
      <c r="E30" s="3">
        <v>6.0639724731445304</v>
      </c>
      <c r="F30" s="3"/>
      <c r="G30" s="3"/>
      <c r="H30" s="3">
        <v>3.7224709987640402E-2</v>
      </c>
      <c r="I30" s="3">
        <v>3.6724999999999999</v>
      </c>
      <c r="J30" s="3">
        <v>3.2389719486236599</v>
      </c>
      <c r="K30" s="3"/>
      <c r="L30" s="3">
        <f t="shared" si="0"/>
        <v>5</v>
      </c>
      <c r="M30">
        <f>VLOOKUP(A30,Sheet2!$B$2:$E$186,2,FALSE)</f>
        <v>5</v>
      </c>
      <c r="N30" t="s">
        <v>391</v>
      </c>
      <c r="O30" t="s">
        <v>392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/>
      <c r="AP30"/>
      <c r="AQ30"/>
      <c r="AR30"/>
      <c r="AS30"/>
      <c r="AT30"/>
      <c r="AU30"/>
    </row>
    <row r="31" spans="1:47" s="2" customFormat="1" x14ac:dyDescent="0.3">
      <c r="A31" t="s">
        <v>63</v>
      </c>
      <c r="B31" s="3">
        <v>2020</v>
      </c>
      <c r="C31" s="3">
        <v>681356.6875</v>
      </c>
      <c r="D31" s="3">
        <v>5393252.5</v>
      </c>
      <c r="E31" s="3">
        <v>5.9532985687255904</v>
      </c>
      <c r="F31" s="3"/>
      <c r="G31" s="3"/>
      <c r="H31" s="3">
        <v>3.63957621157169E-2</v>
      </c>
      <c r="I31" s="3">
        <v>3.6724999999999999</v>
      </c>
      <c r="J31" s="3">
        <v>3.24693775177002</v>
      </c>
      <c r="K31" s="3"/>
      <c r="L31" s="3">
        <f t="shared" si="0"/>
        <v>6</v>
      </c>
      <c r="M31">
        <f>VLOOKUP(A31,Sheet2!$B$2:$E$186,2,FALSE)</f>
        <v>5</v>
      </c>
      <c r="N31" t="s">
        <v>391</v>
      </c>
      <c r="O31" t="s">
        <v>392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/>
      <c r="AP31"/>
      <c r="AQ31"/>
      <c r="AR31"/>
      <c r="AS31"/>
      <c r="AT31"/>
      <c r="AU31"/>
    </row>
    <row r="32" spans="1:47" x14ac:dyDescent="0.3">
      <c r="A32" t="s">
        <v>65</v>
      </c>
      <c r="B32" s="3">
        <v>2015</v>
      </c>
      <c r="C32" s="3">
        <v>1230329.125</v>
      </c>
      <c r="D32" s="3">
        <v>4277609</v>
      </c>
      <c r="E32" s="3">
        <v>19.854450225830099</v>
      </c>
      <c r="F32" s="3">
        <v>0.90855610370635997</v>
      </c>
      <c r="G32" s="3">
        <v>0.121515884995461</v>
      </c>
      <c r="H32" s="3">
        <v>3.8572270423173897E-2</v>
      </c>
      <c r="I32" s="3">
        <v>9.2331855247242896</v>
      </c>
      <c r="J32" s="3">
        <v>2.9752891063690199</v>
      </c>
      <c r="K32" s="3">
        <v>1.1472270488739</v>
      </c>
      <c r="L32" s="3">
        <f t="shared" si="0"/>
        <v>1</v>
      </c>
      <c r="M32">
        <f>VLOOKUP(A32,Sheet2!$B$2:$E$186,2,FALSE)</f>
        <v>6</v>
      </c>
      <c r="N32" t="s">
        <v>385</v>
      </c>
      <c r="O32" t="s">
        <v>393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 spans="1:47" x14ac:dyDescent="0.3">
      <c r="A33" t="s">
        <v>65</v>
      </c>
      <c r="B33" s="3">
        <v>2016</v>
      </c>
      <c r="C33" s="3">
        <v>1204734.25</v>
      </c>
      <c r="D33" s="3">
        <v>4359475</v>
      </c>
      <c r="E33" s="3">
        <v>19.7231750488281</v>
      </c>
      <c r="F33" s="3">
        <v>0.92795401811599698</v>
      </c>
      <c r="G33" s="3">
        <v>0.119610123336315</v>
      </c>
      <c r="H33" s="3">
        <v>3.8749530911445597E-2</v>
      </c>
      <c r="I33" s="3">
        <v>14.7581750873396</v>
      </c>
      <c r="J33" s="3">
        <v>3.0052134990692099</v>
      </c>
      <c r="K33" s="3">
        <v>1.14013743400574</v>
      </c>
      <c r="L33" s="3">
        <f t="shared" si="0"/>
        <v>2</v>
      </c>
      <c r="M33">
        <f>VLOOKUP(A33,Sheet2!$B$2:$E$186,2,FALSE)</f>
        <v>6</v>
      </c>
      <c r="N33" t="s">
        <v>385</v>
      </c>
      <c r="O33" t="s">
        <v>393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</row>
    <row r="34" spans="1:47" x14ac:dyDescent="0.3">
      <c r="A34" t="s">
        <v>65</v>
      </c>
      <c r="B34" s="3">
        <v>2017</v>
      </c>
      <c r="C34" s="3">
        <v>1238689.875</v>
      </c>
      <c r="D34" s="3">
        <v>4468098.5</v>
      </c>
      <c r="E34" s="3">
        <v>20.0336608886719</v>
      </c>
      <c r="F34" s="3">
        <v>0.95406013727188099</v>
      </c>
      <c r="G34" s="3">
        <v>0.122970558702946</v>
      </c>
      <c r="H34" s="3">
        <v>3.90813574194908E-2</v>
      </c>
      <c r="I34" s="3">
        <v>16.5627069251411</v>
      </c>
      <c r="J34" s="3">
        <v>3.0354387760162398</v>
      </c>
      <c r="K34" s="3">
        <v>1.1736989021301301</v>
      </c>
      <c r="L34" s="3">
        <f t="shared" si="0"/>
        <v>3</v>
      </c>
      <c r="M34">
        <f>VLOOKUP(A34,Sheet2!$B$2:$E$186,2,FALSE)</f>
        <v>6</v>
      </c>
      <c r="N34" t="s">
        <v>385</v>
      </c>
      <c r="O34" t="s">
        <v>393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</row>
    <row r="35" spans="1:47" x14ac:dyDescent="0.3">
      <c r="A35" t="s">
        <v>65</v>
      </c>
      <c r="B35" s="3">
        <v>2018</v>
      </c>
      <c r="C35" s="3">
        <v>1206268.25</v>
      </c>
      <c r="D35" s="3">
        <v>4558053</v>
      </c>
      <c r="E35" s="3">
        <v>20.1350708007813</v>
      </c>
      <c r="F35" s="3">
        <v>0.97380876541137695</v>
      </c>
      <c r="G35" s="3">
        <v>0.13046714663505601</v>
      </c>
      <c r="H35" s="3">
        <v>3.9239753037691102E-2</v>
      </c>
      <c r="I35" s="3">
        <v>28.094991666666701</v>
      </c>
      <c r="J35" s="3">
        <v>3.06596803665161</v>
      </c>
      <c r="K35" s="3">
        <v>1.1167079210281401</v>
      </c>
      <c r="L35" s="3">
        <f t="shared" si="0"/>
        <v>4</v>
      </c>
      <c r="M35">
        <f>VLOOKUP(A35,Sheet2!$B$2:$E$186,2,FALSE)</f>
        <v>6</v>
      </c>
      <c r="N35" t="s">
        <v>385</v>
      </c>
      <c r="O35" t="s">
        <v>393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 spans="1:47" x14ac:dyDescent="0.3">
      <c r="A36" t="s">
        <v>65</v>
      </c>
      <c r="B36" s="3">
        <v>2019</v>
      </c>
      <c r="C36" s="3">
        <v>1182132.5</v>
      </c>
      <c r="D36" s="3">
        <v>4605820</v>
      </c>
      <c r="E36" s="3">
        <v>20.6432781219482</v>
      </c>
      <c r="F36" s="3">
        <v>0.98147284984588601</v>
      </c>
      <c r="G36" s="3">
        <v>0.119704782962799</v>
      </c>
      <c r="H36" s="3">
        <v>3.8820769637823098E-2</v>
      </c>
      <c r="I36" s="3">
        <v>48.147891666666702</v>
      </c>
      <c r="J36" s="3">
        <v>3.0968043804168701</v>
      </c>
      <c r="K36" s="3">
        <v>1.0083192586898799</v>
      </c>
      <c r="L36" s="3">
        <f t="shared" si="0"/>
        <v>5</v>
      </c>
      <c r="M36">
        <f>VLOOKUP(A36,Sheet2!$B$2:$E$186,2,FALSE)</f>
        <v>6</v>
      </c>
      <c r="N36" t="s">
        <v>385</v>
      </c>
      <c r="O36" t="s">
        <v>393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</row>
    <row r="37" spans="1:47" x14ac:dyDescent="0.3">
      <c r="A37" t="s">
        <v>65</v>
      </c>
      <c r="B37" s="3">
        <v>2020</v>
      </c>
      <c r="C37" s="3">
        <v>1065095.75</v>
      </c>
      <c r="D37" s="3">
        <v>4625739</v>
      </c>
      <c r="E37" s="3">
        <v>18.7495632171631</v>
      </c>
      <c r="F37" s="3">
        <v>0.98176628351211603</v>
      </c>
      <c r="G37" s="3">
        <v>9.2383638024330098E-2</v>
      </c>
      <c r="H37" s="3">
        <v>3.8047365844249698E-2</v>
      </c>
      <c r="I37" s="3">
        <v>70.539166666666702</v>
      </c>
      <c r="J37" s="3">
        <v>3.12795066833496</v>
      </c>
      <c r="K37" s="3">
        <v>0.98257148265838601</v>
      </c>
      <c r="L37" s="3">
        <f t="shared" si="0"/>
        <v>6</v>
      </c>
      <c r="M37">
        <f>VLOOKUP(A37,Sheet2!$B$2:$E$186,2,FALSE)</f>
        <v>6</v>
      </c>
      <c r="N37" t="s">
        <v>385</v>
      </c>
      <c r="O37" t="s">
        <v>393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 spans="1:47" x14ac:dyDescent="0.3">
      <c r="A38" t="s">
        <v>68</v>
      </c>
      <c r="B38" s="3">
        <v>2015</v>
      </c>
      <c r="C38" s="3">
        <v>41846.97265625</v>
      </c>
      <c r="D38" s="3">
        <v>211489.765625</v>
      </c>
      <c r="E38" s="3">
        <v>1.07190537452698</v>
      </c>
      <c r="F38" s="3">
        <v>0.83716988563537598</v>
      </c>
      <c r="G38" s="3">
        <v>7.9937756061553997E-2</v>
      </c>
      <c r="H38" s="3">
        <v>3.0163602903485302E-2</v>
      </c>
      <c r="I38" s="3">
        <v>477.91830657609898</v>
      </c>
      <c r="J38" s="3">
        <v>3.20567798614502</v>
      </c>
      <c r="K38" s="3">
        <v>0.93468469381332397</v>
      </c>
      <c r="L38" s="3">
        <f t="shared" si="0"/>
        <v>1</v>
      </c>
      <c r="M38">
        <f>VLOOKUP(A38,Sheet2!$B$2:$E$186,2,FALSE)</f>
        <v>7</v>
      </c>
      <c r="N38" t="s">
        <v>391</v>
      </c>
      <c r="O38" t="s">
        <v>392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</row>
    <row r="39" spans="1:47" x14ac:dyDescent="0.3">
      <c r="A39" t="s">
        <v>68</v>
      </c>
      <c r="B39" s="3">
        <v>2016</v>
      </c>
      <c r="C39" s="3">
        <v>41918.8828125</v>
      </c>
      <c r="D39" s="3">
        <v>215075.109375</v>
      </c>
      <c r="E39" s="3">
        <v>1.0058494806289699</v>
      </c>
      <c r="F39" s="3">
        <v>0.85499560832977295</v>
      </c>
      <c r="G39" s="3">
        <v>8.5348747670650496E-2</v>
      </c>
      <c r="H39" s="3">
        <v>3.05050686001778E-2</v>
      </c>
      <c r="I39" s="3">
        <v>480.48815077796598</v>
      </c>
      <c r="J39" s="3">
        <v>3.2312896251678498</v>
      </c>
      <c r="K39" s="3">
        <v>0.92760533094406095</v>
      </c>
      <c r="L39" s="3">
        <f t="shared" si="0"/>
        <v>2</v>
      </c>
      <c r="M39">
        <f>VLOOKUP(A39,Sheet2!$B$2:$E$186,2,FALSE)</f>
        <v>7</v>
      </c>
      <c r="N39" t="s">
        <v>391</v>
      </c>
      <c r="O39" t="s">
        <v>392</v>
      </c>
      <c r="P39">
        <v>0</v>
      </c>
      <c r="Q39">
        <v>0</v>
      </c>
      <c r="R39">
        <v>1</v>
      </c>
      <c r="S39">
        <v>0</v>
      </c>
      <c r="T39">
        <v>0</v>
      </c>
      <c r="U39">
        <v>0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</row>
    <row r="40" spans="1:47" x14ac:dyDescent="0.3">
      <c r="A40" t="s">
        <v>68</v>
      </c>
      <c r="B40" s="3">
        <v>2017</v>
      </c>
      <c r="C40" s="3">
        <v>45075.05078125</v>
      </c>
      <c r="D40" s="3">
        <v>219472.140625</v>
      </c>
      <c r="E40" s="3">
        <v>1.01252901554108</v>
      </c>
      <c r="F40" s="3">
        <v>0.87775975465774503</v>
      </c>
      <c r="G40" s="3">
        <v>9.5580965280532795E-2</v>
      </c>
      <c r="H40" s="3">
        <v>3.08799762278795E-2</v>
      </c>
      <c r="I40" s="3">
        <v>482.71639384912902</v>
      </c>
      <c r="J40" s="3">
        <v>3.1257348060607901</v>
      </c>
      <c r="K40" s="3">
        <v>1.0346599817276001</v>
      </c>
      <c r="L40" s="3">
        <f t="shared" si="0"/>
        <v>3</v>
      </c>
      <c r="M40">
        <f>VLOOKUP(A40,Sheet2!$B$2:$E$186,2,FALSE)</f>
        <v>7</v>
      </c>
      <c r="N40" t="s">
        <v>391</v>
      </c>
      <c r="O40" t="s">
        <v>392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</row>
    <row r="41" spans="1:47" x14ac:dyDescent="0.3">
      <c r="A41" t="s">
        <v>68</v>
      </c>
      <c r="B41" s="3">
        <v>2018</v>
      </c>
      <c r="C41" s="3">
        <v>47420.078125</v>
      </c>
      <c r="D41" s="3">
        <v>224084.03125</v>
      </c>
      <c r="E41" s="3">
        <v>1.05013859272003</v>
      </c>
      <c r="F41" s="3">
        <v>0.90529245138168302</v>
      </c>
      <c r="G41" s="3">
        <v>0.109288014471531</v>
      </c>
      <c r="H41" s="3">
        <v>3.1643360853195197E-2</v>
      </c>
      <c r="I41" s="3">
        <v>482.98794659023503</v>
      </c>
      <c r="J41" s="3">
        <v>3.1354441642761199</v>
      </c>
      <c r="K41" s="3">
        <v>1.0451970100402801</v>
      </c>
      <c r="L41" s="3">
        <f t="shared" si="0"/>
        <v>4</v>
      </c>
      <c r="M41">
        <f>VLOOKUP(A41,Sheet2!$B$2:$E$186,2,FALSE)</f>
        <v>7</v>
      </c>
      <c r="N41" t="s">
        <v>391</v>
      </c>
      <c r="O41" t="s">
        <v>392</v>
      </c>
      <c r="P41">
        <v>0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  <row r="42" spans="1:47" x14ac:dyDescent="0.3">
      <c r="A42" t="s">
        <v>68</v>
      </c>
      <c r="B42" s="3">
        <v>2019</v>
      </c>
      <c r="C42" s="3">
        <v>51038.36328125</v>
      </c>
      <c r="D42" s="3">
        <v>228847.75</v>
      </c>
      <c r="E42" s="3">
        <v>1.07873547077179</v>
      </c>
      <c r="F42" s="3">
        <v>0.93197751045227095</v>
      </c>
      <c r="G42" s="3">
        <v>0.12756919860839799</v>
      </c>
      <c r="H42" s="3">
        <v>3.2635290175676297E-2</v>
      </c>
      <c r="I42" s="3">
        <v>480.445128767119</v>
      </c>
      <c r="J42" s="3">
        <v>3.1451833248138401</v>
      </c>
      <c r="K42" s="3">
        <v>1.0843747854232799</v>
      </c>
      <c r="L42" s="3">
        <f t="shared" si="0"/>
        <v>5</v>
      </c>
      <c r="M42">
        <f>VLOOKUP(A42,Sheet2!$B$2:$E$186,2,FALSE)</f>
        <v>7</v>
      </c>
      <c r="N42" t="s">
        <v>391</v>
      </c>
      <c r="O42" t="s">
        <v>392</v>
      </c>
      <c r="P42">
        <v>0</v>
      </c>
      <c r="Q42">
        <v>0</v>
      </c>
      <c r="R42">
        <v>1</v>
      </c>
      <c r="S42">
        <v>0</v>
      </c>
      <c r="T42">
        <v>0</v>
      </c>
      <c r="U42">
        <v>0</v>
      </c>
      <c r="V42">
        <v>0</v>
      </c>
      <c r="W42">
        <v>0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</row>
    <row r="43" spans="1:47" x14ac:dyDescent="0.3">
      <c r="A43" t="s">
        <v>68</v>
      </c>
      <c r="B43" s="3">
        <v>2020</v>
      </c>
      <c r="C43" s="3">
        <v>47384.65625</v>
      </c>
      <c r="D43" s="3">
        <v>233158.671875</v>
      </c>
      <c r="E43" s="3">
        <v>1.0520116090774501</v>
      </c>
      <c r="F43" s="3">
        <v>0.95704948902130105</v>
      </c>
      <c r="G43" s="3">
        <v>9.9061630666256006E-2</v>
      </c>
      <c r="H43" s="3">
        <v>3.3560443669557599E-2</v>
      </c>
      <c r="I43" s="3">
        <v>489.008858590915</v>
      </c>
      <c r="J43" s="3">
        <v>3.1549530029296902</v>
      </c>
      <c r="K43" s="3">
        <v>1.0173542499542201</v>
      </c>
      <c r="L43" s="3">
        <f t="shared" si="0"/>
        <v>6</v>
      </c>
      <c r="M43">
        <f>VLOOKUP(A43,Sheet2!$B$2:$E$186,2,FALSE)</f>
        <v>7</v>
      </c>
      <c r="N43" t="s">
        <v>391</v>
      </c>
      <c r="O43" t="s">
        <v>392</v>
      </c>
      <c r="P43">
        <v>0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</row>
    <row r="44" spans="1:47" s="2" customFormat="1" x14ac:dyDescent="0.3">
      <c r="A44" t="s">
        <v>70</v>
      </c>
      <c r="B44" s="3">
        <v>2015</v>
      </c>
      <c r="C44" s="3">
        <v>2432.97827148438</v>
      </c>
      <c r="D44" s="3">
        <v>13355.2177734375</v>
      </c>
      <c r="E44" s="3"/>
      <c r="F44" s="3"/>
      <c r="G44" s="3"/>
      <c r="H44" s="3">
        <v>2.9056711122393601E-2</v>
      </c>
      <c r="I44" s="3">
        <v>2.7</v>
      </c>
      <c r="J44" s="3"/>
      <c r="K44" s="3"/>
      <c r="L44" s="3">
        <f t="shared" si="0"/>
        <v>1</v>
      </c>
      <c r="M44">
        <f>VLOOKUP(A44,Sheet2!$B$2:$E$186,2,FALSE)</f>
        <v>8</v>
      </c>
      <c r="N44" t="s">
        <v>385</v>
      </c>
      <c r="O44" t="s">
        <v>386</v>
      </c>
      <c r="P44">
        <v>1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/>
      <c r="AP44"/>
      <c r="AQ44"/>
      <c r="AR44"/>
      <c r="AS44"/>
      <c r="AT44"/>
      <c r="AU44"/>
    </row>
    <row r="45" spans="1:47" s="2" customFormat="1" x14ac:dyDescent="0.3">
      <c r="A45" t="s">
        <v>70</v>
      </c>
      <c r="B45" s="3">
        <v>2016</v>
      </c>
      <c r="C45" s="3">
        <v>2533.21801757813</v>
      </c>
      <c r="D45" s="3">
        <v>13828.7763671875</v>
      </c>
      <c r="E45" s="3"/>
      <c r="F45" s="3"/>
      <c r="G45" s="3"/>
      <c r="H45" s="3">
        <v>2.7788715437054599E-2</v>
      </c>
      <c r="I45" s="3">
        <v>2.7</v>
      </c>
      <c r="J45" s="3"/>
      <c r="K45" s="3"/>
      <c r="L45" s="3">
        <f t="shared" si="0"/>
        <v>2</v>
      </c>
      <c r="M45">
        <f>VLOOKUP(A45,Sheet2!$B$2:$E$186,2,FALSE)</f>
        <v>8</v>
      </c>
      <c r="N45" t="s">
        <v>385</v>
      </c>
      <c r="O45" t="s">
        <v>386</v>
      </c>
      <c r="P45">
        <v>1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/>
      <c r="AP45"/>
      <c r="AQ45"/>
      <c r="AR45"/>
      <c r="AS45"/>
      <c r="AT45"/>
      <c r="AU45"/>
    </row>
    <row r="46" spans="1:47" s="2" customFormat="1" x14ac:dyDescent="0.3">
      <c r="A46" t="s">
        <v>70</v>
      </c>
      <c r="B46" s="3">
        <v>2017</v>
      </c>
      <c r="C46" s="3">
        <v>2595.09423828125</v>
      </c>
      <c r="D46" s="3">
        <v>14329.291015625</v>
      </c>
      <c r="E46" s="3"/>
      <c r="F46" s="3"/>
      <c r="G46" s="3"/>
      <c r="H46" s="3">
        <v>2.7379790320992501E-2</v>
      </c>
      <c r="I46" s="3">
        <v>2.7</v>
      </c>
      <c r="J46" s="3"/>
      <c r="K46" s="3"/>
      <c r="L46" s="3">
        <f t="shared" si="0"/>
        <v>3</v>
      </c>
      <c r="M46">
        <f>VLOOKUP(A46,Sheet2!$B$2:$E$186,2,FALSE)</f>
        <v>8</v>
      </c>
      <c r="N46" t="s">
        <v>385</v>
      </c>
      <c r="O46" t="s">
        <v>386</v>
      </c>
      <c r="P46">
        <v>1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/>
      <c r="AP46"/>
      <c r="AQ46"/>
      <c r="AR46"/>
      <c r="AS46"/>
      <c r="AT46"/>
      <c r="AU46"/>
    </row>
    <row r="47" spans="1:47" s="2" customFormat="1" x14ac:dyDescent="0.3">
      <c r="A47" t="s">
        <v>70</v>
      </c>
      <c r="B47" s="3">
        <v>2018</v>
      </c>
      <c r="C47" s="3">
        <v>2775.77319335938</v>
      </c>
      <c r="D47" s="3">
        <v>15424.9130859375</v>
      </c>
      <c r="E47" s="3"/>
      <c r="F47" s="3"/>
      <c r="G47" s="3"/>
      <c r="H47" s="3">
        <v>2.74950265884399E-2</v>
      </c>
      <c r="I47" s="3">
        <v>2.7</v>
      </c>
      <c r="J47" s="3"/>
      <c r="K47" s="3"/>
      <c r="L47" s="3">
        <f t="shared" si="0"/>
        <v>4</v>
      </c>
      <c r="M47">
        <f>VLOOKUP(A47,Sheet2!$B$2:$E$186,2,FALSE)</f>
        <v>8</v>
      </c>
      <c r="N47" t="s">
        <v>385</v>
      </c>
      <c r="O47" t="s">
        <v>386</v>
      </c>
      <c r="P47">
        <v>1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/>
      <c r="AP47"/>
      <c r="AQ47"/>
      <c r="AR47"/>
      <c r="AS47"/>
      <c r="AT47"/>
      <c r="AU47"/>
    </row>
    <row r="48" spans="1:47" s="2" customFormat="1" x14ac:dyDescent="0.3">
      <c r="A48" t="s">
        <v>70</v>
      </c>
      <c r="B48" s="3">
        <v>2019</v>
      </c>
      <c r="C48" s="3">
        <v>2861.78125</v>
      </c>
      <c r="D48" s="3">
        <v>16487.71484375</v>
      </c>
      <c r="E48" s="3"/>
      <c r="F48" s="3"/>
      <c r="G48" s="3"/>
      <c r="H48" s="3">
        <v>2.7511490508914001E-2</v>
      </c>
      <c r="I48" s="3">
        <v>2.7</v>
      </c>
      <c r="J48" s="3"/>
      <c r="K48" s="3"/>
      <c r="L48" s="3">
        <f t="shared" si="0"/>
        <v>5</v>
      </c>
      <c r="M48">
        <f>VLOOKUP(A48,Sheet2!$B$2:$E$186,2,FALSE)</f>
        <v>8</v>
      </c>
      <c r="N48" t="s">
        <v>385</v>
      </c>
      <c r="O48" t="s">
        <v>386</v>
      </c>
      <c r="P48">
        <v>1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/>
      <c r="AP48"/>
      <c r="AQ48"/>
      <c r="AR48"/>
      <c r="AS48"/>
      <c r="AT48"/>
      <c r="AU48"/>
    </row>
    <row r="49" spans="1:47" s="2" customFormat="1" x14ac:dyDescent="0.3">
      <c r="A49" t="s">
        <v>70</v>
      </c>
      <c r="B49" s="3">
        <v>2020</v>
      </c>
      <c r="C49" s="3">
        <v>2321.60083007813</v>
      </c>
      <c r="D49" s="3">
        <v>17287.861328125</v>
      </c>
      <c r="E49" s="3"/>
      <c r="F49" s="3"/>
      <c r="G49" s="3"/>
      <c r="H49" s="3">
        <v>2.7496907860040699E-2</v>
      </c>
      <c r="I49" s="3">
        <v>2.7</v>
      </c>
      <c r="J49" s="3"/>
      <c r="K49" s="3"/>
      <c r="L49" s="3">
        <f t="shared" si="0"/>
        <v>6</v>
      </c>
      <c r="M49">
        <f>VLOOKUP(A49,Sheet2!$B$2:$E$186,2,FALSE)</f>
        <v>8</v>
      </c>
      <c r="N49" t="s">
        <v>385</v>
      </c>
      <c r="O49" t="s">
        <v>386</v>
      </c>
      <c r="P49">
        <v>1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/>
      <c r="AP49"/>
      <c r="AQ49"/>
      <c r="AR49"/>
      <c r="AS49"/>
      <c r="AT49"/>
      <c r="AU49"/>
    </row>
    <row r="50" spans="1:47" x14ac:dyDescent="0.3">
      <c r="A50" t="s">
        <v>71</v>
      </c>
      <c r="B50" s="3">
        <v>2015</v>
      </c>
      <c r="C50" s="3">
        <v>1434652.875</v>
      </c>
      <c r="D50" s="3">
        <v>6797224</v>
      </c>
      <c r="E50" s="3">
        <v>12.0478782653809</v>
      </c>
      <c r="F50" s="3">
        <v>0.87551540136337302</v>
      </c>
      <c r="G50" s="3">
        <v>4.2177584022283603E-2</v>
      </c>
      <c r="H50" s="3">
        <v>3.2884359359741197E-2</v>
      </c>
      <c r="I50" s="3">
        <v>1.33109026245502</v>
      </c>
      <c r="J50" s="3">
        <v>3.4955034255981401</v>
      </c>
      <c r="K50" s="3">
        <v>0.96135288476944003</v>
      </c>
      <c r="L50" s="3">
        <f t="shared" si="0"/>
        <v>1</v>
      </c>
      <c r="M50">
        <f>VLOOKUP(A50,Sheet2!$B$2:$E$186,2,FALSE)</f>
        <v>9</v>
      </c>
      <c r="N50" t="s">
        <v>394</v>
      </c>
      <c r="O50" t="s">
        <v>395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</row>
    <row r="51" spans="1:47" x14ac:dyDescent="0.3">
      <c r="A51" t="s">
        <v>71</v>
      </c>
      <c r="B51" s="3">
        <v>2016</v>
      </c>
      <c r="C51" s="3">
        <v>1467357.125</v>
      </c>
      <c r="D51" s="3">
        <v>6940895</v>
      </c>
      <c r="E51" s="3">
        <v>12.306465148925801</v>
      </c>
      <c r="F51" s="3">
        <v>0.89267379045486495</v>
      </c>
      <c r="G51" s="3">
        <v>4.8659648746252102E-2</v>
      </c>
      <c r="H51" s="3">
        <v>3.2708380371332203E-2</v>
      </c>
      <c r="I51" s="3">
        <v>1.3452139760194699</v>
      </c>
      <c r="J51" s="3">
        <v>3.5089662075042698</v>
      </c>
      <c r="K51" s="3">
        <v>0.96424388885498102</v>
      </c>
      <c r="L51" s="3">
        <f t="shared" si="0"/>
        <v>2</v>
      </c>
      <c r="M51">
        <f>VLOOKUP(A51,Sheet2!$B$2:$E$186,2,FALSE)</f>
        <v>9</v>
      </c>
      <c r="N51" t="s">
        <v>394</v>
      </c>
      <c r="O51" t="s">
        <v>395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</row>
    <row r="52" spans="1:47" x14ac:dyDescent="0.3">
      <c r="A52" t="s">
        <v>71</v>
      </c>
      <c r="B52" s="3">
        <v>2017</v>
      </c>
      <c r="C52" s="3">
        <v>1509594.5</v>
      </c>
      <c r="D52" s="3">
        <v>7098245</v>
      </c>
      <c r="E52" s="3">
        <v>12.4996700286865</v>
      </c>
      <c r="F52" s="3">
        <v>0.91340267658233598</v>
      </c>
      <c r="G52" s="3">
        <v>4.8920996487140697E-2</v>
      </c>
      <c r="H52" s="3">
        <v>3.26015762984753E-2</v>
      </c>
      <c r="I52" s="3">
        <v>1.3047580767159199</v>
      </c>
      <c r="J52" s="3">
        <v>3.5224807262420699</v>
      </c>
      <c r="K52" s="3">
        <v>0.97884684801101696</v>
      </c>
      <c r="L52" s="3">
        <f t="shared" si="0"/>
        <v>3</v>
      </c>
      <c r="M52">
        <f>VLOOKUP(A52,Sheet2!$B$2:$E$186,2,FALSE)</f>
        <v>9</v>
      </c>
      <c r="N52" t="s">
        <v>394</v>
      </c>
      <c r="O52" t="s">
        <v>395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</row>
    <row r="53" spans="1:47" x14ac:dyDescent="0.3">
      <c r="A53" t="s">
        <v>71</v>
      </c>
      <c r="B53" s="3">
        <v>2018</v>
      </c>
      <c r="C53" s="3">
        <v>1542376</v>
      </c>
      <c r="D53" s="3">
        <v>7245557</v>
      </c>
      <c r="E53" s="3">
        <v>12.8947973251343</v>
      </c>
      <c r="F53" s="3">
        <v>0.93318998813629195</v>
      </c>
      <c r="G53" s="3">
        <v>5.05322143435478E-2</v>
      </c>
      <c r="H53" s="3">
        <v>3.2594334334135097E-2</v>
      </c>
      <c r="I53" s="3">
        <v>1.33841214646451</v>
      </c>
      <c r="J53" s="3">
        <v>3.5360474586486799</v>
      </c>
      <c r="K53" s="3">
        <v>0.96644026041030895</v>
      </c>
      <c r="L53" s="3">
        <f t="shared" si="0"/>
        <v>4</v>
      </c>
      <c r="M53">
        <f>VLOOKUP(A53,Sheet2!$B$2:$E$186,2,FALSE)</f>
        <v>9</v>
      </c>
      <c r="N53" t="s">
        <v>394</v>
      </c>
      <c r="O53" t="s">
        <v>395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</row>
    <row r="54" spans="1:47" x14ac:dyDescent="0.3">
      <c r="A54" t="s">
        <v>71</v>
      </c>
      <c r="B54" s="3">
        <v>2019</v>
      </c>
      <c r="C54" s="3">
        <v>1540531.375</v>
      </c>
      <c r="D54" s="3">
        <v>7380284</v>
      </c>
      <c r="E54" s="3">
        <v>13.1821699142456</v>
      </c>
      <c r="F54" s="3">
        <v>0.95223349332809504</v>
      </c>
      <c r="G54" s="3">
        <v>4.95702177286148E-2</v>
      </c>
      <c r="H54" s="3">
        <v>3.2651323825120898E-2</v>
      </c>
      <c r="I54" s="3">
        <v>1.4385065442138201</v>
      </c>
      <c r="J54" s="3">
        <v>3.5496661663055402</v>
      </c>
      <c r="K54" s="3">
        <v>0.93339347839355502</v>
      </c>
      <c r="L54" s="3">
        <f t="shared" si="0"/>
        <v>5</v>
      </c>
      <c r="M54">
        <f>VLOOKUP(A54,Sheet2!$B$2:$E$186,2,FALSE)</f>
        <v>9</v>
      </c>
      <c r="N54" t="s">
        <v>394</v>
      </c>
      <c r="O54" t="s">
        <v>395</v>
      </c>
      <c r="P54">
        <v>0</v>
      </c>
      <c r="Q54">
        <v>0</v>
      </c>
      <c r="R54">
        <v>0</v>
      </c>
      <c r="S54">
        <v>0</v>
      </c>
      <c r="T54">
        <v>1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</row>
    <row r="55" spans="1:47" x14ac:dyDescent="0.3">
      <c r="A55" t="s">
        <v>71</v>
      </c>
      <c r="B55" s="3">
        <v>2020</v>
      </c>
      <c r="C55" s="3">
        <v>1573054.625</v>
      </c>
      <c r="D55" s="3">
        <v>7524767.5</v>
      </c>
      <c r="E55" s="3">
        <v>13.200291633606</v>
      </c>
      <c r="F55" s="3">
        <v>0.973441481590271</v>
      </c>
      <c r="G55" s="3">
        <v>5.2364449948072399E-2</v>
      </c>
      <c r="H55" s="3">
        <v>3.2792471349239398E-2</v>
      </c>
      <c r="I55" s="3">
        <v>1.4530851184701601</v>
      </c>
      <c r="J55" s="3">
        <v>3.5633375644683798</v>
      </c>
      <c r="K55" s="3">
        <v>0.96627694368362405</v>
      </c>
      <c r="L55" s="3">
        <f t="shared" si="0"/>
        <v>6</v>
      </c>
      <c r="M55">
        <f>VLOOKUP(A55,Sheet2!$B$2:$E$186,2,FALSE)</f>
        <v>9</v>
      </c>
      <c r="N55" t="s">
        <v>394</v>
      </c>
      <c r="O55" t="s">
        <v>395</v>
      </c>
      <c r="P55">
        <v>0</v>
      </c>
      <c r="Q55">
        <v>0</v>
      </c>
      <c r="R55">
        <v>0</v>
      </c>
      <c r="S55">
        <v>0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</row>
    <row r="56" spans="1:47" x14ac:dyDescent="0.3">
      <c r="A56" t="s">
        <v>73</v>
      </c>
      <c r="B56" s="3">
        <v>2015</v>
      </c>
      <c r="C56" s="3">
        <v>516414.1875</v>
      </c>
      <c r="D56" s="3">
        <v>2852331.75</v>
      </c>
      <c r="E56" s="3">
        <v>4.2740850448608398</v>
      </c>
      <c r="F56" s="3">
        <v>0.86857908964157104</v>
      </c>
      <c r="G56" s="3">
        <v>5.4969962686300299E-2</v>
      </c>
      <c r="H56" s="3">
        <v>4.0999498218298E-2</v>
      </c>
      <c r="I56" s="3">
        <v>0.90129642336709603</v>
      </c>
      <c r="J56" s="3">
        <v>3.3370633125305198</v>
      </c>
      <c r="K56" s="3">
        <v>1.00078749656677</v>
      </c>
      <c r="L56" s="3">
        <f t="shared" si="0"/>
        <v>1</v>
      </c>
      <c r="M56">
        <f>VLOOKUP(A56,Sheet2!$B$2:$E$186,2,FALSE)</f>
        <v>10</v>
      </c>
      <c r="N56" t="s">
        <v>389</v>
      </c>
      <c r="O56" t="s">
        <v>396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</row>
    <row r="57" spans="1:47" x14ac:dyDescent="0.3">
      <c r="A57" t="s">
        <v>73</v>
      </c>
      <c r="B57" s="3">
        <v>2016</v>
      </c>
      <c r="C57" s="3">
        <v>527347.8125</v>
      </c>
      <c r="D57" s="3">
        <v>2896182.75</v>
      </c>
      <c r="E57" s="3">
        <v>4.3218293190002397</v>
      </c>
      <c r="F57" s="3">
        <v>0.88839411735534701</v>
      </c>
      <c r="G57" s="3">
        <v>5.7066638022661202E-2</v>
      </c>
      <c r="H57" s="3">
        <v>4.1384283453226103E-2</v>
      </c>
      <c r="I57" s="3">
        <v>0.90342143625726301</v>
      </c>
      <c r="J57" s="3">
        <v>3.3480052947997998</v>
      </c>
      <c r="K57" s="3">
        <v>1.00208055973053</v>
      </c>
      <c r="L57" s="3">
        <f t="shared" si="0"/>
        <v>2</v>
      </c>
      <c r="M57">
        <f>VLOOKUP(A57,Sheet2!$B$2:$E$186,2,FALSE)</f>
        <v>10</v>
      </c>
      <c r="N57" t="s">
        <v>389</v>
      </c>
      <c r="O57" t="s">
        <v>396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</row>
    <row r="58" spans="1:47" x14ac:dyDescent="0.3">
      <c r="A58" t="s">
        <v>73</v>
      </c>
      <c r="B58" s="3">
        <v>2017</v>
      </c>
      <c r="C58" s="3">
        <v>539330.4375</v>
      </c>
      <c r="D58" s="3">
        <v>2943963</v>
      </c>
      <c r="E58" s="3">
        <v>4.3961615562439</v>
      </c>
      <c r="F58" s="3">
        <v>0.90993124246597301</v>
      </c>
      <c r="G58" s="3">
        <v>5.6410644203424502E-2</v>
      </c>
      <c r="H58" s="3">
        <v>4.1900515556335498E-2</v>
      </c>
      <c r="I58" s="3">
        <v>0.88520550826937205</v>
      </c>
      <c r="J58" s="3">
        <v>3.3589830398559601</v>
      </c>
      <c r="K58" s="3">
        <v>1.0059276819229099</v>
      </c>
      <c r="L58" s="3">
        <f t="shared" si="0"/>
        <v>3</v>
      </c>
      <c r="M58">
        <f>VLOOKUP(A58,Sheet2!$B$2:$E$186,2,FALSE)</f>
        <v>10</v>
      </c>
      <c r="N58" t="s">
        <v>389</v>
      </c>
      <c r="O58" t="s">
        <v>396</v>
      </c>
      <c r="P58">
        <v>0</v>
      </c>
      <c r="Q58">
        <v>1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</row>
    <row r="59" spans="1:47" x14ac:dyDescent="0.3">
      <c r="A59" t="s">
        <v>73</v>
      </c>
      <c r="B59" s="3">
        <v>2018</v>
      </c>
      <c r="C59" s="3">
        <v>552728.625</v>
      </c>
      <c r="D59" s="3">
        <v>2995897.5</v>
      </c>
      <c r="E59" s="3">
        <v>4.4743742942810103</v>
      </c>
      <c r="F59" s="3">
        <v>0.93323361873626698</v>
      </c>
      <c r="G59" s="3">
        <v>5.6599639356136301E-2</v>
      </c>
      <c r="H59" s="3">
        <v>4.2459584772586802E-2</v>
      </c>
      <c r="I59" s="3">
        <v>0.84677266710811105</v>
      </c>
      <c r="J59" s="3">
        <v>3.3699967861175502</v>
      </c>
      <c r="K59" s="3">
        <v>1.00408315658569</v>
      </c>
      <c r="L59" s="3">
        <f t="shared" si="0"/>
        <v>4</v>
      </c>
      <c r="M59">
        <f>VLOOKUP(A59,Sheet2!$B$2:$E$186,2,FALSE)</f>
        <v>10</v>
      </c>
      <c r="N59" t="s">
        <v>389</v>
      </c>
      <c r="O59" t="s">
        <v>396</v>
      </c>
      <c r="P59">
        <v>0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</row>
    <row r="60" spans="1:47" x14ac:dyDescent="0.3">
      <c r="A60" t="s">
        <v>73</v>
      </c>
      <c r="B60" s="3">
        <v>2019</v>
      </c>
      <c r="C60" s="3">
        <v>562428.875</v>
      </c>
      <c r="D60" s="3">
        <v>3051706.75</v>
      </c>
      <c r="E60" s="3">
        <v>4.5249476432800302</v>
      </c>
      <c r="F60" s="3">
        <v>0.95824062824249301</v>
      </c>
      <c r="G60" s="3">
        <v>5.4834865033626598E-2</v>
      </c>
      <c r="H60" s="3">
        <v>4.3054092675447499E-2</v>
      </c>
      <c r="I60" s="3">
        <v>0.89327625706740899</v>
      </c>
      <c r="J60" s="3">
        <v>3.3810462951660201</v>
      </c>
      <c r="K60" s="3">
        <v>0.986547410488129</v>
      </c>
      <c r="L60" s="3">
        <f t="shared" si="0"/>
        <v>5</v>
      </c>
      <c r="M60">
        <f>VLOOKUP(A60,Sheet2!$B$2:$E$186,2,FALSE)</f>
        <v>10</v>
      </c>
      <c r="N60" t="s">
        <v>389</v>
      </c>
      <c r="O60" t="s">
        <v>396</v>
      </c>
      <c r="P60">
        <v>0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1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</row>
    <row r="61" spans="1:47" x14ac:dyDescent="0.3">
      <c r="A61" t="s">
        <v>73</v>
      </c>
      <c r="B61" s="3">
        <v>2020</v>
      </c>
      <c r="C61" s="3">
        <v>526893.1875</v>
      </c>
      <c r="D61" s="3">
        <v>3094446</v>
      </c>
      <c r="E61" s="3">
        <v>4.45141696929932</v>
      </c>
      <c r="F61" s="3">
        <v>0.97524845600128196</v>
      </c>
      <c r="G61" s="3">
        <v>4.9113340675830799E-2</v>
      </c>
      <c r="H61" s="3">
        <v>4.3485682457685498E-2</v>
      </c>
      <c r="I61" s="3">
        <v>0.87550639698799804</v>
      </c>
      <c r="J61" s="3">
        <v>3.3921325206756601</v>
      </c>
      <c r="K61" s="3">
        <v>0.97551000118255604</v>
      </c>
      <c r="L61" s="3">
        <f t="shared" si="0"/>
        <v>6</v>
      </c>
      <c r="M61">
        <f>VLOOKUP(A61,Sheet2!$B$2:$E$186,2,FALSE)</f>
        <v>10</v>
      </c>
      <c r="N61" t="s">
        <v>389</v>
      </c>
      <c r="O61" t="s">
        <v>396</v>
      </c>
      <c r="P61">
        <v>0</v>
      </c>
      <c r="Q61">
        <v>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1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</row>
    <row r="62" spans="1:47" x14ac:dyDescent="0.3">
      <c r="A62" t="s">
        <v>75</v>
      </c>
      <c r="B62" s="3">
        <v>2015</v>
      </c>
      <c r="C62" s="3">
        <v>195136.046875</v>
      </c>
      <c r="D62" s="3">
        <v>368307.34375</v>
      </c>
      <c r="E62" s="3">
        <v>4.7411656379699698</v>
      </c>
      <c r="F62" s="3">
        <v>0.73924595117569003</v>
      </c>
      <c r="G62" s="3">
        <v>0.227349042892456</v>
      </c>
      <c r="H62" s="3">
        <v>6.4979560673236902E-2</v>
      </c>
      <c r="I62" s="3">
        <v>1.0245638185505901</v>
      </c>
      <c r="J62" s="3"/>
      <c r="K62" s="3"/>
      <c r="L62" s="3">
        <f t="shared" si="0"/>
        <v>1</v>
      </c>
      <c r="M62">
        <f>VLOOKUP(A62,Sheet2!$B$2:$E$186,2,FALSE)</f>
        <v>11</v>
      </c>
      <c r="N62" t="s">
        <v>391</v>
      </c>
      <c r="O62" t="s">
        <v>392</v>
      </c>
      <c r="P62">
        <v>0</v>
      </c>
      <c r="Q62">
        <v>0</v>
      </c>
      <c r="R62">
        <v>1</v>
      </c>
      <c r="S62">
        <v>0</v>
      </c>
      <c r="T62">
        <v>0</v>
      </c>
      <c r="U62">
        <v>0</v>
      </c>
      <c r="V62">
        <v>0</v>
      </c>
      <c r="W62">
        <v>0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</row>
    <row r="63" spans="1:47" x14ac:dyDescent="0.3">
      <c r="A63" t="s">
        <v>75</v>
      </c>
      <c r="B63" s="3">
        <v>2016</v>
      </c>
      <c r="C63" s="3">
        <v>189017.140625</v>
      </c>
      <c r="D63" s="3">
        <v>394848.4375</v>
      </c>
      <c r="E63" s="3">
        <v>4.8313078880310103</v>
      </c>
      <c r="F63" s="3">
        <v>0.79111301898956299</v>
      </c>
      <c r="G63" s="3">
        <v>0.20023427903652199</v>
      </c>
      <c r="H63" s="3">
        <v>6.3184119760990101E-2</v>
      </c>
      <c r="I63" s="3">
        <v>1.59572157270424</v>
      </c>
      <c r="J63" s="3"/>
      <c r="K63" s="3"/>
      <c r="L63" s="3">
        <f t="shared" si="0"/>
        <v>2</v>
      </c>
      <c r="M63">
        <f>VLOOKUP(A63,Sheet2!$B$2:$E$186,2,FALSE)</f>
        <v>11</v>
      </c>
      <c r="N63" t="s">
        <v>391</v>
      </c>
      <c r="O63" t="s">
        <v>392</v>
      </c>
      <c r="P63">
        <v>0</v>
      </c>
      <c r="Q63">
        <v>0</v>
      </c>
      <c r="R63">
        <v>1</v>
      </c>
      <c r="S63">
        <v>0</v>
      </c>
      <c r="T63">
        <v>0</v>
      </c>
      <c r="U63">
        <v>0</v>
      </c>
      <c r="V63">
        <v>0</v>
      </c>
      <c r="W63">
        <v>0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</row>
    <row r="64" spans="1:47" x14ac:dyDescent="0.3">
      <c r="A64" t="s">
        <v>75</v>
      </c>
      <c r="B64" s="3">
        <v>2017</v>
      </c>
      <c r="C64" s="3">
        <v>189170.40625</v>
      </c>
      <c r="D64" s="3">
        <v>419901.53125</v>
      </c>
      <c r="E64" s="3">
        <v>4.89430809020996</v>
      </c>
      <c r="F64" s="3">
        <v>0.83890837430954002</v>
      </c>
      <c r="G64" s="3">
        <v>0.209417253732681</v>
      </c>
      <c r="H64" s="3">
        <v>6.14783875644207E-2</v>
      </c>
      <c r="I64" s="3">
        <v>1.72115480222734</v>
      </c>
      <c r="J64" s="3"/>
      <c r="K64" s="3"/>
      <c r="L64" s="3">
        <f t="shared" si="0"/>
        <v>3</v>
      </c>
      <c r="M64">
        <f>VLOOKUP(A64,Sheet2!$B$2:$E$186,2,FALSE)</f>
        <v>11</v>
      </c>
      <c r="N64" t="s">
        <v>391</v>
      </c>
      <c r="O64" t="s">
        <v>392</v>
      </c>
      <c r="P64">
        <v>0</v>
      </c>
      <c r="Q64">
        <v>0</v>
      </c>
      <c r="R64">
        <v>1</v>
      </c>
      <c r="S64">
        <v>0</v>
      </c>
      <c r="T64">
        <v>0</v>
      </c>
      <c r="U64">
        <v>0</v>
      </c>
      <c r="V64">
        <v>0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</row>
    <row r="65" spans="1:40" x14ac:dyDescent="0.3">
      <c r="A65" t="s">
        <v>75</v>
      </c>
      <c r="B65" s="3">
        <v>2018</v>
      </c>
      <c r="C65" s="3">
        <v>192100.3125</v>
      </c>
      <c r="D65" s="3">
        <v>441449.65625</v>
      </c>
      <c r="E65" s="3">
        <v>4.9452314376831099</v>
      </c>
      <c r="F65" s="3">
        <v>0.884352326393127</v>
      </c>
      <c r="G65" s="3">
        <v>0.22378233075141901</v>
      </c>
      <c r="H65" s="3">
        <v>6.07495307922363E-2</v>
      </c>
      <c r="I65" s="3">
        <v>1.7000166666666701</v>
      </c>
      <c r="J65" s="3"/>
      <c r="K65" s="3"/>
      <c r="L65" s="3">
        <f t="shared" si="0"/>
        <v>4</v>
      </c>
      <c r="M65">
        <f>VLOOKUP(A65,Sheet2!$B$2:$E$186,2,FALSE)</f>
        <v>11</v>
      </c>
      <c r="N65" t="s">
        <v>391</v>
      </c>
      <c r="O65" t="s">
        <v>392</v>
      </c>
      <c r="P65">
        <v>0</v>
      </c>
      <c r="Q65">
        <v>0</v>
      </c>
      <c r="R65">
        <v>1</v>
      </c>
      <c r="S65">
        <v>0</v>
      </c>
      <c r="T65">
        <v>0</v>
      </c>
      <c r="U65">
        <v>0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</row>
    <row r="66" spans="1:40" x14ac:dyDescent="0.3">
      <c r="A66" t="s">
        <v>75</v>
      </c>
      <c r="B66" s="3">
        <v>2019</v>
      </c>
      <c r="C66" s="3">
        <v>196872.59375</v>
      </c>
      <c r="D66" s="3">
        <v>462980.34375</v>
      </c>
      <c r="E66" s="3">
        <v>4.8457956314086896</v>
      </c>
      <c r="F66" s="3">
        <v>0.93263494968414296</v>
      </c>
      <c r="G66" s="3">
        <v>0.17537918686866799</v>
      </c>
      <c r="H66" s="3">
        <v>6.1025656759738901E-2</v>
      </c>
      <c r="I66" s="3">
        <v>1.7</v>
      </c>
      <c r="J66" s="3"/>
      <c r="K66" s="3"/>
      <c r="L66" s="3">
        <f t="shared" si="0"/>
        <v>5</v>
      </c>
      <c r="M66">
        <f>VLOOKUP(A66,Sheet2!$B$2:$E$186,2,FALSE)</f>
        <v>11</v>
      </c>
      <c r="N66" t="s">
        <v>391</v>
      </c>
      <c r="O66" t="s">
        <v>392</v>
      </c>
      <c r="P66">
        <v>0</v>
      </c>
      <c r="Q66">
        <v>0</v>
      </c>
      <c r="R66">
        <v>1</v>
      </c>
      <c r="S66">
        <v>0</v>
      </c>
      <c r="T66">
        <v>0</v>
      </c>
      <c r="U66">
        <v>0</v>
      </c>
      <c r="V66">
        <v>0</v>
      </c>
      <c r="W66">
        <v>0</v>
      </c>
      <c r="X66">
        <v>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</row>
    <row r="67" spans="1:40" x14ac:dyDescent="0.3">
      <c r="A67" t="s">
        <v>75</v>
      </c>
      <c r="B67" s="3">
        <v>2020</v>
      </c>
      <c r="C67" s="3">
        <v>188522.796875</v>
      </c>
      <c r="D67" s="3">
        <v>480677.28125</v>
      </c>
      <c r="E67" s="3">
        <v>4.7833065986633301</v>
      </c>
      <c r="F67" s="3">
        <v>0.97449415922164895</v>
      </c>
      <c r="G67" s="3">
        <v>0.112154148519039</v>
      </c>
      <c r="H67" s="3">
        <v>6.1530951410531998E-2</v>
      </c>
      <c r="I67" s="3">
        <v>1.7</v>
      </c>
      <c r="J67" s="3"/>
      <c r="K67" s="3"/>
      <c r="L67" s="3">
        <f t="shared" ref="L67:L130" si="1">B67-2014</f>
        <v>6</v>
      </c>
      <c r="M67">
        <f>VLOOKUP(A67,Sheet2!$B$2:$E$186,2,FALSE)</f>
        <v>11</v>
      </c>
      <c r="N67" t="s">
        <v>391</v>
      </c>
      <c r="O67" t="s">
        <v>392</v>
      </c>
      <c r="P67">
        <v>0</v>
      </c>
      <c r="Q67">
        <v>0</v>
      </c>
      <c r="R67">
        <v>1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</row>
    <row r="68" spans="1:40" x14ac:dyDescent="0.3">
      <c r="A68" t="s">
        <v>77</v>
      </c>
      <c r="B68" s="3">
        <v>2015</v>
      </c>
      <c r="C68" s="3">
        <v>10484.5986328125</v>
      </c>
      <c r="D68" s="3">
        <v>23609.646484375</v>
      </c>
      <c r="E68" s="3">
        <v>4.6670656204223597</v>
      </c>
      <c r="F68" s="3">
        <v>0.807700395584106</v>
      </c>
      <c r="G68" s="3">
        <v>8.5311077535152394E-2</v>
      </c>
      <c r="H68" s="3">
        <v>3.8354579359292998E-2</v>
      </c>
      <c r="I68" s="3">
        <v>1571.8983333333299</v>
      </c>
      <c r="J68" s="3">
        <v>1.3625451326370199</v>
      </c>
      <c r="K68" s="3">
        <v>1.0233628749847401</v>
      </c>
      <c r="L68" s="3">
        <f t="shared" si="1"/>
        <v>1</v>
      </c>
      <c r="M68">
        <f>VLOOKUP(A68,Sheet2!$B$2:$E$186,2,FALSE)</f>
        <v>12</v>
      </c>
      <c r="N68" t="s">
        <v>387</v>
      </c>
      <c r="O68" t="s">
        <v>397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</row>
    <row r="69" spans="1:40" x14ac:dyDescent="0.3">
      <c r="A69" t="s">
        <v>77</v>
      </c>
      <c r="B69" s="3">
        <v>2016</v>
      </c>
      <c r="C69" s="3">
        <v>10820.1025390625</v>
      </c>
      <c r="D69" s="3">
        <v>24462.92578125</v>
      </c>
      <c r="E69" s="3">
        <v>4.7025899887084996</v>
      </c>
      <c r="F69" s="3">
        <v>0.84132474660873402</v>
      </c>
      <c r="G69" s="3">
        <v>8.3831138908863095E-2</v>
      </c>
      <c r="H69" s="3">
        <v>3.86141985654831E-2</v>
      </c>
      <c r="I69" s="3">
        <v>1654.62666666667</v>
      </c>
      <c r="J69" s="3">
        <v>1.37584447860718</v>
      </c>
      <c r="K69" s="3">
        <v>1.0107194185257</v>
      </c>
      <c r="L69" s="3">
        <f t="shared" si="1"/>
        <v>2</v>
      </c>
      <c r="M69">
        <f>VLOOKUP(A69,Sheet2!$B$2:$E$186,2,FALSE)</f>
        <v>12</v>
      </c>
      <c r="N69" t="s">
        <v>387</v>
      </c>
      <c r="O69" t="s">
        <v>397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</row>
    <row r="70" spans="1:40" x14ac:dyDescent="0.3">
      <c r="A70" t="s">
        <v>77</v>
      </c>
      <c r="B70" s="3">
        <v>2017</v>
      </c>
      <c r="C70" s="3">
        <v>11234.7705078125</v>
      </c>
      <c r="D70" s="3">
        <v>25370.279296875</v>
      </c>
      <c r="E70" s="3">
        <v>4.80194044113159</v>
      </c>
      <c r="F70" s="3">
        <v>0.87729531526565596</v>
      </c>
      <c r="G70" s="3">
        <v>8.8728897273540497E-2</v>
      </c>
      <c r="H70" s="3">
        <v>3.89383509755135E-2</v>
      </c>
      <c r="I70" s="3">
        <v>1729.0550000000001</v>
      </c>
      <c r="J70" s="3">
        <v>1.3892734050750699</v>
      </c>
      <c r="K70" s="3">
        <v>1.02698361873627</v>
      </c>
      <c r="L70" s="3">
        <f t="shared" si="1"/>
        <v>3</v>
      </c>
      <c r="M70">
        <f>VLOOKUP(A70,Sheet2!$B$2:$E$186,2,FALSE)</f>
        <v>12</v>
      </c>
      <c r="N70" t="s">
        <v>387</v>
      </c>
      <c r="O70" t="s">
        <v>397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</row>
    <row r="71" spans="1:40" x14ac:dyDescent="0.3">
      <c r="A71" t="s">
        <v>77</v>
      </c>
      <c r="B71" s="3">
        <v>2018</v>
      </c>
      <c r="C71" s="3">
        <v>11830.9619140625</v>
      </c>
      <c r="D71" s="3">
        <v>26346.544921875</v>
      </c>
      <c r="E71" s="3">
        <v>4.9727339744567898</v>
      </c>
      <c r="F71" s="3">
        <v>0.92636376619339</v>
      </c>
      <c r="G71" s="3">
        <v>9.1378569602966295E-2</v>
      </c>
      <c r="H71" s="3">
        <v>3.9663776755333002E-2</v>
      </c>
      <c r="I71" s="3">
        <v>1782.8768749999999</v>
      </c>
      <c r="J71" s="3">
        <v>1.4028335809707599</v>
      </c>
      <c r="K71" s="3">
        <v>1.0240163803100599</v>
      </c>
      <c r="L71" s="3">
        <f t="shared" si="1"/>
        <v>4</v>
      </c>
      <c r="M71">
        <f>VLOOKUP(A71,Sheet2!$B$2:$E$186,2,FALSE)</f>
        <v>12</v>
      </c>
      <c r="N71" t="s">
        <v>387</v>
      </c>
      <c r="O71" t="s">
        <v>397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</row>
    <row r="72" spans="1:40" x14ac:dyDescent="0.3">
      <c r="A72" t="s">
        <v>77</v>
      </c>
      <c r="B72" s="3">
        <v>2019</v>
      </c>
      <c r="C72" s="3">
        <v>12358.6279296875</v>
      </c>
      <c r="D72" s="3">
        <v>27241.63671875</v>
      </c>
      <c r="E72" s="3">
        <v>5.1744890213012704</v>
      </c>
      <c r="F72" s="3">
        <v>0.96127361059188798</v>
      </c>
      <c r="G72" s="3">
        <v>0.10263980180025099</v>
      </c>
      <c r="H72" s="3">
        <v>4.04411032795906E-2</v>
      </c>
      <c r="I72" s="3">
        <v>1845.62289069697</v>
      </c>
      <c r="J72" s="3">
        <v>1.41652607917786</v>
      </c>
      <c r="K72" s="3">
        <v>1.01712250709534</v>
      </c>
      <c r="L72" s="3">
        <f t="shared" si="1"/>
        <v>5</v>
      </c>
      <c r="M72">
        <f>VLOOKUP(A72,Sheet2!$B$2:$E$186,2,FALSE)</f>
        <v>12</v>
      </c>
      <c r="N72" t="s">
        <v>387</v>
      </c>
      <c r="O72" t="s">
        <v>397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1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</row>
    <row r="73" spans="1:40" x14ac:dyDescent="0.3">
      <c r="A73" t="s">
        <v>77</v>
      </c>
      <c r="B73" s="3">
        <v>2020</v>
      </c>
      <c r="C73" s="3">
        <v>12399.0615234375</v>
      </c>
      <c r="D73" s="3">
        <v>27774.306640625</v>
      </c>
      <c r="E73" s="3">
        <v>5.3022203445434597</v>
      </c>
      <c r="F73" s="3">
        <v>0.97707384824752797</v>
      </c>
      <c r="G73" s="3">
        <v>0.11009580641984899</v>
      </c>
      <c r="H73" s="3">
        <v>4.0479056537151302E-2</v>
      </c>
      <c r="I73" s="3">
        <v>1915.0461758333299</v>
      </c>
      <c r="J73" s="3">
        <v>1.43035221099854</v>
      </c>
      <c r="K73" s="3">
        <v>1.0115449428558401</v>
      </c>
      <c r="L73" s="3">
        <f t="shared" si="1"/>
        <v>6</v>
      </c>
      <c r="M73">
        <f>VLOOKUP(A73,Sheet2!$B$2:$E$186,2,FALSE)</f>
        <v>12</v>
      </c>
      <c r="N73" t="s">
        <v>387</v>
      </c>
      <c r="O73" t="s">
        <v>397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1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</row>
    <row r="74" spans="1:40" x14ac:dyDescent="0.3">
      <c r="A74" t="s">
        <v>80</v>
      </c>
      <c r="B74" s="3">
        <v>2015</v>
      </c>
      <c r="C74" s="3">
        <v>593070.1875</v>
      </c>
      <c r="D74" s="3">
        <v>3358413</v>
      </c>
      <c r="E74" s="3">
        <v>4.6070652008056596</v>
      </c>
      <c r="F74" s="3">
        <v>0.86538809537887595</v>
      </c>
      <c r="G74" s="3">
        <v>6.8391382694244399E-2</v>
      </c>
      <c r="H74" s="3">
        <v>4.2622752487659503E-2</v>
      </c>
      <c r="I74" s="3">
        <v>0.90129642336709603</v>
      </c>
      <c r="J74" s="3">
        <v>3.1239144802093501</v>
      </c>
      <c r="K74" s="3">
        <v>1.0318846702575699</v>
      </c>
      <c r="L74" s="3">
        <f t="shared" si="1"/>
        <v>1</v>
      </c>
      <c r="M74">
        <f>VLOOKUP(A74,Sheet2!$B$2:$E$186,2,FALSE)</f>
        <v>13</v>
      </c>
      <c r="N74" t="s">
        <v>389</v>
      </c>
      <c r="O74" t="s">
        <v>396</v>
      </c>
      <c r="P74">
        <v>0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</row>
    <row r="75" spans="1:40" x14ac:dyDescent="0.3">
      <c r="A75" t="s">
        <v>80</v>
      </c>
      <c r="B75" s="3">
        <v>2016</v>
      </c>
      <c r="C75" s="3">
        <v>600148.5</v>
      </c>
      <c r="D75" s="3">
        <v>3434728.5</v>
      </c>
      <c r="E75" s="3">
        <v>4.6648254394531303</v>
      </c>
      <c r="F75" s="3">
        <v>0.88889682292938199</v>
      </c>
      <c r="G75" s="3">
        <v>6.9843806326389299E-2</v>
      </c>
      <c r="H75" s="3">
        <v>4.2948611080646501E-2</v>
      </c>
      <c r="I75" s="3">
        <v>0.90342143625726301</v>
      </c>
      <c r="J75" s="3">
        <v>3.1301755905151398</v>
      </c>
      <c r="K75" s="3">
        <v>1.03660547733307</v>
      </c>
      <c r="L75" s="3">
        <f t="shared" si="1"/>
        <v>2</v>
      </c>
      <c r="M75">
        <f>VLOOKUP(A75,Sheet2!$B$2:$E$186,2,FALSE)</f>
        <v>13</v>
      </c>
      <c r="N75" t="s">
        <v>389</v>
      </c>
      <c r="O75" t="s">
        <v>396</v>
      </c>
      <c r="P75">
        <v>0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</row>
    <row r="76" spans="1:40" x14ac:dyDescent="0.3">
      <c r="A76" t="s">
        <v>80</v>
      </c>
      <c r="B76" s="3">
        <v>2017</v>
      </c>
      <c r="C76" s="3">
        <v>608997.5</v>
      </c>
      <c r="D76" s="3">
        <v>3509448.25</v>
      </c>
      <c r="E76" s="3">
        <v>4.7344503402709996</v>
      </c>
      <c r="F76" s="3">
        <v>0.91161775588989302</v>
      </c>
      <c r="G76" s="3">
        <v>6.8740904331207303E-2</v>
      </c>
      <c r="H76" s="3">
        <v>4.3293427675962497E-2</v>
      </c>
      <c r="I76" s="3">
        <v>0.88520550826937205</v>
      </c>
      <c r="J76" s="3">
        <v>3.1364490985870401</v>
      </c>
      <c r="K76" s="3">
        <v>1.02874135971069</v>
      </c>
      <c r="L76" s="3">
        <f t="shared" si="1"/>
        <v>3</v>
      </c>
      <c r="M76">
        <f>VLOOKUP(A76,Sheet2!$B$2:$E$186,2,FALSE)</f>
        <v>13</v>
      </c>
      <c r="N76" t="s">
        <v>389</v>
      </c>
      <c r="O76" t="s">
        <v>396</v>
      </c>
      <c r="P76">
        <v>0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</row>
    <row r="77" spans="1:40" x14ac:dyDescent="0.3">
      <c r="A77" t="s">
        <v>80</v>
      </c>
      <c r="B77" s="3">
        <v>2018</v>
      </c>
      <c r="C77" s="3">
        <v>620434.25</v>
      </c>
      <c r="D77" s="3">
        <v>3586937.5</v>
      </c>
      <c r="E77" s="3">
        <v>4.8040952682495099</v>
      </c>
      <c r="F77" s="3">
        <v>0.935397088527679</v>
      </c>
      <c r="G77" s="3">
        <v>6.8556681275367695E-2</v>
      </c>
      <c r="H77" s="3">
        <v>4.3620444834232303E-2</v>
      </c>
      <c r="I77" s="3">
        <v>0.84677266710811105</v>
      </c>
      <c r="J77" s="3">
        <v>3.1427352428436302</v>
      </c>
      <c r="K77" s="3">
        <v>1.03253853321075</v>
      </c>
      <c r="L77" s="3">
        <f t="shared" si="1"/>
        <v>4</v>
      </c>
      <c r="M77">
        <f>VLOOKUP(A77,Sheet2!$B$2:$E$186,2,FALSE)</f>
        <v>13</v>
      </c>
      <c r="N77" t="s">
        <v>389</v>
      </c>
      <c r="O77" t="s">
        <v>396</v>
      </c>
      <c r="P77">
        <v>0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</row>
    <row r="78" spans="1:40" x14ac:dyDescent="0.3">
      <c r="A78" t="s">
        <v>80</v>
      </c>
      <c r="B78" s="3">
        <v>2019</v>
      </c>
      <c r="C78" s="3">
        <v>635590.75</v>
      </c>
      <c r="D78" s="3">
        <v>3670727.75</v>
      </c>
      <c r="E78" s="3">
        <v>4.8800358772277797</v>
      </c>
      <c r="F78" s="3">
        <v>0.96132206916809104</v>
      </c>
      <c r="G78" s="3">
        <v>6.9979563355445903E-2</v>
      </c>
      <c r="H78" s="3">
        <v>4.3989215046167401E-2</v>
      </c>
      <c r="I78" s="3">
        <v>0.89327625706740899</v>
      </c>
      <c r="J78" s="3">
        <v>3.1490340232849099</v>
      </c>
      <c r="K78" s="3">
        <v>1.02304971218109</v>
      </c>
      <c r="L78" s="3">
        <f t="shared" si="1"/>
        <v>5</v>
      </c>
      <c r="M78">
        <f>VLOOKUP(A78,Sheet2!$B$2:$E$186,2,FALSE)</f>
        <v>13</v>
      </c>
      <c r="N78" t="s">
        <v>389</v>
      </c>
      <c r="O78" t="s">
        <v>396</v>
      </c>
      <c r="P78">
        <v>0</v>
      </c>
      <c r="Q78">
        <v>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1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</row>
    <row r="79" spans="1:40" x14ac:dyDescent="0.3">
      <c r="A79" t="s">
        <v>80</v>
      </c>
      <c r="B79" s="3">
        <v>2020</v>
      </c>
      <c r="C79" s="3">
        <v>605127.0625</v>
      </c>
      <c r="D79" s="3">
        <v>3737975.75</v>
      </c>
      <c r="E79" s="3">
        <v>4.8747434616088903</v>
      </c>
      <c r="F79" s="3">
        <v>0.98115807771682695</v>
      </c>
      <c r="G79" s="3">
        <v>6.4156837761402102E-2</v>
      </c>
      <c r="H79" s="3">
        <v>4.4282574206590701E-2</v>
      </c>
      <c r="I79" s="3">
        <v>0.87550639698799804</v>
      </c>
      <c r="J79" s="3">
        <v>3.15534543991089</v>
      </c>
      <c r="K79" s="3">
        <v>1.00847923755646</v>
      </c>
      <c r="L79" s="3">
        <f t="shared" si="1"/>
        <v>6</v>
      </c>
      <c r="M79">
        <f>VLOOKUP(A79,Sheet2!$B$2:$E$186,2,FALSE)</f>
        <v>13</v>
      </c>
      <c r="N79" t="s">
        <v>389</v>
      </c>
      <c r="O79" t="s">
        <v>396</v>
      </c>
      <c r="P79">
        <v>0</v>
      </c>
      <c r="Q79">
        <v>1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</row>
    <row r="80" spans="1:40" x14ac:dyDescent="0.3">
      <c r="A80" t="s">
        <v>81</v>
      </c>
      <c r="B80" s="3">
        <v>2015</v>
      </c>
      <c r="C80" s="3">
        <v>32044.91796875</v>
      </c>
      <c r="D80" s="3">
        <v>74951.609375</v>
      </c>
      <c r="E80" s="3">
        <v>3.64377641677856</v>
      </c>
      <c r="F80" s="3">
        <v>0.58614718914032005</v>
      </c>
      <c r="G80" s="3">
        <v>0.15531341731548301</v>
      </c>
      <c r="H80" s="3">
        <v>4.4363740831613499E-2</v>
      </c>
      <c r="I80" s="3">
        <v>591.21169798260996</v>
      </c>
      <c r="J80" s="3">
        <v>1.7662097215652499</v>
      </c>
      <c r="K80" s="3">
        <v>1.0067493915557899</v>
      </c>
      <c r="L80" s="3">
        <f t="shared" si="1"/>
        <v>1</v>
      </c>
      <c r="M80">
        <f>VLOOKUP(A80,Sheet2!$B$2:$E$186,2,FALSE)</f>
        <v>14</v>
      </c>
      <c r="N80" t="s">
        <v>387</v>
      </c>
      <c r="O80" t="s">
        <v>398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</row>
    <row r="81" spans="1:47" x14ac:dyDescent="0.3">
      <c r="A81" t="s">
        <v>81</v>
      </c>
      <c r="B81" s="3">
        <v>2016</v>
      </c>
      <c r="C81" s="3">
        <v>33115.109375</v>
      </c>
      <c r="D81" s="3">
        <v>80206.1015625</v>
      </c>
      <c r="E81" s="3">
        <v>3.68053102493286</v>
      </c>
      <c r="F81" s="3">
        <v>0.62837398052215598</v>
      </c>
      <c r="G81" s="3">
        <v>0.150703549385071</v>
      </c>
      <c r="H81" s="3">
        <v>4.4956900179386097E-2</v>
      </c>
      <c r="I81" s="3">
        <v>592.60561506300598</v>
      </c>
      <c r="J81" s="3">
        <v>1.8031355142593399</v>
      </c>
      <c r="K81" s="3">
        <v>0.973441302776337</v>
      </c>
      <c r="L81" s="3">
        <f t="shared" si="1"/>
        <v>2</v>
      </c>
      <c r="M81">
        <f>VLOOKUP(A81,Sheet2!$B$2:$E$186,2,FALSE)</f>
        <v>14</v>
      </c>
      <c r="N81" t="s">
        <v>387</v>
      </c>
      <c r="O81" t="s">
        <v>398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</row>
    <row r="82" spans="1:47" x14ac:dyDescent="0.3">
      <c r="A82" t="s">
        <v>81</v>
      </c>
      <c r="B82" s="3">
        <v>2017</v>
      </c>
      <c r="C82" s="3">
        <v>34993.2578125</v>
      </c>
      <c r="D82" s="3">
        <v>87380.78125</v>
      </c>
      <c r="E82" s="3">
        <v>3.7194414138793901</v>
      </c>
      <c r="F82" s="3">
        <v>0.68727451562881503</v>
      </c>
      <c r="G82" s="3">
        <v>0.14475627243518799</v>
      </c>
      <c r="H82" s="3">
        <v>4.5545537024736397E-2</v>
      </c>
      <c r="I82" s="3">
        <v>580.65674958785303</v>
      </c>
      <c r="J82" s="3">
        <v>1.8408331871032699</v>
      </c>
      <c r="K82" s="3">
        <v>0.99865949153900202</v>
      </c>
      <c r="L82" s="3">
        <f t="shared" si="1"/>
        <v>3</v>
      </c>
      <c r="M82">
        <f>VLOOKUP(A82,Sheet2!$B$2:$E$186,2,FALSE)</f>
        <v>14</v>
      </c>
      <c r="N82" t="s">
        <v>387</v>
      </c>
      <c r="O82" t="s">
        <v>398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1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</row>
    <row r="83" spans="1:47" x14ac:dyDescent="0.3">
      <c r="A83" t="s">
        <v>81</v>
      </c>
      <c r="B83" s="3">
        <v>2018</v>
      </c>
      <c r="C83" s="3">
        <v>37336.84375</v>
      </c>
      <c r="D83" s="3">
        <v>95925.5703125</v>
      </c>
      <c r="E83" s="3">
        <v>3.7634799480438201</v>
      </c>
      <c r="F83" s="3">
        <v>0.75905936956405595</v>
      </c>
      <c r="G83" s="3">
        <v>0.137009292840958</v>
      </c>
      <c r="H83" s="3">
        <v>4.6468757092952701E-2</v>
      </c>
      <c r="I83" s="3">
        <v>555.446458398235</v>
      </c>
      <c r="J83" s="3">
        <v>1.8793190717697099</v>
      </c>
      <c r="K83" s="3">
        <v>1.0009685754776001</v>
      </c>
      <c r="L83" s="3">
        <f t="shared" si="1"/>
        <v>4</v>
      </c>
      <c r="M83">
        <f>VLOOKUP(A83,Sheet2!$B$2:$E$186,2,FALSE)</f>
        <v>14</v>
      </c>
      <c r="N83" t="s">
        <v>387</v>
      </c>
      <c r="O83" t="s">
        <v>398</v>
      </c>
      <c r="P83">
        <v>0</v>
      </c>
      <c r="Q83">
        <v>0</v>
      </c>
      <c r="R83">
        <v>0</v>
      </c>
      <c r="S83">
        <v>1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</row>
    <row r="84" spans="1:47" x14ac:dyDescent="0.3">
      <c r="A84" t="s">
        <v>81</v>
      </c>
      <c r="B84" s="3">
        <v>2019</v>
      </c>
      <c r="C84" s="3">
        <v>39900.2734375</v>
      </c>
      <c r="D84" s="3">
        <v>105316.578125</v>
      </c>
      <c r="E84" s="3">
        <v>3.8811001777648899</v>
      </c>
      <c r="F84" s="3">
        <v>0.83389335870742798</v>
      </c>
      <c r="G84" s="3">
        <v>0.144244745373726</v>
      </c>
      <c r="H84" s="3">
        <v>4.7082211822271403E-2</v>
      </c>
      <c r="I84" s="3">
        <v>585.95081375716597</v>
      </c>
      <c r="J84" s="3">
        <v>1.9186096191406301</v>
      </c>
      <c r="K84" s="3">
        <v>0.98746961355209395</v>
      </c>
      <c r="L84" s="3">
        <f t="shared" si="1"/>
        <v>5</v>
      </c>
      <c r="M84">
        <f>VLOOKUP(A84,Sheet2!$B$2:$E$186,2,FALSE)</f>
        <v>14</v>
      </c>
      <c r="N84" t="s">
        <v>387</v>
      </c>
      <c r="O84" t="s">
        <v>398</v>
      </c>
      <c r="P84">
        <v>0</v>
      </c>
      <c r="Q84">
        <v>0</v>
      </c>
      <c r="R84">
        <v>0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</row>
    <row r="85" spans="1:47" x14ac:dyDescent="0.3">
      <c r="A85" t="s">
        <v>81</v>
      </c>
      <c r="B85" s="3">
        <v>2020</v>
      </c>
      <c r="C85" s="3">
        <v>41435.953125</v>
      </c>
      <c r="D85" s="3">
        <v>114562.109375</v>
      </c>
      <c r="E85" s="3">
        <v>3.9533548355102499</v>
      </c>
      <c r="F85" s="3">
        <v>0.90724551677703902</v>
      </c>
      <c r="G85" s="3">
        <v>0.133537948131561</v>
      </c>
      <c r="H85" s="3">
        <v>4.7219902276992798E-2</v>
      </c>
      <c r="I85" s="3">
        <v>574.29454964905597</v>
      </c>
      <c r="J85" s="3">
        <v>1.9587216377258301</v>
      </c>
      <c r="K85" s="3">
        <v>0.97692543268203702</v>
      </c>
      <c r="L85" s="3">
        <f t="shared" si="1"/>
        <v>6</v>
      </c>
      <c r="M85">
        <f>VLOOKUP(A85,Sheet2!$B$2:$E$186,2,FALSE)</f>
        <v>14</v>
      </c>
      <c r="N85" t="s">
        <v>387</v>
      </c>
      <c r="O85" t="s">
        <v>398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</row>
    <row r="86" spans="1:47" x14ac:dyDescent="0.3">
      <c r="A86" t="s">
        <v>83</v>
      </c>
      <c r="B86" s="3">
        <v>2015</v>
      </c>
      <c r="C86" s="3">
        <v>36869.28125</v>
      </c>
      <c r="D86" s="3">
        <v>63188.9140625</v>
      </c>
      <c r="E86" s="3">
        <v>6.1182746887206996</v>
      </c>
      <c r="F86" s="3">
        <v>0.61800944805145297</v>
      </c>
      <c r="G86" s="3">
        <v>0.198453113436699</v>
      </c>
      <c r="H86" s="3">
        <v>5.2055437117814997E-2</v>
      </c>
      <c r="I86" s="3">
        <v>591.21169798260996</v>
      </c>
      <c r="J86" s="3">
        <v>1.23139977455139</v>
      </c>
      <c r="K86" s="3">
        <v>1.0919551849365201</v>
      </c>
      <c r="L86" s="3">
        <f t="shared" si="1"/>
        <v>1</v>
      </c>
      <c r="M86">
        <f>VLOOKUP(A86,Sheet2!$B$2:$E$186,2,FALSE)</f>
        <v>15</v>
      </c>
      <c r="N86" t="s">
        <v>387</v>
      </c>
      <c r="O86" t="s">
        <v>398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1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</row>
    <row r="87" spans="1:47" x14ac:dyDescent="0.3">
      <c r="A87" t="s">
        <v>83</v>
      </c>
      <c r="B87" s="3">
        <v>2016</v>
      </c>
      <c r="C87" s="3">
        <v>39065.94921875</v>
      </c>
      <c r="D87" s="3">
        <v>68054.984375</v>
      </c>
      <c r="E87" s="3">
        <v>6.3250966072082502</v>
      </c>
      <c r="F87" s="3">
        <v>0.66955721378326405</v>
      </c>
      <c r="G87" s="3">
        <v>0.206114992499352</v>
      </c>
      <c r="H87" s="3">
        <v>5.3222093731164898E-2</v>
      </c>
      <c r="I87" s="3">
        <v>592.60561506302201</v>
      </c>
      <c r="J87" s="3">
        <v>1.2448872327804601</v>
      </c>
      <c r="K87" s="3">
        <v>1.0982466936111499</v>
      </c>
      <c r="L87" s="3">
        <f t="shared" si="1"/>
        <v>2</v>
      </c>
      <c r="M87">
        <f>VLOOKUP(A87,Sheet2!$B$2:$E$186,2,FALSE)</f>
        <v>15</v>
      </c>
      <c r="N87" t="s">
        <v>387</v>
      </c>
      <c r="O87" t="s">
        <v>398</v>
      </c>
      <c r="P87">
        <v>0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1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</row>
    <row r="88" spans="1:47" x14ac:dyDescent="0.3">
      <c r="A88" t="s">
        <v>83</v>
      </c>
      <c r="B88" s="3">
        <v>2017</v>
      </c>
      <c r="C88" s="3">
        <v>41489.40234375</v>
      </c>
      <c r="D88" s="3">
        <v>73323.203125</v>
      </c>
      <c r="E88" s="3">
        <v>6.5576133728027299</v>
      </c>
      <c r="F88" s="3">
        <v>0.72644495964050304</v>
      </c>
      <c r="G88" s="3">
        <v>0.200889512896538</v>
      </c>
      <c r="H88" s="3">
        <v>5.4594915360212298E-2</v>
      </c>
      <c r="I88" s="3">
        <v>580.65674958785803</v>
      </c>
      <c r="J88" s="3">
        <v>1.25852251052856</v>
      </c>
      <c r="K88" s="3">
        <v>1.09795475006104</v>
      </c>
      <c r="L88" s="3">
        <f t="shared" si="1"/>
        <v>3</v>
      </c>
      <c r="M88">
        <f>VLOOKUP(A88,Sheet2!$B$2:$E$186,2,FALSE)</f>
        <v>15</v>
      </c>
      <c r="N88" t="s">
        <v>387</v>
      </c>
      <c r="O88" t="s">
        <v>398</v>
      </c>
      <c r="P88">
        <v>0</v>
      </c>
      <c r="Q88">
        <v>0</v>
      </c>
      <c r="R88">
        <v>0</v>
      </c>
      <c r="S88">
        <v>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</row>
    <row r="89" spans="1:47" x14ac:dyDescent="0.3">
      <c r="A89" t="s">
        <v>83</v>
      </c>
      <c r="B89" s="3">
        <v>2018</v>
      </c>
      <c r="C89" s="3">
        <v>44229.59765625</v>
      </c>
      <c r="D89" s="3">
        <v>78965.4296875</v>
      </c>
      <c r="E89" s="3">
        <v>6.7970008850097701</v>
      </c>
      <c r="F89" s="3">
        <v>0.78806239366531405</v>
      </c>
      <c r="G89" s="3">
        <v>0.196780145168304</v>
      </c>
      <c r="H89" s="3">
        <v>5.6078325957059902E-2</v>
      </c>
      <c r="I89" s="3">
        <v>555.44645839822601</v>
      </c>
      <c r="J89" s="3">
        <v>1.2723070383071899</v>
      </c>
      <c r="K89" s="3">
        <v>1.07965576648712</v>
      </c>
      <c r="L89" s="3">
        <f t="shared" si="1"/>
        <v>4</v>
      </c>
      <c r="M89">
        <f>VLOOKUP(A89,Sheet2!$B$2:$E$186,2,FALSE)</f>
        <v>15</v>
      </c>
      <c r="N89" t="s">
        <v>387</v>
      </c>
      <c r="O89" t="s">
        <v>398</v>
      </c>
      <c r="P89">
        <v>0</v>
      </c>
      <c r="Q89">
        <v>0</v>
      </c>
      <c r="R89">
        <v>0</v>
      </c>
      <c r="S89">
        <v>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1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</row>
    <row r="90" spans="1:47" x14ac:dyDescent="0.3">
      <c r="A90" t="s">
        <v>83</v>
      </c>
      <c r="B90" s="3">
        <v>2019</v>
      </c>
      <c r="C90" s="3">
        <v>46834.3671875</v>
      </c>
      <c r="D90" s="3">
        <v>85553.09375</v>
      </c>
      <c r="E90" s="3">
        <v>7.2862110137939498</v>
      </c>
      <c r="F90" s="3">
        <v>0.85944104194641102</v>
      </c>
      <c r="G90" s="3">
        <v>0.23812419176101701</v>
      </c>
      <c r="H90" s="3">
        <v>5.7725775986909901E-2</v>
      </c>
      <c r="I90" s="3">
        <v>585.91101318036897</v>
      </c>
      <c r="J90" s="3">
        <v>1.28624248504639</v>
      </c>
      <c r="K90" s="3">
        <v>1.0578989982605</v>
      </c>
      <c r="L90" s="3">
        <f t="shared" si="1"/>
        <v>5</v>
      </c>
      <c r="M90">
        <f>VLOOKUP(A90,Sheet2!$B$2:$E$186,2,FALSE)</f>
        <v>15</v>
      </c>
      <c r="N90" t="s">
        <v>387</v>
      </c>
      <c r="O90" t="s">
        <v>398</v>
      </c>
      <c r="P90">
        <v>0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1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</row>
    <row r="91" spans="1:47" x14ac:dyDescent="0.3">
      <c r="A91" t="s">
        <v>83</v>
      </c>
      <c r="B91" s="3">
        <v>2020</v>
      </c>
      <c r="C91" s="3">
        <v>47776.1015625</v>
      </c>
      <c r="D91" s="3">
        <v>92309.5234375</v>
      </c>
      <c r="E91" s="3">
        <v>7.2687287330627397</v>
      </c>
      <c r="F91" s="3">
        <v>0.93071520328521695</v>
      </c>
      <c r="G91" s="3">
        <v>0.27162382006645203</v>
      </c>
      <c r="H91" s="3">
        <v>5.9205923229456003E-2</v>
      </c>
      <c r="I91" s="3">
        <v>575.58600451094503</v>
      </c>
      <c r="J91" s="3">
        <v>1.3003306388855</v>
      </c>
      <c r="K91" s="3">
        <v>1.00017273426056</v>
      </c>
      <c r="L91" s="3">
        <f t="shared" si="1"/>
        <v>6</v>
      </c>
      <c r="M91">
        <f>VLOOKUP(A91,Sheet2!$B$2:$E$186,2,FALSE)</f>
        <v>15</v>
      </c>
      <c r="N91" t="s">
        <v>387</v>
      </c>
      <c r="O91" t="s">
        <v>398</v>
      </c>
      <c r="P91">
        <v>0</v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</row>
    <row r="92" spans="1:47" s="2" customFormat="1" x14ac:dyDescent="0.3">
      <c r="A92" t="s">
        <v>84</v>
      </c>
      <c r="B92" s="3">
        <v>2015</v>
      </c>
      <c r="C92" s="3">
        <v>824431.75</v>
      </c>
      <c r="D92" s="3">
        <v>2627871.5</v>
      </c>
      <c r="E92" s="3">
        <v>59.696510314941399</v>
      </c>
      <c r="F92" s="3"/>
      <c r="G92" s="3"/>
      <c r="H92" s="3">
        <v>4.15633469820023E-2</v>
      </c>
      <c r="I92" s="3">
        <v>77.946908333333297</v>
      </c>
      <c r="J92" s="3">
        <v>1.9970511198043801</v>
      </c>
      <c r="K92" s="3"/>
      <c r="L92" s="3">
        <f t="shared" si="1"/>
        <v>1</v>
      </c>
      <c r="M92">
        <f>VLOOKUP(A92,Sheet2!$B$2:$E$186,2,FALSE)</f>
        <v>16</v>
      </c>
      <c r="N92" t="s">
        <v>391</v>
      </c>
      <c r="O92" t="s">
        <v>399</v>
      </c>
      <c r="P92">
        <v>0</v>
      </c>
      <c r="Q92">
        <v>0</v>
      </c>
      <c r="R92">
        <v>1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/>
      <c r="AP92"/>
      <c r="AQ92"/>
      <c r="AR92"/>
      <c r="AS92"/>
      <c r="AT92"/>
      <c r="AU92"/>
    </row>
    <row r="93" spans="1:47" s="2" customFormat="1" x14ac:dyDescent="0.3">
      <c r="A93" t="s">
        <v>84</v>
      </c>
      <c r="B93" s="3">
        <v>2016</v>
      </c>
      <c r="C93" s="3">
        <v>899169.125</v>
      </c>
      <c r="D93" s="3">
        <v>2907876.75</v>
      </c>
      <c r="E93" s="3">
        <v>59.529800415039098</v>
      </c>
      <c r="F93" s="3"/>
      <c r="G93" s="3"/>
      <c r="H93" s="3">
        <v>4.1324269026517903E-2</v>
      </c>
      <c r="I93" s="3">
        <v>78.468091666666695</v>
      </c>
      <c r="J93" s="3">
        <v>2.0227363109588601</v>
      </c>
      <c r="K93" s="3"/>
      <c r="L93" s="3">
        <f t="shared" si="1"/>
        <v>2</v>
      </c>
      <c r="M93">
        <f>VLOOKUP(A93,Sheet2!$B$2:$E$186,2,FALSE)</f>
        <v>16</v>
      </c>
      <c r="N93" t="s">
        <v>391</v>
      </c>
      <c r="O93" t="s">
        <v>399</v>
      </c>
      <c r="P93">
        <v>0</v>
      </c>
      <c r="Q93">
        <v>0</v>
      </c>
      <c r="R93">
        <v>1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/>
      <c r="AP93"/>
      <c r="AQ93"/>
      <c r="AR93"/>
      <c r="AS93"/>
      <c r="AT93"/>
      <c r="AU93"/>
    </row>
    <row r="94" spans="1:47" s="2" customFormat="1" x14ac:dyDescent="0.3">
      <c r="A94" t="s">
        <v>84</v>
      </c>
      <c r="B94" s="3">
        <v>2017</v>
      </c>
      <c r="C94" s="3">
        <v>958426.6875</v>
      </c>
      <c r="D94" s="3">
        <v>3209303.25</v>
      </c>
      <c r="E94" s="3">
        <v>63.045276641845703</v>
      </c>
      <c r="F94" s="3"/>
      <c r="G94" s="3"/>
      <c r="H94" s="3">
        <v>4.1337609291076702E-2</v>
      </c>
      <c r="I94" s="3">
        <v>80.437541666666704</v>
      </c>
      <c r="J94" s="3">
        <v>2.0487515926361102</v>
      </c>
      <c r="K94" s="3"/>
      <c r="L94" s="3">
        <f t="shared" si="1"/>
        <v>3</v>
      </c>
      <c r="M94">
        <f>VLOOKUP(A94,Sheet2!$B$2:$E$186,2,FALSE)</f>
        <v>16</v>
      </c>
      <c r="N94" t="s">
        <v>391</v>
      </c>
      <c r="O94" t="s">
        <v>399</v>
      </c>
      <c r="P94">
        <v>0</v>
      </c>
      <c r="Q94">
        <v>0</v>
      </c>
      <c r="R94">
        <v>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/>
      <c r="AP94"/>
      <c r="AQ94"/>
      <c r="AR94"/>
      <c r="AS94"/>
      <c r="AT94"/>
      <c r="AU94"/>
    </row>
    <row r="95" spans="1:47" s="2" customFormat="1" x14ac:dyDescent="0.3">
      <c r="A95" t="s">
        <v>84</v>
      </c>
      <c r="B95" s="3">
        <v>2018</v>
      </c>
      <c r="C95" s="3">
        <v>1028577.875</v>
      </c>
      <c r="D95" s="3">
        <v>3550131</v>
      </c>
      <c r="E95" s="3">
        <v>64.766288757324205</v>
      </c>
      <c r="F95" s="3"/>
      <c r="G95" s="3"/>
      <c r="H95" s="3">
        <v>4.1294012218713802E-2</v>
      </c>
      <c r="I95" s="3">
        <v>83.466201916666705</v>
      </c>
      <c r="J95" s="3">
        <v>2.07510161399841</v>
      </c>
      <c r="K95" s="3"/>
      <c r="L95" s="3">
        <f t="shared" si="1"/>
        <v>4</v>
      </c>
      <c r="M95">
        <f>VLOOKUP(A95,Sheet2!$B$2:$E$186,2,FALSE)</f>
        <v>16</v>
      </c>
      <c r="N95" t="s">
        <v>391</v>
      </c>
      <c r="O95" t="s">
        <v>399</v>
      </c>
      <c r="P95">
        <v>0</v>
      </c>
      <c r="Q95">
        <v>0</v>
      </c>
      <c r="R95">
        <v>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/>
      <c r="AP95"/>
      <c r="AQ95"/>
      <c r="AR95"/>
      <c r="AS95"/>
      <c r="AT95"/>
      <c r="AU95"/>
    </row>
    <row r="96" spans="1:47" s="2" customFormat="1" x14ac:dyDescent="0.3">
      <c r="A96" t="s">
        <v>84</v>
      </c>
      <c r="B96" s="3">
        <v>2019</v>
      </c>
      <c r="C96" s="3">
        <v>1109649.375</v>
      </c>
      <c r="D96" s="3">
        <v>3911620.75</v>
      </c>
      <c r="E96" s="3">
        <v>66.712120056152301</v>
      </c>
      <c r="F96" s="3"/>
      <c r="G96" s="3"/>
      <c r="H96" s="3">
        <v>4.1132401674985899E-2</v>
      </c>
      <c r="I96" s="3">
        <v>84.453522500000005</v>
      </c>
      <c r="J96" s="3">
        <v>2.1017904281616202</v>
      </c>
      <c r="K96" s="3"/>
      <c r="L96" s="3">
        <f t="shared" si="1"/>
        <v>5</v>
      </c>
      <c r="M96">
        <f>VLOOKUP(A96,Sheet2!$B$2:$E$186,2,FALSE)</f>
        <v>16</v>
      </c>
      <c r="N96" t="s">
        <v>391</v>
      </c>
      <c r="O96" t="s">
        <v>399</v>
      </c>
      <c r="P96">
        <v>0</v>
      </c>
      <c r="Q96">
        <v>0</v>
      </c>
      <c r="R96">
        <v>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/>
      <c r="AP96"/>
      <c r="AQ96"/>
      <c r="AR96"/>
      <c r="AS96"/>
      <c r="AT96"/>
      <c r="AU96"/>
    </row>
    <row r="97" spans="1:47" s="2" customFormat="1" x14ac:dyDescent="0.3">
      <c r="A97" t="s">
        <v>84</v>
      </c>
      <c r="B97" s="3">
        <v>2020</v>
      </c>
      <c r="C97" s="3">
        <v>1147910.375</v>
      </c>
      <c r="D97" s="3">
        <v>4280055.5</v>
      </c>
      <c r="E97" s="3">
        <v>68.679405212402301</v>
      </c>
      <c r="F97" s="3"/>
      <c r="G97" s="3"/>
      <c r="H97" s="3">
        <v>4.0746744722127901E-2</v>
      </c>
      <c r="I97" s="3">
        <v>84.871391666666696</v>
      </c>
      <c r="J97" s="3">
        <v>2.12882280349731</v>
      </c>
      <c r="K97" s="3"/>
      <c r="L97" s="3">
        <f t="shared" si="1"/>
        <v>6</v>
      </c>
      <c r="M97">
        <f>VLOOKUP(A97,Sheet2!$B$2:$E$186,2,FALSE)</f>
        <v>16</v>
      </c>
      <c r="N97" t="s">
        <v>391</v>
      </c>
      <c r="O97" t="s">
        <v>399</v>
      </c>
      <c r="P97">
        <v>0</v>
      </c>
      <c r="Q97">
        <v>0</v>
      </c>
      <c r="R97">
        <v>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/>
      <c r="AP97"/>
      <c r="AQ97"/>
      <c r="AR97"/>
      <c r="AS97"/>
      <c r="AT97"/>
      <c r="AU97"/>
    </row>
    <row r="98" spans="1:47" x14ac:dyDescent="0.3">
      <c r="A98" t="s">
        <v>86</v>
      </c>
      <c r="B98" s="3">
        <v>2015</v>
      </c>
      <c r="C98" s="3">
        <v>155443.328125</v>
      </c>
      <c r="D98" s="3">
        <v>421654.71875</v>
      </c>
      <c r="E98" s="3">
        <v>3.20811891555786</v>
      </c>
      <c r="F98" s="3">
        <v>0.82952994108200095</v>
      </c>
      <c r="G98" s="3">
        <v>0.17010597884654999</v>
      </c>
      <c r="H98" s="3">
        <v>5.6543819606304203E-2</v>
      </c>
      <c r="I98" s="3">
        <v>1.7644</v>
      </c>
      <c r="J98" s="3">
        <v>3.1397488117218</v>
      </c>
      <c r="K98" s="3">
        <v>0.89806950092315696</v>
      </c>
      <c r="L98" s="3">
        <f t="shared" si="1"/>
        <v>1</v>
      </c>
      <c r="M98">
        <f>VLOOKUP(A98,Sheet2!$B$2:$E$186,2,FALSE)</f>
        <v>17</v>
      </c>
      <c r="N98" t="s">
        <v>389</v>
      </c>
      <c r="O98" t="s">
        <v>400</v>
      </c>
      <c r="P98">
        <v>0</v>
      </c>
      <c r="Q98">
        <v>1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</row>
    <row r="99" spans="1:47" x14ac:dyDescent="0.3">
      <c r="A99" t="s">
        <v>86</v>
      </c>
      <c r="B99" s="3">
        <v>2016</v>
      </c>
      <c r="C99" s="3">
        <v>160148.015625</v>
      </c>
      <c r="D99" s="3">
        <v>435269.3125</v>
      </c>
      <c r="E99" s="3">
        <v>3.1921868324279798</v>
      </c>
      <c r="F99" s="3">
        <v>0.85388517379760698</v>
      </c>
      <c r="G99" s="3">
        <v>0.172268837690353</v>
      </c>
      <c r="H99" s="3">
        <v>5.6084908545017201E-2</v>
      </c>
      <c r="I99" s="3">
        <v>1.7680416666666701</v>
      </c>
      <c r="J99" s="3">
        <v>3.1512520313262899</v>
      </c>
      <c r="K99" s="3">
        <v>0.89260870218277</v>
      </c>
      <c r="L99" s="3">
        <f t="shared" si="1"/>
        <v>2</v>
      </c>
      <c r="M99">
        <f>VLOOKUP(A99,Sheet2!$B$2:$E$186,2,FALSE)</f>
        <v>17</v>
      </c>
      <c r="N99" t="s">
        <v>389</v>
      </c>
      <c r="O99" t="s">
        <v>400</v>
      </c>
      <c r="P99">
        <v>0</v>
      </c>
      <c r="Q99">
        <v>1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</row>
    <row r="100" spans="1:47" x14ac:dyDescent="0.3">
      <c r="A100" t="s">
        <v>86</v>
      </c>
      <c r="B100" s="3">
        <v>2017</v>
      </c>
      <c r="C100" s="3">
        <v>164545.5625</v>
      </c>
      <c r="D100" s="3">
        <v>449424.46875</v>
      </c>
      <c r="E100" s="3">
        <v>3.3333928585052499</v>
      </c>
      <c r="F100" s="3">
        <v>0.881880402565002</v>
      </c>
      <c r="G100" s="3">
        <v>0.175469920039177</v>
      </c>
      <c r="H100" s="3">
        <v>5.56963086128235E-2</v>
      </c>
      <c r="I100" s="3">
        <v>1.73545833333333</v>
      </c>
      <c r="J100" s="3">
        <v>3.1627974510192902</v>
      </c>
      <c r="K100" s="3">
        <v>0.88820868730545</v>
      </c>
      <c r="L100" s="3">
        <f t="shared" si="1"/>
        <v>3</v>
      </c>
      <c r="M100">
        <f>VLOOKUP(A100,Sheet2!$B$2:$E$186,2,FALSE)</f>
        <v>17</v>
      </c>
      <c r="N100" t="s">
        <v>389</v>
      </c>
      <c r="O100" t="s">
        <v>400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</row>
    <row r="101" spans="1:47" x14ac:dyDescent="0.3">
      <c r="A101" t="s">
        <v>86</v>
      </c>
      <c r="B101" s="3">
        <v>2018</v>
      </c>
      <c r="C101" s="3">
        <v>168740.578125</v>
      </c>
      <c r="D101" s="3">
        <v>464756.3125</v>
      </c>
      <c r="E101" s="3">
        <v>3.3359436988830602</v>
      </c>
      <c r="F101" s="3">
        <v>0.91327100992202803</v>
      </c>
      <c r="G101" s="3">
        <v>0.173764377832413</v>
      </c>
      <c r="H101" s="3">
        <v>5.5647779256105402E-2</v>
      </c>
      <c r="I101" s="3">
        <v>1.6570416666666701</v>
      </c>
      <c r="J101" s="3">
        <v>3.1743850708007799</v>
      </c>
      <c r="K101" s="3">
        <v>0.91551363468170199</v>
      </c>
      <c r="L101" s="3">
        <f t="shared" si="1"/>
        <v>4</v>
      </c>
      <c r="M101">
        <f>VLOOKUP(A101,Sheet2!$B$2:$E$186,2,FALSE)</f>
        <v>17</v>
      </c>
      <c r="N101" t="s">
        <v>389</v>
      </c>
      <c r="O101" t="s">
        <v>400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</row>
    <row r="102" spans="1:47" x14ac:dyDescent="0.3">
      <c r="A102" t="s">
        <v>86</v>
      </c>
      <c r="B102" s="3">
        <v>2019</v>
      </c>
      <c r="C102" s="3">
        <v>175133.90625</v>
      </c>
      <c r="D102" s="3">
        <v>481117.125</v>
      </c>
      <c r="E102" s="3">
        <v>3.42094802856445</v>
      </c>
      <c r="F102" s="3">
        <v>0.94725513458251998</v>
      </c>
      <c r="G102" s="3">
        <v>0.17740188539028201</v>
      </c>
      <c r="H102" s="3">
        <v>5.5807001888751998E-2</v>
      </c>
      <c r="I102" s="3">
        <v>1.7470416666666699</v>
      </c>
      <c r="J102" s="3">
        <v>3.1860151290893599</v>
      </c>
      <c r="K102" s="3">
        <v>0.92665481567382801</v>
      </c>
      <c r="L102" s="3">
        <f t="shared" si="1"/>
        <v>5</v>
      </c>
      <c r="M102">
        <f>VLOOKUP(A102,Sheet2!$B$2:$E$186,2,FALSE)</f>
        <v>17</v>
      </c>
      <c r="N102" t="s">
        <v>389</v>
      </c>
      <c r="O102" t="s">
        <v>400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</row>
    <row r="103" spans="1:47" x14ac:dyDescent="0.3">
      <c r="A103" t="s">
        <v>86</v>
      </c>
      <c r="B103" s="3">
        <v>2020</v>
      </c>
      <c r="C103" s="3">
        <v>169502.0625</v>
      </c>
      <c r="D103" s="3">
        <v>496809.28125</v>
      </c>
      <c r="E103" s="3">
        <v>3.3032000064849898</v>
      </c>
      <c r="F103" s="3">
        <v>0.978218793869019</v>
      </c>
      <c r="G103" s="3">
        <v>0.16779308021068601</v>
      </c>
      <c r="H103" s="3">
        <v>5.58384992182255E-2</v>
      </c>
      <c r="I103" s="3">
        <v>1.7163333333333299</v>
      </c>
      <c r="J103" s="3">
        <v>3.1976878643035902</v>
      </c>
      <c r="K103" s="3">
        <v>0.94278538227081299</v>
      </c>
      <c r="L103" s="3">
        <f t="shared" si="1"/>
        <v>6</v>
      </c>
      <c r="M103">
        <f>VLOOKUP(A103,Sheet2!$B$2:$E$186,2,FALSE)</f>
        <v>17</v>
      </c>
      <c r="N103" t="s">
        <v>389</v>
      </c>
      <c r="O103" t="s">
        <v>400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</row>
    <row r="104" spans="1:47" x14ac:dyDescent="0.3">
      <c r="A104" t="s">
        <v>88</v>
      </c>
      <c r="B104" s="3">
        <v>2015</v>
      </c>
      <c r="C104" s="3">
        <v>75758.9140625</v>
      </c>
      <c r="D104" s="3">
        <v>337146</v>
      </c>
      <c r="E104" s="3">
        <v>0.731633841991425</v>
      </c>
      <c r="F104" s="3">
        <v>0.72268551588058505</v>
      </c>
      <c r="G104" s="3">
        <v>0.14975839853286699</v>
      </c>
      <c r="H104" s="3">
        <v>3.4027144312858602E-2</v>
      </c>
      <c r="I104" s="3">
        <v>0.376</v>
      </c>
      <c r="J104" s="3">
        <v>2.4823453426361102</v>
      </c>
      <c r="K104" s="3">
        <v>1.5734945535659799</v>
      </c>
      <c r="L104" s="3">
        <f t="shared" si="1"/>
        <v>1</v>
      </c>
      <c r="M104">
        <f>VLOOKUP(A104,Sheet2!$B$2:$E$186,2,FALSE)</f>
        <v>18</v>
      </c>
      <c r="N104" t="s">
        <v>391</v>
      </c>
      <c r="O104" t="s">
        <v>392</v>
      </c>
      <c r="P104">
        <v>0</v>
      </c>
      <c r="Q104">
        <v>0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</row>
    <row r="105" spans="1:47" x14ac:dyDescent="0.3">
      <c r="A105" t="s">
        <v>88</v>
      </c>
      <c r="B105" s="3">
        <v>2016</v>
      </c>
      <c r="C105" s="3">
        <v>78454.78125</v>
      </c>
      <c r="D105" s="3">
        <v>356190.03125</v>
      </c>
      <c r="E105" s="3">
        <v>0.80020070075988803</v>
      </c>
      <c r="F105" s="3">
        <v>0.76276826858520497</v>
      </c>
      <c r="G105" s="3">
        <v>0.150832459330559</v>
      </c>
      <c r="H105" s="3">
        <v>3.34919728338718E-2</v>
      </c>
      <c r="I105" s="3">
        <v>0.376</v>
      </c>
      <c r="J105" s="3">
        <v>2.5283229351043701</v>
      </c>
      <c r="K105" s="3">
        <v>1.5285359621048</v>
      </c>
      <c r="L105" s="3">
        <f t="shared" si="1"/>
        <v>2</v>
      </c>
      <c r="M105">
        <f>VLOOKUP(A105,Sheet2!$B$2:$E$186,2,FALSE)</f>
        <v>18</v>
      </c>
      <c r="N105" t="s">
        <v>391</v>
      </c>
      <c r="O105" t="s">
        <v>392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</row>
    <row r="106" spans="1:47" x14ac:dyDescent="0.3">
      <c r="A106" t="s">
        <v>88</v>
      </c>
      <c r="B106" s="3">
        <v>2017</v>
      </c>
      <c r="C106" s="3">
        <v>81821.4921875</v>
      </c>
      <c r="D106" s="3">
        <v>377966.25</v>
      </c>
      <c r="E106" s="3">
        <v>0.81073743104934703</v>
      </c>
      <c r="F106" s="3">
        <v>0.81266415119171098</v>
      </c>
      <c r="G106" s="3">
        <v>0.14457617700099901</v>
      </c>
      <c r="H106" s="3">
        <v>3.3464159816503497E-2</v>
      </c>
      <c r="I106" s="3">
        <v>0.376</v>
      </c>
      <c r="J106" s="3">
        <v>2.5783224105835001</v>
      </c>
      <c r="K106" s="3">
        <v>1.5541810989379901</v>
      </c>
      <c r="L106" s="3">
        <f t="shared" si="1"/>
        <v>3</v>
      </c>
      <c r="M106">
        <f>VLOOKUP(A106,Sheet2!$B$2:$E$186,2,FALSE)</f>
        <v>18</v>
      </c>
      <c r="N106" t="s">
        <v>391</v>
      </c>
      <c r="O106" t="s">
        <v>392</v>
      </c>
      <c r="P106">
        <v>0</v>
      </c>
      <c r="Q106">
        <v>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</row>
    <row r="107" spans="1:47" x14ac:dyDescent="0.3">
      <c r="A107" t="s">
        <v>88</v>
      </c>
      <c r="B107" s="3">
        <v>2018</v>
      </c>
      <c r="C107" s="3">
        <v>83548.34375</v>
      </c>
      <c r="D107" s="3">
        <v>401999.65625</v>
      </c>
      <c r="E107" s="3">
        <v>0.79955077171325695</v>
      </c>
      <c r="F107" s="3">
        <v>0.86902052164077803</v>
      </c>
      <c r="G107" s="3">
        <v>0.14528979361057301</v>
      </c>
      <c r="H107" s="3">
        <v>3.3978100866079303E-2</v>
      </c>
      <c r="I107" s="3">
        <v>0.376</v>
      </c>
      <c r="J107" s="3">
        <v>2.7167513370513898</v>
      </c>
      <c r="K107" s="3">
        <v>1.52252817153931</v>
      </c>
      <c r="L107" s="3">
        <f t="shared" si="1"/>
        <v>4</v>
      </c>
      <c r="M107">
        <f>VLOOKUP(A107,Sheet2!$B$2:$E$186,2,FALSE)</f>
        <v>18</v>
      </c>
      <c r="N107" t="s">
        <v>391</v>
      </c>
      <c r="O107" t="s">
        <v>392</v>
      </c>
      <c r="P107">
        <v>0</v>
      </c>
      <c r="Q107">
        <v>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</row>
    <row r="108" spans="1:47" x14ac:dyDescent="0.3">
      <c r="A108" t="s">
        <v>88</v>
      </c>
      <c r="B108" s="3">
        <v>2019</v>
      </c>
      <c r="C108" s="3">
        <v>85359.0390625</v>
      </c>
      <c r="D108" s="3">
        <v>424120.65625</v>
      </c>
      <c r="E108" s="3">
        <v>0.76371574401855502</v>
      </c>
      <c r="F108" s="3">
        <v>0.91850775480270397</v>
      </c>
      <c r="G108" s="3">
        <v>0.14397053420543701</v>
      </c>
      <c r="H108" s="3">
        <v>3.4354455769062001E-2</v>
      </c>
      <c r="I108" s="3">
        <v>0.376</v>
      </c>
      <c r="J108" s="3">
        <v>2.7560660839080802</v>
      </c>
      <c r="K108" s="3">
        <v>1.44389796257019</v>
      </c>
      <c r="L108" s="3">
        <f t="shared" si="1"/>
        <v>5</v>
      </c>
      <c r="M108">
        <f>VLOOKUP(A108,Sheet2!$B$2:$E$186,2,FALSE)</f>
        <v>18</v>
      </c>
      <c r="N108" t="s">
        <v>391</v>
      </c>
      <c r="O108" t="s">
        <v>392</v>
      </c>
      <c r="P108">
        <v>0</v>
      </c>
      <c r="Q108">
        <v>0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</row>
    <row r="109" spans="1:47" x14ac:dyDescent="0.3">
      <c r="A109" t="s">
        <v>88</v>
      </c>
      <c r="B109" s="3">
        <v>2020</v>
      </c>
      <c r="C109" s="3">
        <v>81244.8671875</v>
      </c>
      <c r="D109" s="3">
        <v>444227.9375</v>
      </c>
      <c r="E109" s="3">
        <v>0.71938002109527599</v>
      </c>
      <c r="F109" s="3">
        <v>0.96351188421249401</v>
      </c>
      <c r="G109" s="3">
        <v>0.12543715536594399</v>
      </c>
      <c r="H109" s="3">
        <v>3.44670414924622E-2</v>
      </c>
      <c r="I109" s="3">
        <v>0.376</v>
      </c>
      <c r="J109" s="3">
        <v>2.7959496974945099</v>
      </c>
      <c r="K109" s="3">
        <v>1.36996674537659</v>
      </c>
      <c r="L109" s="3">
        <f t="shared" si="1"/>
        <v>6</v>
      </c>
      <c r="M109">
        <f>VLOOKUP(A109,Sheet2!$B$2:$E$186,2,FALSE)</f>
        <v>18</v>
      </c>
      <c r="N109" t="s">
        <v>391</v>
      </c>
      <c r="O109" t="s">
        <v>392</v>
      </c>
      <c r="P109">
        <v>0</v>
      </c>
      <c r="Q109">
        <v>0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1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</row>
    <row r="110" spans="1:47" x14ac:dyDescent="0.3">
      <c r="A110" t="s">
        <v>90</v>
      </c>
      <c r="B110" s="3">
        <v>2015</v>
      </c>
      <c r="C110" s="3">
        <v>11496.5400390625</v>
      </c>
      <c r="D110" s="3">
        <v>66635.9921875</v>
      </c>
      <c r="E110" s="3">
        <v>0.18828962743282299</v>
      </c>
      <c r="F110" s="3">
        <v>0.86640191078186002</v>
      </c>
      <c r="G110" s="3">
        <v>0.14933113753795599</v>
      </c>
      <c r="H110" s="3">
        <v>4.5012064278125798E-2</v>
      </c>
      <c r="I110" s="3">
        <v>1</v>
      </c>
      <c r="J110" s="3"/>
      <c r="K110" s="3"/>
      <c r="L110" s="3">
        <f t="shared" si="1"/>
        <v>1</v>
      </c>
      <c r="M110">
        <f>VLOOKUP(A110,Sheet2!$B$2:$E$186,2,FALSE)</f>
        <v>19</v>
      </c>
      <c r="N110" t="s">
        <v>385</v>
      </c>
      <c r="O110" t="s">
        <v>386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</row>
    <row r="111" spans="1:47" x14ac:dyDescent="0.3">
      <c r="A111" t="s">
        <v>90</v>
      </c>
      <c r="B111" s="3">
        <v>2016</v>
      </c>
      <c r="C111" s="3">
        <v>11385.9482421875</v>
      </c>
      <c r="D111" s="3">
        <v>68936.546875</v>
      </c>
      <c r="E111" s="3">
        <v>0.189720064401627</v>
      </c>
      <c r="F111" s="3">
        <v>0.89222812652587902</v>
      </c>
      <c r="G111" s="3">
        <v>0.14534205198288</v>
      </c>
      <c r="H111" s="3">
        <v>4.4067110866308198E-2</v>
      </c>
      <c r="I111" s="3">
        <v>1</v>
      </c>
      <c r="J111" s="3"/>
      <c r="K111" s="3"/>
      <c r="L111" s="3">
        <f t="shared" si="1"/>
        <v>2</v>
      </c>
      <c r="M111">
        <f>VLOOKUP(A111,Sheet2!$B$2:$E$186,2,FALSE)</f>
        <v>19</v>
      </c>
      <c r="N111" t="s">
        <v>385</v>
      </c>
      <c r="O111" t="s">
        <v>386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</row>
    <row r="112" spans="1:47" x14ac:dyDescent="0.3">
      <c r="A112" t="s">
        <v>90</v>
      </c>
      <c r="B112" s="3">
        <v>2017</v>
      </c>
      <c r="C112" s="3">
        <v>11704.703125</v>
      </c>
      <c r="D112" s="3">
        <v>71723.7421875</v>
      </c>
      <c r="E112" s="3">
        <v>0.19915528595447499</v>
      </c>
      <c r="F112" s="3">
        <v>0.92507725954055797</v>
      </c>
      <c r="G112" s="3">
        <v>0.14409671723842599</v>
      </c>
      <c r="H112" s="3">
        <v>4.3297316879034001E-2</v>
      </c>
      <c r="I112" s="3">
        <v>1</v>
      </c>
      <c r="J112" s="3"/>
      <c r="K112" s="3"/>
      <c r="L112" s="3">
        <f t="shared" si="1"/>
        <v>3</v>
      </c>
      <c r="M112">
        <f>VLOOKUP(A112,Sheet2!$B$2:$E$186,2,FALSE)</f>
        <v>19</v>
      </c>
      <c r="N112" t="s">
        <v>385</v>
      </c>
      <c r="O112" t="s">
        <v>386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</row>
    <row r="113" spans="1:47" x14ac:dyDescent="0.3">
      <c r="A113" t="s">
        <v>90</v>
      </c>
      <c r="B113" s="3">
        <v>2018</v>
      </c>
      <c r="C113" s="3">
        <v>12012.5205078125</v>
      </c>
      <c r="D113" s="3">
        <v>74140.8359375</v>
      </c>
      <c r="E113" s="3">
        <v>0.20172098278999301</v>
      </c>
      <c r="F113" s="3">
        <v>0.95323503017425504</v>
      </c>
      <c r="G113" s="3">
        <v>0.14058983325958299</v>
      </c>
      <c r="H113" s="3">
        <v>4.2647227644920398E-2</v>
      </c>
      <c r="I113" s="3">
        <v>1</v>
      </c>
      <c r="J113" s="3"/>
      <c r="K113" s="3"/>
      <c r="L113" s="3">
        <f t="shared" si="1"/>
        <v>4</v>
      </c>
      <c r="M113">
        <f>VLOOKUP(A113,Sheet2!$B$2:$E$186,2,FALSE)</f>
        <v>19</v>
      </c>
      <c r="N113" t="s">
        <v>385</v>
      </c>
      <c r="O113" t="s">
        <v>386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</row>
    <row r="114" spans="1:47" x14ac:dyDescent="0.3">
      <c r="A114" t="s">
        <v>90</v>
      </c>
      <c r="B114" s="3">
        <v>2019</v>
      </c>
      <c r="C114" s="3">
        <v>11849.482421875</v>
      </c>
      <c r="D114" s="3">
        <v>76680.671875</v>
      </c>
      <c r="E114" s="3">
        <v>0.20450274646282199</v>
      </c>
      <c r="F114" s="3">
        <v>0.98210382461547896</v>
      </c>
      <c r="G114" s="3">
        <v>0.140029281377792</v>
      </c>
      <c r="H114" s="3">
        <v>4.1961576789617497E-2</v>
      </c>
      <c r="I114" s="3">
        <v>1</v>
      </c>
      <c r="J114" s="3"/>
      <c r="K114" s="3"/>
      <c r="L114" s="3">
        <f t="shared" si="1"/>
        <v>5</v>
      </c>
      <c r="M114">
        <f>VLOOKUP(A114,Sheet2!$B$2:$E$186,2,FALSE)</f>
        <v>19</v>
      </c>
      <c r="N114" t="s">
        <v>385</v>
      </c>
      <c r="O114" t="s">
        <v>386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</row>
    <row r="115" spans="1:47" x14ac:dyDescent="0.3">
      <c r="A115" t="s">
        <v>90</v>
      </c>
      <c r="B115" s="3">
        <v>2020</v>
      </c>
      <c r="C115" s="3">
        <v>9310.9150390625</v>
      </c>
      <c r="D115" s="3">
        <v>77472.140625</v>
      </c>
      <c r="E115" s="3">
        <v>0.186737671494484</v>
      </c>
      <c r="F115" s="3">
        <v>0.98601043224334695</v>
      </c>
      <c r="G115" s="3">
        <v>9.6897982060909299E-2</v>
      </c>
      <c r="H115" s="3">
        <v>4.1098695248365402E-2</v>
      </c>
      <c r="I115" s="3">
        <v>1</v>
      </c>
      <c r="J115" s="3"/>
      <c r="K115" s="3"/>
      <c r="L115" s="3">
        <f t="shared" si="1"/>
        <v>6</v>
      </c>
      <c r="M115">
        <f>VLOOKUP(A115,Sheet2!$B$2:$E$186,2,FALSE)</f>
        <v>19</v>
      </c>
      <c r="N115" t="s">
        <v>385</v>
      </c>
      <c r="O115" t="s">
        <v>386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</row>
    <row r="116" spans="1:47" x14ac:dyDescent="0.3">
      <c r="A116" t="s">
        <v>92</v>
      </c>
      <c r="B116" s="3">
        <v>2015</v>
      </c>
      <c r="C116" s="3">
        <v>46440.70703125</v>
      </c>
      <c r="D116" s="3">
        <v>129639.21875</v>
      </c>
      <c r="E116" s="3">
        <v>0.657287538051605</v>
      </c>
      <c r="F116" s="3">
        <v>0.75953966379165705</v>
      </c>
      <c r="G116" s="3">
        <v>9.2823512852191897E-2</v>
      </c>
      <c r="H116" s="3">
        <v>5.8027505874633803E-2</v>
      </c>
      <c r="I116" s="3">
        <v>1.76349164694686</v>
      </c>
      <c r="J116" s="3"/>
      <c r="K116" s="3"/>
      <c r="L116" s="3">
        <f t="shared" si="1"/>
        <v>1</v>
      </c>
      <c r="M116">
        <f>VLOOKUP(A116,Sheet2!$B$2:$E$186,2,FALSE)</f>
        <v>20</v>
      </c>
      <c r="N116" t="s">
        <v>389</v>
      </c>
      <c r="O116" t="s">
        <v>390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</row>
    <row r="117" spans="1:47" x14ac:dyDescent="0.3">
      <c r="A117" t="s">
        <v>92</v>
      </c>
      <c r="B117" s="3">
        <v>2016</v>
      </c>
      <c r="C117" s="3">
        <v>47946.43359375</v>
      </c>
      <c r="D117" s="3">
        <v>135311.75</v>
      </c>
      <c r="E117" s="3">
        <v>0.66132545471191395</v>
      </c>
      <c r="F117" s="3">
        <v>0.79207015037536599</v>
      </c>
      <c r="G117" s="3">
        <v>9.8747946321964306E-2</v>
      </c>
      <c r="H117" s="3">
        <v>5.7622939348220797E-2</v>
      </c>
      <c r="I117" s="3">
        <v>1.7681390242991499</v>
      </c>
      <c r="J117" s="3"/>
      <c r="K117" s="3"/>
      <c r="L117" s="3">
        <f t="shared" si="1"/>
        <v>2</v>
      </c>
      <c r="M117">
        <f>VLOOKUP(A117,Sheet2!$B$2:$E$186,2,FALSE)</f>
        <v>20</v>
      </c>
      <c r="N117" t="s">
        <v>389</v>
      </c>
      <c r="O117" t="s">
        <v>390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</row>
    <row r="118" spans="1:47" x14ac:dyDescent="0.3">
      <c r="A118" t="s">
        <v>92</v>
      </c>
      <c r="B118" s="3">
        <v>2017</v>
      </c>
      <c r="C118" s="3">
        <v>49501.859375</v>
      </c>
      <c r="D118" s="3">
        <v>141777.390625</v>
      </c>
      <c r="E118" s="3">
        <v>0.68704271316528298</v>
      </c>
      <c r="F118" s="3">
        <v>0.83029490709304798</v>
      </c>
      <c r="G118" s="3">
        <v>9.59310382604599E-2</v>
      </c>
      <c r="H118" s="3">
        <v>5.7474438101053203E-2</v>
      </c>
      <c r="I118" s="3">
        <v>1.73535271327691</v>
      </c>
      <c r="J118" s="3"/>
      <c r="K118" s="3"/>
      <c r="L118" s="3">
        <f t="shared" si="1"/>
        <v>3</v>
      </c>
      <c r="M118">
        <f>VLOOKUP(A118,Sheet2!$B$2:$E$186,2,FALSE)</f>
        <v>20</v>
      </c>
      <c r="N118" t="s">
        <v>389</v>
      </c>
      <c r="O118" t="s">
        <v>390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</row>
    <row r="119" spans="1:47" x14ac:dyDescent="0.3">
      <c r="A119" t="s">
        <v>92</v>
      </c>
      <c r="B119" s="3">
        <v>2018</v>
      </c>
      <c r="C119" s="3">
        <v>51397.2890625</v>
      </c>
      <c r="D119" s="3">
        <v>149054.234375</v>
      </c>
      <c r="E119" s="3">
        <v>0.69854557514190696</v>
      </c>
      <c r="F119" s="3">
        <v>0.87468737363815297</v>
      </c>
      <c r="G119" s="3">
        <v>9.5697641372680706E-2</v>
      </c>
      <c r="H119" s="3">
        <v>5.7697314769029603E-2</v>
      </c>
      <c r="I119" s="3">
        <v>1.6569854411354299</v>
      </c>
      <c r="J119" s="3"/>
      <c r="K119" s="3"/>
      <c r="L119" s="3">
        <f t="shared" si="1"/>
        <v>4</v>
      </c>
      <c r="M119">
        <f>VLOOKUP(A119,Sheet2!$B$2:$E$186,2,FALSE)</f>
        <v>20</v>
      </c>
      <c r="N119" t="s">
        <v>389</v>
      </c>
      <c r="O119" t="s">
        <v>390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</row>
    <row r="120" spans="1:47" x14ac:dyDescent="0.3">
      <c r="A120" t="s">
        <v>92</v>
      </c>
      <c r="B120" s="3">
        <v>2019</v>
      </c>
      <c r="C120" s="3">
        <v>52880.5390625</v>
      </c>
      <c r="D120" s="3">
        <v>156805.5625</v>
      </c>
      <c r="E120" s="3">
        <v>0.70987862348556496</v>
      </c>
      <c r="F120" s="3">
        <v>0.92094933986663796</v>
      </c>
      <c r="G120" s="3">
        <v>9.68620330095291E-2</v>
      </c>
      <c r="H120" s="3">
        <v>5.7976469397544902E-2</v>
      </c>
      <c r="I120" s="3">
        <v>1.74708646136073</v>
      </c>
      <c r="J120" s="3"/>
      <c r="K120" s="3"/>
      <c r="L120" s="3">
        <f t="shared" si="1"/>
        <v>5</v>
      </c>
      <c r="M120">
        <f>VLOOKUP(A120,Sheet2!$B$2:$E$186,2,FALSE)</f>
        <v>20</v>
      </c>
      <c r="N120" t="s">
        <v>389</v>
      </c>
      <c r="O120" t="s">
        <v>390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</row>
    <row r="121" spans="1:47" x14ac:dyDescent="0.3">
      <c r="A121" t="s">
        <v>92</v>
      </c>
      <c r="B121" s="3">
        <v>2020</v>
      </c>
      <c r="C121" s="3">
        <v>51286.14453125</v>
      </c>
      <c r="D121" s="3">
        <v>163516.90625</v>
      </c>
      <c r="E121" s="3">
        <v>0.69486546516418501</v>
      </c>
      <c r="F121" s="3">
        <v>0.95718193054199197</v>
      </c>
      <c r="G121" s="3">
        <v>8.6497753858566298E-2</v>
      </c>
      <c r="H121" s="3">
        <v>5.7820521295070697E-2</v>
      </c>
      <c r="I121" s="3">
        <v>1.71697049519219</v>
      </c>
      <c r="J121" s="3"/>
      <c r="K121" s="3"/>
      <c r="L121" s="3">
        <f t="shared" si="1"/>
        <v>6</v>
      </c>
      <c r="M121">
        <f>VLOOKUP(A121,Sheet2!$B$2:$E$186,2,FALSE)</f>
        <v>20</v>
      </c>
      <c r="N121" t="s">
        <v>389</v>
      </c>
      <c r="O121" t="s">
        <v>390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</row>
    <row r="122" spans="1:47" x14ac:dyDescent="0.3">
      <c r="A122" t="s">
        <v>94</v>
      </c>
      <c r="B122" s="3">
        <v>2015</v>
      </c>
      <c r="C122" s="3">
        <v>244186.765625</v>
      </c>
      <c r="D122" s="3">
        <v>1204191.125</v>
      </c>
      <c r="E122" s="3">
        <v>4.4063839912414604</v>
      </c>
      <c r="F122" s="3">
        <v>0.88152688741684004</v>
      </c>
      <c r="G122" s="3">
        <v>6.2832705676555606E-2</v>
      </c>
      <c r="H122" s="3">
        <v>4.6354111284017598E-2</v>
      </c>
      <c r="I122" s="3">
        <v>1.5925988333333301</v>
      </c>
      <c r="J122" s="3"/>
      <c r="K122" s="3"/>
      <c r="L122" s="3">
        <f t="shared" si="1"/>
        <v>1</v>
      </c>
      <c r="M122">
        <f>VLOOKUP(A122,Sheet2!$B$2:$E$186,2,FALSE)</f>
        <v>21</v>
      </c>
      <c r="N122" t="s">
        <v>389</v>
      </c>
      <c r="O122" t="s">
        <v>400</v>
      </c>
      <c r="P122">
        <v>0</v>
      </c>
      <c r="Q122">
        <v>1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</row>
    <row r="123" spans="1:47" x14ac:dyDescent="0.3">
      <c r="A123" t="s">
        <v>94</v>
      </c>
      <c r="B123" s="3">
        <v>2016</v>
      </c>
      <c r="C123" s="3">
        <v>238171.015625</v>
      </c>
      <c r="D123" s="3">
        <v>1228404.75</v>
      </c>
      <c r="E123" s="3">
        <v>4.3180732727050799</v>
      </c>
      <c r="F123" s="3">
        <v>0.89556413888931297</v>
      </c>
      <c r="G123" s="3">
        <v>6.0691501945257201E-2</v>
      </c>
      <c r="H123" s="3">
        <v>4.5571874827146502E-2</v>
      </c>
      <c r="I123" s="3">
        <v>1.9895628333333299</v>
      </c>
      <c r="J123" s="3"/>
      <c r="K123" s="3"/>
      <c r="L123" s="3">
        <f t="shared" si="1"/>
        <v>2</v>
      </c>
      <c r="M123">
        <f>VLOOKUP(A123,Sheet2!$B$2:$E$186,2,FALSE)</f>
        <v>21</v>
      </c>
      <c r="N123" t="s">
        <v>389</v>
      </c>
      <c r="O123" t="s">
        <v>400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</row>
    <row r="124" spans="1:47" x14ac:dyDescent="0.3">
      <c r="A124" t="s">
        <v>94</v>
      </c>
      <c r="B124" s="3">
        <v>2017</v>
      </c>
      <c r="C124" s="3">
        <v>244232.328125</v>
      </c>
      <c r="D124" s="3">
        <v>1256637.375</v>
      </c>
      <c r="E124" s="3">
        <v>4.2672696113586399</v>
      </c>
      <c r="F124" s="3">
        <v>0.91769039630889904</v>
      </c>
      <c r="G124" s="3">
        <v>6.2505841255188002E-2</v>
      </c>
      <c r="H124" s="3">
        <v>4.5224986970424701E-2</v>
      </c>
      <c r="I124" s="3">
        <v>1.93234166666667</v>
      </c>
      <c r="J124" s="3"/>
      <c r="K124" s="3"/>
      <c r="L124" s="3">
        <f t="shared" si="1"/>
        <v>3</v>
      </c>
      <c r="M124">
        <f>VLOOKUP(A124,Sheet2!$B$2:$E$186,2,FALSE)</f>
        <v>21</v>
      </c>
      <c r="N124" t="s">
        <v>389</v>
      </c>
      <c r="O124" t="s">
        <v>400</v>
      </c>
      <c r="P124">
        <v>0</v>
      </c>
      <c r="Q124">
        <v>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</row>
    <row r="125" spans="1:47" x14ac:dyDescent="0.3">
      <c r="A125" t="s">
        <v>94</v>
      </c>
      <c r="B125" s="3">
        <v>2018</v>
      </c>
      <c r="C125" s="3">
        <v>251925.734375</v>
      </c>
      <c r="D125" s="3">
        <v>1287380.75</v>
      </c>
      <c r="E125" s="3">
        <v>4.2513499259948704</v>
      </c>
      <c r="F125" s="3">
        <v>0.94459736347198497</v>
      </c>
      <c r="G125" s="3">
        <v>6.0097545385360697E-2</v>
      </c>
      <c r="H125" s="3">
        <v>4.5406512916088097E-2</v>
      </c>
      <c r="I125" s="3">
        <v>2.0376083333333299</v>
      </c>
      <c r="J125" s="3"/>
      <c r="K125" s="3"/>
      <c r="L125" s="3">
        <f t="shared" si="1"/>
        <v>4</v>
      </c>
      <c r="M125">
        <f>VLOOKUP(A125,Sheet2!$B$2:$E$186,2,FALSE)</f>
        <v>21</v>
      </c>
      <c r="N125" t="s">
        <v>389</v>
      </c>
      <c r="O125" t="s">
        <v>400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</row>
    <row r="126" spans="1:47" x14ac:dyDescent="0.3">
      <c r="A126" t="s">
        <v>94</v>
      </c>
      <c r="B126" s="3">
        <v>2019</v>
      </c>
      <c r="C126" s="3">
        <v>255569.71875</v>
      </c>
      <c r="D126" s="3">
        <v>1322330.625</v>
      </c>
      <c r="E126" s="3">
        <v>4.23260450363159</v>
      </c>
      <c r="F126" s="3">
        <v>0.97091662883758501</v>
      </c>
      <c r="G126" s="3">
        <v>5.9862047433853198E-2</v>
      </c>
      <c r="H126" s="3">
        <v>4.5554015785455697E-2</v>
      </c>
      <c r="I126" s="3">
        <v>2.0917833333333302</v>
      </c>
      <c r="J126" s="3"/>
      <c r="K126" s="3"/>
      <c r="L126" s="3">
        <f t="shared" si="1"/>
        <v>5</v>
      </c>
      <c r="M126">
        <f>VLOOKUP(A126,Sheet2!$B$2:$E$186,2,FALSE)</f>
        <v>21</v>
      </c>
      <c r="N126" t="s">
        <v>389</v>
      </c>
      <c r="O126" t="s">
        <v>400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</row>
    <row r="127" spans="1:47" x14ac:dyDescent="0.3">
      <c r="A127" t="s">
        <v>94</v>
      </c>
      <c r="B127" s="3">
        <v>2020</v>
      </c>
      <c r="C127" s="3">
        <v>253866.328125</v>
      </c>
      <c r="D127" s="3">
        <v>1350527.125</v>
      </c>
      <c r="E127" s="3">
        <v>4.1878390312194798</v>
      </c>
      <c r="F127" s="3">
        <v>0.98809510469436701</v>
      </c>
      <c r="G127" s="3">
        <v>5.9582535177469302E-2</v>
      </c>
      <c r="H127" s="3">
        <v>4.5319419354200398E-2</v>
      </c>
      <c r="I127" s="3">
        <v>2.439575</v>
      </c>
      <c r="J127" s="3"/>
      <c r="K127" s="3"/>
      <c r="L127" s="3">
        <f t="shared" si="1"/>
        <v>6</v>
      </c>
      <c r="M127">
        <f>VLOOKUP(A127,Sheet2!$B$2:$E$186,2,FALSE)</f>
        <v>21</v>
      </c>
      <c r="N127" t="s">
        <v>389</v>
      </c>
      <c r="O127" t="s">
        <v>400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</row>
    <row r="128" spans="1:47" s="2" customFormat="1" x14ac:dyDescent="0.3">
      <c r="A128" t="s">
        <v>96</v>
      </c>
      <c r="B128" s="3">
        <v>2015</v>
      </c>
      <c r="C128" s="3">
        <v>4143.16259765625</v>
      </c>
      <c r="D128" s="3">
        <v>9903.3837890625</v>
      </c>
      <c r="E128" s="3">
        <v>0.13868600130081199</v>
      </c>
      <c r="F128" s="3"/>
      <c r="G128" s="3"/>
      <c r="H128" s="3">
        <v>5.65954744815826E-2</v>
      </c>
      <c r="I128" s="3">
        <v>2</v>
      </c>
      <c r="J128" s="3">
        <v>2.9042615890502899</v>
      </c>
      <c r="K128" s="3"/>
      <c r="L128" s="3">
        <f t="shared" si="1"/>
        <v>1</v>
      </c>
      <c r="M128">
        <f>VLOOKUP(A128,Sheet2!$B$2:$E$186,2,FALSE)</f>
        <v>22</v>
      </c>
      <c r="N128" t="s">
        <v>385</v>
      </c>
      <c r="O128" t="s">
        <v>401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1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/>
      <c r="AP128"/>
      <c r="AQ128"/>
      <c r="AR128"/>
      <c r="AS128"/>
      <c r="AT128"/>
      <c r="AU128"/>
    </row>
    <row r="129" spans="1:47" s="2" customFormat="1" x14ac:dyDescent="0.3">
      <c r="A129" t="s">
        <v>96</v>
      </c>
      <c r="B129" s="3">
        <v>2016</v>
      </c>
      <c r="C129" s="3">
        <v>4143.51904296875</v>
      </c>
      <c r="D129" s="3">
        <v>10462.34765625</v>
      </c>
      <c r="E129" s="3">
        <v>0.14507399499416401</v>
      </c>
      <c r="F129" s="3"/>
      <c r="G129" s="3"/>
      <c r="H129" s="3">
        <v>5.6038890033960301E-2</v>
      </c>
      <c r="I129" s="3">
        <v>2</v>
      </c>
      <c r="J129" s="3">
        <v>2.9010601043701199</v>
      </c>
      <c r="K129" s="3"/>
      <c r="L129" s="3">
        <f t="shared" si="1"/>
        <v>2</v>
      </c>
      <c r="M129">
        <f>VLOOKUP(A129,Sheet2!$B$2:$E$186,2,FALSE)</f>
        <v>22</v>
      </c>
      <c r="N129" t="s">
        <v>385</v>
      </c>
      <c r="O129" t="s">
        <v>401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1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/>
      <c r="AP129"/>
      <c r="AQ129"/>
      <c r="AR129"/>
      <c r="AS129"/>
      <c r="AT129"/>
      <c r="AU129"/>
    </row>
    <row r="130" spans="1:47" s="2" customFormat="1" x14ac:dyDescent="0.3">
      <c r="A130" t="s">
        <v>96</v>
      </c>
      <c r="B130" s="3">
        <v>2017</v>
      </c>
      <c r="C130" s="3">
        <v>4068.19091796875</v>
      </c>
      <c r="D130" s="3">
        <v>10839.7958984375</v>
      </c>
      <c r="E130" s="3">
        <v>0.149156004190445</v>
      </c>
      <c r="F130" s="3"/>
      <c r="G130" s="3"/>
      <c r="H130" s="3">
        <v>5.5380772799253498E-2</v>
      </c>
      <c r="I130" s="3">
        <v>2</v>
      </c>
      <c r="J130" s="3">
        <v>2.8978621959686302</v>
      </c>
      <c r="K130" s="3"/>
      <c r="L130" s="3">
        <f t="shared" si="1"/>
        <v>3</v>
      </c>
      <c r="M130">
        <f>VLOOKUP(A130,Sheet2!$B$2:$E$186,2,FALSE)</f>
        <v>22</v>
      </c>
      <c r="N130" t="s">
        <v>385</v>
      </c>
      <c r="O130" t="s">
        <v>401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1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/>
      <c r="AP130"/>
      <c r="AQ130"/>
      <c r="AR130"/>
      <c r="AS130"/>
      <c r="AT130"/>
      <c r="AU130"/>
    </row>
    <row r="131" spans="1:47" s="2" customFormat="1" x14ac:dyDescent="0.3">
      <c r="A131" t="s">
        <v>96</v>
      </c>
      <c r="B131" s="3">
        <v>2018</v>
      </c>
      <c r="C131" s="3">
        <v>4110.64892578125</v>
      </c>
      <c r="D131" s="3">
        <v>11266.1162109375</v>
      </c>
      <c r="E131" s="3">
        <v>0.15790244936943101</v>
      </c>
      <c r="F131" s="3"/>
      <c r="G131" s="3"/>
      <c r="H131" s="3">
        <v>5.4700188338756603E-2</v>
      </c>
      <c r="I131" s="3">
        <v>2</v>
      </c>
      <c r="J131" s="3">
        <v>2.8946676254272501</v>
      </c>
      <c r="K131" s="3"/>
      <c r="L131" s="3">
        <f t="shared" ref="L131:L194" si="2">B131-2014</f>
        <v>4</v>
      </c>
      <c r="M131">
        <f>VLOOKUP(A131,Sheet2!$B$2:$E$186,2,FALSE)</f>
        <v>22</v>
      </c>
      <c r="N131" t="s">
        <v>385</v>
      </c>
      <c r="O131" t="s">
        <v>401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/>
      <c r="AP131"/>
      <c r="AQ131"/>
      <c r="AR131"/>
      <c r="AS131"/>
      <c r="AT131"/>
      <c r="AU131"/>
    </row>
    <row r="132" spans="1:47" s="2" customFormat="1" x14ac:dyDescent="0.3">
      <c r="A132" t="s">
        <v>96</v>
      </c>
      <c r="B132" s="3">
        <v>2019</v>
      </c>
      <c r="C132" s="3">
        <v>4284.0009765625</v>
      </c>
      <c r="D132" s="3">
        <v>11736.72265625</v>
      </c>
      <c r="E132" s="3">
        <v>0.16625599563121801</v>
      </c>
      <c r="F132" s="3"/>
      <c r="G132" s="3"/>
      <c r="H132" s="3">
        <v>5.4098330438137103E-2</v>
      </c>
      <c r="I132" s="3">
        <v>2</v>
      </c>
      <c r="J132" s="3">
        <v>2.8914766311645499</v>
      </c>
      <c r="K132" s="3"/>
      <c r="L132" s="3">
        <f t="shared" si="2"/>
        <v>5</v>
      </c>
      <c r="M132">
        <f>VLOOKUP(A132,Sheet2!$B$2:$E$186,2,FALSE)</f>
        <v>22</v>
      </c>
      <c r="N132" t="s">
        <v>385</v>
      </c>
      <c r="O132" t="s">
        <v>401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1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/>
      <c r="AP132"/>
      <c r="AQ132"/>
      <c r="AR132"/>
      <c r="AS132"/>
      <c r="AT132"/>
      <c r="AU132"/>
    </row>
    <row r="133" spans="1:47" s="2" customFormat="1" x14ac:dyDescent="0.3">
      <c r="A133" t="s">
        <v>96</v>
      </c>
      <c r="B133" s="3">
        <v>2020</v>
      </c>
      <c r="C133" s="3">
        <v>3687.92626953125</v>
      </c>
      <c r="D133" s="3">
        <v>12079.283203125</v>
      </c>
      <c r="E133" s="3">
        <v>0.161634996533394</v>
      </c>
      <c r="F133" s="3"/>
      <c r="G133" s="3"/>
      <c r="H133" s="3">
        <v>5.3329940885305398E-2</v>
      </c>
      <c r="I133" s="3">
        <v>2</v>
      </c>
      <c r="J133" s="3">
        <v>2.8882892131805402</v>
      </c>
      <c r="K133" s="3"/>
      <c r="L133" s="3">
        <f t="shared" si="2"/>
        <v>6</v>
      </c>
      <c r="M133">
        <f>VLOOKUP(A133,Sheet2!$B$2:$E$186,2,FALSE)</f>
        <v>22</v>
      </c>
      <c r="N133" t="s">
        <v>385</v>
      </c>
      <c r="O133" t="s">
        <v>401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1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/>
      <c r="AP133"/>
      <c r="AQ133"/>
      <c r="AR133"/>
      <c r="AS133"/>
      <c r="AT133"/>
      <c r="AU133"/>
    </row>
    <row r="134" spans="1:47" x14ac:dyDescent="0.3">
      <c r="A134" t="s">
        <v>98</v>
      </c>
      <c r="B134" s="3">
        <v>2015</v>
      </c>
      <c r="C134" s="3">
        <v>3951.52392578125</v>
      </c>
      <c r="D134" s="3">
        <v>10732.6142578125</v>
      </c>
      <c r="E134" s="3">
        <v>3.5089857876300798E-2</v>
      </c>
      <c r="F134" s="3">
        <v>0.89806801080703702</v>
      </c>
      <c r="G134" s="3">
        <v>0.19841511547565499</v>
      </c>
      <c r="H134" s="3">
        <v>6.7949227988719899E-2</v>
      </c>
      <c r="I134" s="3">
        <v>1</v>
      </c>
      <c r="J134" s="3"/>
      <c r="K134" s="3"/>
      <c r="L134" s="3">
        <f t="shared" si="2"/>
        <v>1</v>
      </c>
      <c r="M134">
        <f>VLOOKUP(A134,Sheet2!$B$2:$E$186,2,FALSE)</f>
        <v>23</v>
      </c>
      <c r="N134" t="s">
        <v>385</v>
      </c>
      <c r="O134" t="s">
        <v>402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1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</row>
    <row r="135" spans="1:47" x14ac:dyDescent="0.3">
      <c r="A135" t="s">
        <v>98</v>
      </c>
      <c r="B135" s="3">
        <v>2016</v>
      </c>
      <c r="C135" s="3">
        <v>3925.55395507813</v>
      </c>
      <c r="D135" s="3">
        <v>10951.0185546875</v>
      </c>
      <c r="E135" s="3">
        <v>3.5081565380096401E-2</v>
      </c>
      <c r="F135" s="3">
        <v>0.91147422790527299</v>
      </c>
      <c r="G135" s="3">
        <v>0.21495038270950301</v>
      </c>
      <c r="H135" s="3">
        <v>6.6117316484451294E-2</v>
      </c>
      <c r="I135" s="3">
        <v>1</v>
      </c>
      <c r="J135" s="3"/>
      <c r="K135" s="3"/>
      <c r="L135" s="3">
        <f t="shared" si="2"/>
        <v>2</v>
      </c>
      <c r="M135">
        <f>VLOOKUP(A135,Sheet2!$B$2:$E$186,2,FALSE)</f>
        <v>23</v>
      </c>
      <c r="N135" t="s">
        <v>385</v>
      </c>
      <c r="O135" t="s">
        <v>402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1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</row>
    <row r="136" spans="1:47" x14ac:dyDescent="0.3">
      <c r="A136" t="s">
        <v>98</v>
      </c>
      <c r="B136" s="3">
        <v>2017</v>
      </c>
      <c r="C136" s="3">
        <v>4067.322265625</v>
      </c>
      <c r="D136" s="3">
        <v>11271.203125</v>
      </c>
      <c r="E136" s="3">
        <v>3.5152889788150801E-2</v>
      </c>
      <c r="F136" s="3">
        <v>0.93649929761886597</v>
      </c>
      <c r="G136" s="3">
        <v>0.21274340152740501</v>
      </c>
      <c r="H136" s="3">
        <v>6.4819619059562697E-2</v>
      </c>
      <c r="I136" s="3">
        <v>1</v>
      </c>
      <c r="J136" s="3"/>
      <c r="K136" s="3"/>
      <c r="L136" s="3">
        <f t="shared" si="2"/>
        <v>3</v>
      </c>
      <c r="M136">
        <f>VLOOKUP(A136,Sheet2!$B$2:$E$186,2,FALSE)</f>
        <v>23</v>
      </c>
      <c r="N136" t="s">
        <v>385</v>
      </c>
      <c r="O136" t="s">
        <v>402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1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</row>
    <row r="137" spans="1:47" x14ac:dyDescent="0.3">
      <c r="A137" t="s">
        <v>98</v>
      </c>
      <c r="B137" s="3">
        <v>2018</v>
      </c>
      <c r="C137" s="3">
        <v>4049.71875</v>
      </c>
      <c r="D137" s="3">
        <v>11559.2724609375</v>
      </c>
      <c r="E137" s="3">
        <v>3.5292778164148303E-2</v>
      </c>
      <c r="F137" s="3">
        <v>0.95495420694351196</v>
      </c>
      <c r="G137" s="3">
        <v>0.21381975710392001</v>
      </c>
      <c r="H137" s="3">
        <v>6.3462778925895705E-2</v>
      </c>
      <c r="I137" s="3">
        <v>1</v>
      </c>
      <c r="J137" s="3"/>
      <c r="K137" s="3"/>
      <c r="L137" s="3">
        <f t="shared" si="2"/>
        <v>4</v>
      </c>
      <c r="M137">
        <f>VLOOKUP(A137,Sheet2!$B$2:$E$186,2,FALSE)</f>
        <v>23</v>
      </c>
      <c r="N137" t="s">
        <v>385</v>
      </c>
      <c r="O137" t="s">
        <v>402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1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</row>
    <row r="138" spans="1:47" x14ac:dyDescent="0.3">
      <c r="A138" t="s">
        <v>98</v>
      </c>
      <c r="B138" s="3">
        <v>2019</v>
      </c>
      <c r="C138" s="3">
        <v>4062.1220703125</v>
      </c>
      <c r="D138" s="3">
        <v>11975.3720703125</v>
      </c>
      <c r="E138" s="3">
        <v>3.5445377230644198E-2</v>
      </c>
      <c r="F138" s="3">
        <v>0.98299646377563499</v>
      </c>
      <c r="G138" s="3">
        <v>0.20995146036148099</v>
      </c>
      <c r="H138" s="3">
        <v>6.15922063589096E-2</v>
      </c>
      <c r="I138" s="3">
        <v>1</v>
      </c>
      <c r="J138" s="3"/>
      <c r="K138" s="3"/>
      <c r="L138" s="3">
        <f t="shared" si="2"/>
        <v>5</v>
      </c>
      <c r="M138">
        <f>VLOOKUP(A138,Sheet2!$B$2:$E$186,2,FALSE)</f>
        <v>23</v>
      </c>
      <c r="N138" t="s">
        <v>385</v>
      </c>
      <c r="O138" t="s">
        <v>402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1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</row>
    <row r="139" spans="1:47" x14ac:dyDescent="0.3">
      <c r="A139" t="s">
        <v>98</v>
      </c>
      <c r="B139" s="3">
        <v>2020</v>
      </c>
      <c r="C139" s="3">
        <v>3784.15625</v>
      </c>
      <c r="D139" s="3">
        <v>12118.3486328125</v>
      </c>
      <c r="E139" s="3">
        <v>3.5597428679466303E-2</v>
      </c>
      <c r="F139" s="3">
        <v>0.98647141456604004</v>
      </c>
      <c r="G139" s="3">
        <v>0.17573732137680101</v>
      </c>
      <c r="H139" s="3">
        <v>5.9538405388593701E-2</v>
      </c>
      <c r="I139" s="3">
        <v>1</v>
      </c>
      <c r="J139" s="3"/>
      <c r="K139" s="3"/>
      <c r="L139" s="3">
        <f t="shared" si="2"/>
        <v>6</v>
      </c>
      <c r="M139">
        <f>VLOOKUP(A139,Sheet2!$B$2:$E$186,2,FALSE)</f>
        <v>23</v>
      </c>
      <c r="N139" t="s">
        <v>385</v>
      </c>
      <c r="O139" t="s">
        <v>402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1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</row>
    <row r="140" spans="1:47" x14ac:dyDescent="0.3">
      <c r="A140" t="s">
        <v>100</v>
      </c>
      <c r="B140" s="3">
        <v>2015</v>
      </c>
      <c r="C140" s="3">
        <v>98821.9296875</v>
      </c>
      <c r="D140" s="3">
        <v>259789</v>
      </c>
      <c r="E140" s="3">
        <v>5.0295720100402797</v>
      </c>
      <c r="F140" s="3">
        <v>0.77180814743042003</v>
      </c>
      <c r="G140" s="3">
        <v>0.18349084258079501</v>
      </c>
      <c r="H140" s="3">
        <v>6.4099259674549103E-2</v>
      </c>
      <c r="I140" s="3">
        <v>6.91</v>
      </c>
      <c r="J140" s="3">
        <v>2.8534605503082302</v>
      </c>
      <c r="K140" s="3">
        <v>1.08518755435944</v>
      </c>
      <c r="L140" s="3">
        <f t="shared" si="2"/>
        <v>1</v>
      </c>
      <c r="M140">
        <f>VLOOKUP(A140,Sheet2!$B$2:$E$186,2,FALSE)</f>
        <v>24</v>
      </c>
      <c r="N140" t="s">
        <v>385</v>
      </c>
      <c r="O140" t="s">
        <v>393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1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</row>
    <row r="141" spans="1:47" x14ac:dyDescent="0.3">
      <c r="A141" t="s">
        <v>100</v>
      </c>
      <c r="B141" s="3">
        <v>2016</v>
      </c>
      <c r="C141" s="3">
        <v>103035.6171875</v>
      </c>
      <c r="D141" s="3">
        <v>274262.6875</v>
      </c>
      <c r="E141" s="3">
        <v>5.1527748107910201</v>
      </c>
      <c r="F141" s="3">
        <v>0.82069146633148204</v>
      </c>
      <c r="G141" s="3">
        <v>0.18449717760086101</v>
      </c>
      <c r="H141" s="3">
        <v>6.5963499248027802E-2</v>
      </c>
      <c r="I141" s="3">
        <v>6.91</v>
      </c>
      <c r="J141" s="3">
        <v>2.8811991214752202</v>
      </c>
      <c r="K141" s="3">
        <v>1.07880318164825</v>
      </c>
      <c r="L141" s="3">
        <f t="shared" si="2"/>
        <v>2</v>
      </c>
      <c r="M141">
        <f>VLOOKUP(A141,Sheet2!$B$2:$E$186,2,FALSE)</f>
        <v>24</v>
      </c>
      <c r="N141" t="s">
        <v>385</v>
      </c>
      <c r="O141" t="s">
        <v>393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</row>
    <row r="142" spans="1:47" x14ac:dyDescent="0.3">
      <c r="A142" t="s">
        <v>100</v>
      </c>
      <c r="B142" s="3">
        <v>2017</v>
      </c>
      <c r="C142" s="3">
        <v>107358.171875</v>
      </c>
      <c r="D142" s="3">
        <v>291024.125</v>
      </c>
      <c r="E142" s="3">
        <v>5.2719631195068404</v>
      </c>
      <c r="F142" s="3">
        <v>0.87799298763275202</v>
      </c>
      <c r="G142" s="3">
        <v>0.19451808929443401</v>
      </c>
      <c r="H142" s="3">
        <v>6.7509211599826799E-2</v>
      </c>
      <c r="I142" s="3">
        <v>6.91</v>
      </c>
      <c r="J142" s="3">
        <v>2.9092075824737602</v>
      </c>
      <c r="K142" s="3">
        <v>1.11964440345764</v>
      </c>
      <c r="L142" s="3">
        <f t="shared" si="2"/>
        <v>3</v>
      </c>
      <c r="M142">
        <f>VLOOKUP(A142,Sheet2!$B$2:$E$186,2,FALSE)</f>
        <v>24</v>
      </c>
      <c r="N142" t="s">
        <v>385</v>
      </c>
      <c r="O142" t="s">
        <v>393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</row>
    <row r="143" spans="1:47" x14ac:dyDescent="0.3">
      <c r="A143" t="s">
        <v>100</v>
      </c>
      <c r="B143" s="3">
        <v>2018</v>
      </c>
      <c r="C143" s="3">
        <v>111892.578125</v>
      </c>
      <c r="D143" s="3">
        <v>307343.34375</v>
      </c>
      <c r="E143" s="3">
        <v>5.4028196334838903</v>
      </c>
      <c r="F143" s="3">
        <v>0.93245792388916005</v>
      </c>
      <c r="G143" s="3">
        <v>0.204245865345001</v>
      </c>
      <c r="H143" s="3">
        <v>6.8966276943683597E-2</v>
      </c>
      <c r="I143" s="3">
        <v>6.91</v>
      </c>
      <c r="J143" s="3">
        <v>2.93748831748962</v>
      </c>
      <c r="K143" s="3">
        <v>1.1216456890106199</v>
      </c>
      <c r="L143" s="3">
        <f t="shared" si="2"/>
        <v>4</v>
      </c>
      <c r="M143">
        <f>VLOOKUP(A143,Sheet2!$B$2:$E$186,2,FALSE)</f>
        <v>24</v>
      </c>
      <c r="N143" t="s">
        <v>385</v>
      </c>
      <c r="O143" t="s">
        <v>393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1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</row>
    <row r="144" spans="1:47" x14ac:dyDescent="0.3">
      <c r="A144" t="s">
        <v>100</v>
      </c>
      <c r="B144" s="3">
        <v>2019</v>
      </c>
      <c r="C144" s="3">
        <v>114372.90625</v>
      </c>
      <c r="D144" s="3">
        <v>321108.75</v>
      </c>
      <c r="E144" s="3">
        <v>5.6606984138488796</v>
      </c>
      <c r="F144" s="3">
        <v>0.97525960206985496</v>
      </c>
      <c r="G144" s="3">
        <v>0.20183858275413499</v>
      </c>
      <c r="H144" s="3">
        <v>6.9629058241844205E-2</v>
      </c>
      <c r="I144" s="3">
        <v>6.91</v>
      </c>
      <c r="J144" s="3">
        <v>2.9660437107086199</v>
      </c>
      <c r="K144" s="3">
        <v>1.10206305980682</v>
      </c>
      <c r="L144" s="3">
        <f t="shared" si="2"/>
        <v>5</v>
      </c>
      <c r="M144">
        <f>VLOOKUP(A144,Sheet2!$B$2:$E$186,2,FALSE)</f>
        <v>24</v>
      </c>
      <c r="N144" t="s">
        <v>385</v>
      </c>
      <c r="O144" t="s">
        <v>393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</row>
    <row r="145" spans="1:47" x14ac:dyDescent="0.3">
      <c r="A145" t="s">
        <v>100</v>
      </c>
      <c r="B145" s="3">
        <v>2020</v>
      </c>
      <c r="C145" s="3">
        <v>104379.140625</v>
      </c>
      <c r="D145" s="3">
        <v>325129.84375</v>
      </c>
      <c r="E145" s="3">
        <v>5.9297308921814</v>
      </c>
      <c r="F145" s="3">
        <v>0.98081797361373901</v>
      </c>
      <c r="G145" s="3">
        <v>0.17722645401954701</v>
      </c>
      <c r="H145" s="3">
        <v>6.8860203027725206E-2</v>
      </c>
      <c r="I145" s="3">
        <v>6.91</v>
      </c>
      <c r="J145" s="3">
        <v>2.9948770999908398</v>
      </c>
      <c r="K145" s="3">
        <v>1.0072561502456701</v>
      </c>
      <c r="L145" s="3">
        <f t="shared" si="2"/>
        <v>6</v>
      </c>
      <c r="M145">
        <f>VLOOKUP(A145,Sheet2!$B$2:$E$186,2,FALSE)</f>
        <v>24</v>
      </c>
      <c r="N145" t="s">
        <v>385</v>
      </c>
      <c r="O145" t="s">
        <v>393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</row>
    <row r="146" spans="1:47" x14ac:dyDescent="0.3">
      <c r="A146" t="s">
        <v>102</v>
      </c>
      <c r="B146" s="3">
        <v>2015</v>
      </c>
      <c r="C146" s="3">
        <v>3588124</v>
      </c>
      <c r="D146" s="3">
        <v>15059962</v>
      </c>
      <c r="E146" s="3">
        <v>92.447212219238295</v>
      </c>
      <c r="F146" s="3">
        <v>0.92739444971084595</v>
      </c>
      <c r="G146" s="3">
        <v>0.10809409618377699</v>
      </c>
      <c r="H146" s="3">
        <v>5.1320020109415103E-2</v>
      </c>
      <c r="I146" s="3">
        <v>3.3269043827687899</v>
      </c>
      <c r="J146" s="3">
        <v>2.81366038322449</v>
      </c>
      <c r="K146" s="3">
        <v>1.0828113555908201</v>
      </c>
      <c r="L146" s="3">
        <f t="shared" si="2"/>
        <v>1</v>
      </c>
      <c r="M146">
        <f>VLOOKUP(A146,Sheet2!$B$2:$E$186,2,FALSE)</f>
        <v>25</v>
      </c>
      <c r="N146" t="s">
        <v>385</v>
      </c>
      <c r="O146" t="s">
        <v>393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</row>
    <row r="147" spans="1:47" x14ac:dyDescent="0.3">
      <c r="A147" t="s">
        <v>102</v>
      </c>
      <c r="B147" s="3">
        <v>2016</v>
      </c>
      <c r="C147" s="3">
        <v>3470579.75</v>
      </c>
      <c r="D147" s="3">
        <v>15229873</v>
      </c>
      <c r="E147" s="3">
        <v>90.626472473144503</v>
      </c>
      <c r="F147" s="3">
        <v>0.93135869503021196</v>
      </c>
      <c r="G147" s="3">
        <v>0.109111025929451</v>
      </c>
      <c r="H147" s="3">
        <v>5.0320446491241497E-2</v>
      </c>
      <c r="I147" s="3">
        <v>3.49131342157271</v>
      </c>
      <c r="J147" s="3">
        <v>2.8806574344635001</v>
      </c>
      <c r="K147" s="3">
        <v>1.03268802165985</v>
      </c>
      <c r="L147" s="3">
        <f t="shared" si="2"/>
        <v>2</v>
      </c>
      <c r="M147">
        <f>VLOOKUP(A147,Sheet2!$B$2:$E$186,2,FALSE)</f>
        <v>25</v>
      </c>
      <c r="N147" t="s">
        <v>385</v>
      </c>
      <c r="O147" t="s">
        <v>393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</row>
    <row r="148" spans="1:47" x14ac:dyDescent="0.3">
      <c r="A148" t="s">
        <v>102</v>
      </c>
      <c r="B148" s="3">
        <v>2017</v>
      </c>
      <c r="C148" s="3">
        <v>3516491.25</v>
      </c>
      <c r="D148" s="3">
        <v>15382827</v>
      </c>
      <c r="E148" s="3">
        <v>90.501403808593807</v>
      </c>
      <c r="F148" s="3">
        <v>0.93741500377654996</v>
      </c>
      <c r="G148" s="3">
        <v>0.114761069417</v>
      </c>
      <c r="H148" s="3">
        <v>4.9384463578462601E-2</v>
      </c>
      <c r="I148" s="3">
        <v>3.1913894463004802</v>
      </c>
      <c r="J148" s="3">
        <v>2.9492499828338601</v>
      </c>
      <c r="K148" s="3">
        <v>1.0311965942382799</v>
      </c>
      <c r="L148" s="3">
        <f t="shared" si="2"/>
        <v>3</v>
      </c>
      <c r="M148">
        <f>VLOOKUP(A148,Sheet2!$B$2:$E$186,2,FALSE)</f>
        <v>25</v>
      </c>
      <c r="N148" t="s">
        <v>385</v>
      </c>
      <c r="O148" t="s">
        <v>393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</row>
    <row r="149" spans="1:47" x14ac:dyDescent="0.3">
      <c r="A149" t="s">
        <v>102</v>
      </c>
      <c r="B149" s="3">
        <v>2018</v>
      </c>
      <c r="C149" s="3">
        <v>3579213.5</v>
      </c>
      <c r="D149" s="3">
        <v>15590053</v>
      </c>
      <c r="E149" s="3">
        <v>92.0909423828125</v>
      </c>
      <c r="F149" s="3">
        <v>0.94837158918380704</v>
      </c>
      <c r="G149" s="3">
        <v>0.11749353259801899</v>
      </c>
      <c r="H149" s="3">
        <v>4.8845648765564E-2</v>
      </c>
      <c r="I149" s="3">
        <v>3.65382536145755</v>
      </c>
      <c r="J149" s="3">
        <v>3.0194754600524898</v>
      </c>
      <c r="K149" s="3">
        <v>1.0296663045883201</v>
      </c>
      <c r="L149" s="3">
        <f t="shared" si="2"/>
        <v>4</v>
      </c>
      <c r="M149">
        <f>VLOOKUP(A149,Sheet2!$B$2:$E$186,2,FALSE)</f>
        <v>25</v>
      </c>
      <c r="N149" t="s">
        <v>385</v>
      </c>
      <c r="O149" t="s">
        <v>393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</row>
    <row r="150" spans="1:47" x14ac:dyDescent="0.3">
      <c r="A150" t="s">
        <v>102</v>
      </c>
      <c r="B150" s="3">
        <v>2019</v>
      </c>
      <c r="C150" s="3">
        <v>3622908</v>
      </c>
      <c r="D150" s="3">
        <v>15835345</v>
      </c>
      <c r="E150" s="3">
        <v>94.144027709960895</v>
      </c>
      <c r="F150" s="3">
        <v>0.96242612600326505</v>
      </c>
      <c r="G150" s="3">
        <v>0.117763094604015</v>
      </c>
      <c r="H150" s="3">
        <v>4.85191233456135E-2</v>
      </c>
      <c r="I150" s="3">
        <v>3.9444710972507</v>
      </c>
      <c r="J150" s="3">
        <v>3.0913732051849401</v>
      </c>
      <c r="K150" s="3">
        <v>1.01701128482819</v>
      </c>
      <c r="L150" s="3">
        <f t="shared" si="2"/>
        <v>5</v>
      </c>
      <c r="M150">
        <f>VLOOKUP(A150,Sheet2!$B$2:$E$186,2,FALSE)</f>
        <v>25</v>
      </c>
      <c r="N150" t="s">
        <v>385</v>
      </c>
      <c r="O150" t="s">
        <v>393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1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</row>
    <row r="151" spans="1:47" x14ac:dyDescent="0.3">
      <c r="A151" t="s">
        <v>102</v>
      </c>
      <c r="B151" s="3">
        <v>2020</v>
      </c>
      <c r="C151" s="3">
        <v>3504194</v>
      </c>
      <c r="D151" s="3">
        <v>16064923</v>
      </c>
      <c r="E151" s="3">
        <v>86.888488769531307</v>
      </c>
      <c r="F151" s="3">
        <v>0.97576439380645796</v>
      </c>
      <c r="G151" s="3">
        <v>0.111900314688683</v>
      </c>
      <c r="H151" s="3">
        <v>4.82903830707073E-2</v>
      </c>
      <c r="I151" s="3">
        <v>5.1551787875128099</v>
      </c>
      <c r="J151" s="3">
        <v>3.1649830341339098</v>
      </c>
      <c r="K151" s="3">
        <v>1.04278433322907</v>
      </c>
      <c r="L151" s="3">
        <f t="shared" si="2"/>
        <v>6</v>
      </c>
      <c r="M151">
        <f>VLOOKUP(A151,Sheet2!$B$2:$E$186,2,FALSE)</f>
        <v>25</v>
      </c>
      <c r="N151" t="s">
        <v>385</v>
      </c>
      <c r="O151" t="s">
        <v>393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</row>
    <row r="152" spans="1:47" x14ac:dyDescent="0.3">
      <c r="A152" t="s">
        <v>104</v>
      </c>
      <c r="B152" s="3">
        <v>2015</v>
      </c>
      <c r="C152" s="3">
        <v>3066.66259765625</v>
      </c>
      <c r="D152" s="3">
        <v>22794.744140625</v>
      </c>
      <c r="E152" s="3">
        <v>0.12817500531673401</v>
      </c>
      <c r="F152" s="3">
        <v>0.97675895690918002</v>
      </c>
      <c r="G152" s="3">
        <v>6.0952451080083903E-2</v>
      </c>
      <c r="H152" s="3">
        <v>4.4111903756856898E-2</v>
      </c>
      <c r="I152" s="3">
        <v>2</v>
      </c>
      <c r="J152" s="3">
        <v>2.8254032135009801</v>
      </c>
      <c r="K152" s="3">
        <v>1.11699414253235</v>
      </c>
      <c r="L152" s="3">
        <f t="shared" si="2"/>
        <v>1</v>
      </c>
      <c r="M152">
        <f>VLOOKUP(A152,Sheet2!$B$2:$E$186,2,FALSE)</f>
        <v>26</v>
      </c>
      <c r="N152" t="s">
        <v>385</v>
      </c>
      <c r="O152" t="s">
        <v>386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</row>
    <row r="153" spans="1:47" x14ac:dyDescent="0.3">
      <c r="A153" t="s">
        <v>104</v>
      </c>
      <c r="B153" s="3">
        <v>2016</v>
      </c>
      <c r="C153" s="3">
        <v>3121.61499023438</v>
      </c>
      <c r="D153" s="3">
        <v>23324.529296875</v>
      </c>
      <c r="E153" s="3">
        <v>0.132954001426697</v>
      </c>
      <c r="F153" s="3">
        <v>1.0052288770675699</v>
      </c>
      <c r="G153" s="3">
        <v>6.0569193214178099E-2</v>
      </c>
      <c r="H153" s="3">
        <v>4.4359449297189699E-2</v>
      </c>
      <c r="I153" s="3">
        <v>2</v>
      </c>
      <c r="J153" s="3">
        <v>2.8305346965789799</v>
      </c>
      <c r="K153" s="3">
        <v>1.1054604053497299</v>
      </c>
      <c r="L153" s="3">
        <f t="shared" si="2"/>
        <v>2</v>
      </c>
      <c r="M153">
        <f>VLOOKUP(A153,Sheet2!$B$2:$E$186,2,FALSE)</f>
        <v>26</v>
      </c>
      <c r="N153" t="s">
        <v>385</v>
      </c>
      <c r="O153" t="s">
        <v>386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</row>
    <row r="154" spans="1:47" x14ac:dyDescent="0.3">
      <c r="A154" t="s">
        <v>104</v>
      </c>
      <c r="B154" s="3">
        <v>2017</v>
      </c>
      <c r="C154" s="3">
        <v>3125.62426757813</v>
      </c>
      <c r="D154" s="3">
        <v>23789.96875</v>
      </c>
      <c r="E154" s="3">
        <v>0.129774004220963</v>
      </c>
      <c r="F154" s="3">
        <v>0.99842166900634799</v>
      </c>
      <c r="G154" s="3">
        <v>6.1596803367137902E-2</v>
      </c>
      <c r="H154" s="3">
        <v>4.3151345103979097E-2</v>
      </c>
      <c r="I154" s="3">
        <v>2</v>
      </c>
      <c r="J154" s="3">
        <v>2.8356900215148899</v>
      </c>
      <c r="K154" s="3">
        <v>1.0961039066314699</v>
      </c>
      <c r="L154" s="3">
        <f t="shared" si="2"/>
        <v>3</v>
      </c>
      <c r="M154">
        <f>VLOOKUP(A154,Sheet2!$B$2:$E$186,2,FALSE)</f>
        <v>26</v>
      </c>
      <c r="N154" t="s">
        <v>385</v>
      </c>
      <c r="O154" t="s">
        <v>386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</row>
    <row r="155" spans="1:47" x14ac:dyDescent="0.3">
      <c r="A155" t="s">
        <v>104</v>
      </c>
      <c r="B155" s="3">
        <v>2018</v>
      </c>
      <c r="C155" s="3">
        <v>3088.927734375</v>
      </c>
      <c r="D155" s="3">
        <v>24156.412109375</v>
      </c>
      <c r="E155" s="3">
        <v>0.12811399996280701</v>
      </c>
      <c r="F155" s="3">
        <v>0.99039494991302501</v>
      </c>
      <c r="G155" s="3">
        <v>6.1390407383441897E-2</v>
      </c>
      <c r="H155" s="3">
        <v>4.0631577372550999E-2</v>
      </c>
      <c r="I155" s="3">
        <v>2</v>
      </c>
      <c r="J155" s="3">
        <v>2.8408691883087198</v>
      </c>
      <c r="K155" s="3">
        <v>1.0529433488845801</v>
      </c>
      <c r="L155" s="3">
        <f t="shared" si="2"/>
        <v>4</v>
      </c>
      <c r="M155">
        <f>VLOOKUP(A155,Sheet2!$B$2:$E$186,2,FALSE)</f>
        <v>26</v>
      </c>
      <c r="N155" t="s">
        <v>385</v>
      </c>
      <c r="O155" t="s">
        <v>386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</row>
    <row r="156" spans="1:47" x14ac:dyDescent="0.3">
      <c r="A156" t="s">
        <v>104</v>
      </c>
      <c r="B156" s="3">
        <v>2019</v>
      </c>
      <c r="C156" s="3">
        <v>3109.08569335938</v>
      </c>
      <c r="D156" s="3">
        <v>24596.548828125</v>
      </c>
      <c r="E156" s="3">
        <v>0.124955996870995</v>
      </c>
      <c r="F156" s="3">
        <v>0.98931610584259</v>
      </c>
      <c r="G156" s="3">
        <v>6.2263663858175299E-2</v>
      </c>
      <c r="H156" s="3">
        <v>3.8527458906173699E-2</v>
      </c>
      <c r="I156" s="3">
        <v>2</v>
      </c>
      <c r="J156" s="3">
        <v>2.8460724353790301</v>
      </c>
      <c r="K156" s="3">
        <v>1.05416059494019</v>
      </c>
      <c r="L156" s="3">
        <f t="shared" si="2"/>
        <v>5</v>
      </c>
      <c r="M156">
        <f>VLOOKUP(A156,Sheet2!$B$2:$E$186,2,FALSE)</f>
        <v>26</v>
      </c>
      <c r="N156" t="s">
        <v>385</v>
      </c>
      <c r="O156" t="s">
        <v>386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</row>
    <row r="157" spans="1:47" x14ac:dyDescent="0.3">
      <c r="A157" t="s">
        <v>104</v>
      </c>
      <c r="B157" s="3">
        <v>2020</v>
      </c>
      <c r="C157" s="3">
        <v>2641.0322265625</v>
      </c>
      <c r="D157" s="3">
        <v>25140.986328125</v>
      </c>
      <c r="E157" s="3">
        <v>0.12085426598787299</v>
      </c>
      <c r="F157" s="3">
        <v>0.99553513526916504</v>
      </c>
      <c r="G157" s="3">
        <v>4.7029729932546602E-2</v>
      </c>
      <c r="H157" s="3">
        <v>3.6889966577291503E-2</v>
      </c>
      <c r="I157" s="3">
        <v>2</v>
      </c>
      <c r="J157" s="3">
        <v>2.8513000011444101</v>
      </c>
      <c r="K157" s="3">
        <v>1.03339231014252</v>
      </c>
      <c r="L157" s="3">
        <f t="shared" si="2"/>
        <v>6</v>
      </c>
      <c r="M157">
        <f>VLOOKUP(A157,Sheet2!$B$2:$E$186,2,FALSE)</f>
        <v>26</v>
      </c>
      <c r="N157" t="s">
        <v>385</v>
      </c>
      <c r="O157" t="s">
        <v>386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</row>
    <row r="158" spans="1:47" s="2" customFormat="1" x14ac:dyDescent="0.3">
      <c r="A158" t="s">
        <v>106</v>
      </c>
      <c r="B158" s="3">
        <v>2015</v>
      </c>
      <c r="C158" s="3">
        <v>36752.640625</v>
      </c>
      <c r="D158" s="3">
        <v>230952.109375</v>
      </c>
      <c r="E158" s="3">
        <v>0.18947365880012501</v>
      </c>
      <c r="F158" s="3"/>
      <c r="G158" s="3"/>
      <c r="H158" s="3">
        <v>4.61969897150993E-2</v>
      </c>
      <c r="I158" s="3">
        <v>1.37491084459887</v>
      </c>
      <c r="J158" s="3">
        <v>2.7663202285766602</v>
      </c>
      <c r="K158" s="3"/>
      <c r="L158" s="3">
        <f t="shared" si="2"/>
        <v>1</v>
      </c>
      <c r="M158">
        <f>VLOOKUP(A158,Sheet2!$B$2:$E$186,2,FALSE)</f>
        <v>27</v>
      </c>
      <c r="N158" t="s">
        <v>391</v>
      </c>
      <c r="O158" t="s">
        <v>403</v>
      </c>
      <c r="P158">
        <v>0</v>
      </c>
      <c r="Q158">
        <v>0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/>
      <c r="AP158"/>
      <c r="AQ158"/>
      <c r="AR158"/>
      <c r="AS158"/>
      <c r="AT158"/>
      <c r="AU158"/>
    </row>
    <row r="159" spans="1:47" s="2" customFormat="1" x14ac:dyDescent="0.3">
      <c r="A159" t="s">
        <v>106</v>
      </c>
      <c r="B159" s="3">
        <v>2016</v>
      </c>
      <c r="C159" s="3">
        <v>35841.9375</v>
      </c>
      <c r="D159" s="3">
        <v>236970.921875</v>
      </c>
      <c r="E159" s="3">
        <v>0.188162252306938</v>
      </c>
      <c r="F159" s="3"/>
      <c r="G159" s="3"/>
      <c r="H159" s="3">
        <v>4.5713078230619403E-2</v>
      </c>
      <c r="I159" s="3">
        <v>1.3813468768828601</v>
      </c>
      <c r="J159" s="3">
        <v>2.7778408527374299</v>
      </c>
      <c r="K159" s="3"/>
      <c r="L159" s="3">
        <f t="shared" si="2"/>
        <v>2</v>
      </c>
      <c r="M159">
        <f>VLOOKUP(A159,Sheet2!$B$2:$E$186,2,FALSE)</f>
        <v>27</v>
      </c>
      <c r="N159" t="s">
        <v>391</v>
      </c>
      <c r="O159" t="s">
        <v>403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/>
      <c r="AP159"/>
      <c r="AQ159"/>
      <c r="AR159"/>
      <c r="AS159"/>
      <c r="AT159"/>
      <c r="AU159"/>
    </row>
    <row r="160" spans="1:47" s="2" customFormat="1" x14ac:dyDescent="0.3">
      <c r="A160" t="s">
        <v>106</v>
      </c>
      <c r="B160" s="3">
        <v>2017</v>
      </c>
      <c r="C160" s="3">
        <v>36318.1796875</v>
      </c>
      <c r="D160" s="3">
        <v>244146.984375</v>
      </c>
      <c r="E160" s="3">
        <v>0.18669579923152901</v>
      </c>
      <c r="F160" s="3"/>
      <c r="G160" s="3"/>
      <c r="H160" s="3">
        <v>4.5234169811010402E-2</v>
      </c>
      <c r="I160" s="3">
        <v>1.3808911640528101</v>
      </c>
      <c r="J160" s="3">
        <v>2.7894866466522199</v>
      </c>
      <c r="K160" s="3"/>
      <c r="L160" s="3">
        <f t="shared" si="2"/>
        <v>3</v>
      </c>
      <c r="M160">
        <f>VLOOKUP(A160,Sheet2!$B$2:$E$186,2,FALSE)</f>
        <v>27</v>
      </c>
      <c r="N160" t="s">
        <v>391</v>
      </c>
      <c r="O160" t="s">
        <v>403</v>
      </c>
      <c r="P160">
        <v>0</v>
      </c>
      <c r="Q160">
        <v>0</v>
      </c>
      <c r="R160">
        <v>1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/>
      <c r="AP160"/>
      <c r="AQ160"/>
      <c r="AR160"/>
      <c r="AS160"/>
      <c r="AT160"/>
      <c r="AU160"/>
    </row>
    <row r="161" spans="1:47" s="2" customFormat="1" x14ac:dyDescent="0.3">
      <c r="A161" t="s">
        <v>106</v>
      </c>
      <c r="B161" s="3">
        <v>2018</v>
      </c>
      <c r="C161" s="3">
        <v>36337.203125</v>
      </c>
      <c r="D161" s="3">
        <v>256078.65625</v>
      </c>
      <c r="E161" s="3">
        <v>0.20153766870498699</v>
      </c>
      <c r="F161" s="3"/>
      <c r="G161" s="3"/>
      <c r="H161" s="3">
        <v>4.5148666948080098E-2</v>
      </c>
      <c r="I161" s="3">
        <v>1.3489185654253699</v>
      </c>
      <c r="J161" s="3">
        <v>2.8012597560882599</v>
      </c>
      <c r="K161" s="3"/>
      <c r="L161" s="3">
        <f t="shared" si="2"/>
        <v>4</v>
      </c>
      <c r="M161">
        <f>VLOOKUP(A161,Sheet2!$B$2:$E$186,2,FALSE)</f>
        <v>27</v>
      </c>
      <c r="N161" t="s">
        <v>391</v>
      </c>
      <c r="O161" t="s">
        <v>403</v>
      </c>
      <c r="P161">
        <v>0</v>
      </c>
      <c r="Q161">
        <v>0</v>
      </c>
      <c r="R161">
        <v>1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/>
      <c r="AP161"/>
      <c r="AQ161"/>
      <c r="AR161"/>
      <c r="AS161"/>
      <c r="AT161"/>
      <c r="AU161"/>
    </row>
    <row r="162" spans="1:47" s="2" customFormat="1" x14ac:dyDescent="0.3">
      <c r="A162" t="s">
        <v>106</v>
      </c>
      <c r="B162" s="3">
        <v>2019</v>
      </c>
      <c r="C162" s="3">
        <v>37743.02734375</v>
      </c>
      <c r="D162" s="3">
        <v>266467.59375</v>
      </c>
      <c r="E162" s="3">
        <v>0.221485361456871</v>
      </c>
      <c r="F162" s="3"/>
      <c r="G162" s="3"/>
      <c r="H162" s="3">
        <v>4.5395839959382997E-2</v>
      </c>
      <c r="I162" s="3">
        <v>1.36421851405475</v>
      </c>
      <c r="J162" s="3">
        <v>2.8131618499755899</v>
      </c>
      <c r="K162" s="3"/>
      <c r="L162" s="3">
        <f t="shared" si="2"/>
        <v>5</v>
      </c>
      <c r="M162">
        <f>VLOOKUP(A162,Sheet2!$B$2:$E$186,2,FALSE)</f>
        <v>27</v>
      </c>
      <c r="N162" t="s">
        <v>391</v>
      </c>
      <c r="O162" t="s">
        <v>403</v>
      </c>
      <c r="P162">
        <v>0</v>
      </c>
      <c r="Q162">
        <v>0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/>
      <c r="AP162"/>
      <c r="AQ162"/>
      <c r="AR162"/>
      <c r="AS162"/>
      <c r="AT162"/>
      <c r="AU162"/>
    </row>
    <row r="163" spans="1:47" s="2" customFormat="1" x14ac:dyDescent="0.3">
      <c r="A163" t="s">
        <v>106</v>
      </c>
      <c r="B163" s="3">
        <v>2020</v>
      </c>
      <c r="C163" s="3">
        <v>38170.875</v>
      </c>
      <c r="D163" s="3">
        <v>274487.09375</v>
      </c>
      <c r="E163" s="3">
        <v>0.21666526794433599</v>
      </c>
      <c r="F163" s="3"/>
      <c r="G163" s="3"/>
      <c r="H163" s="3">
        <v>4.5454010367393501E-2</v>
      </c>
      <c r="I163" s="3">
        <v>1.3797034297139901</v>
      </c>
      <c r="J163" s="3">
        <v>2.82519459724426</v>
      </c>
      <c r="K163" s="3"/>
      <c r="L163" s="3">
        <f t="shared" si="2"/>
        <v>6</v>
      </c>
      <c r="M163">
        <f>VLOOKUP(A163,Sheet2!$B$2:$E$186,2,FALSE)</f>
        <v>27</v>
      </c>
      <c r="N163" t="s">
        <v>391</v>
      </c>
      <c r="O163" t="s">
        <v>403</v>
      </c>
      <c r="P163">
        <v>0</v>
      </c>
      <c r="Q163">
        <v>0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/>
      <c r="AP163"/>
      <c r="AQ163"/>
      <c r="AR163"/>
      <c r="AS163"/>
      <c r="AT163"/>
      <c r="AU163"/>
    </row>
    <row r="164" spans="1:47" s="2" customFormat="1" x14ac:dyDescent="0.3">
      <c r="A164" t="s">
        <v>108</v>
      </c>
      <c r="B164" s="3">
        <v>2015</v>
      </c>
      <c r="C164" s="3">
        <v>9499.7626953125</v>
      </c>
      <c r="D164" s="3">
        <v>54776.69921875</v>
      </c>
      <c r="E164" s="3">
        <v>0.27645987272262601</v>
      </c>
      <c r="F164" s="3"/>
      <c r="G164" s="3"/>
      <c r="H164" s="3">
        <v>4.66008596122265E-2</v>
      </c>
      <c r="I164" s="3">
        <v>64.151944463278596</v>
      </c>
      <c r="J164" s="3"/>
      <c r="K164" s="3"/>
      <c r="L164" s="3">
        <f t="shared" si="2"/>
        <v>1</v>
      </c>
      <c r="M164">
        <f>VLOOKUP(A164,Sheet2!$B$2:$E$186,2,FALSE)</f>
        <v>28</v>
      </c>
      <c r="N164" t="s">
        <v>391</v>
      </c>
      <c r="O164" t="s">
        <v>399</v>
      </c>
      <c r="P164">
        <v>0</v>
      </c>
      <c r="Q164">
        <v>0</v>
      </c>
      <c r="R164">
        <v>1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/>
      <c r="AP164"/>
      <c r="AQ164"/>
      <c r="AR164"/>
      <c r="AS164"/>
      <c r="AT164"/>
      <c r="AU164"/>
    </row>
    <row r="165" spans="1:47" s="2" customFormat="1" x14ac:dyDescent="0.3">
      <c r="A165" t="s">
        <v>108</v>
      </c>
      <c r="B165" s="3">
        <v>2016</v>
      </c>
      <c r="C165" s="3">
        <v>10304.95703125</v>
      </c>
      <c r="D165" s="3">
        <v>58540.9765625</v>
      </c>
      <c r="E165" s="3">
        <v>0.27938440442085299</v>
      </c>
      <c r="F165" s="3"/>
      <c r="G165" s="3"/>
      <c r="H165" s="3">
        <v>4.6309385448694201E-2</v>
      </c>
      <c r="I165" s="3">
        <v>67.195312807389399</v>
      </c>
      <c r="J165" s="3"/>
      <c r="K165" s="3"/>
      <c r="L165" s="3">
        <f t="shared" si="2"/>
        <v>2</v>
      </c>
      <c r="M165">
        <f>VLOOKUP(A165,Sheet2!$B$2:$E$186,2,FALSE)</f>
        <v>28</v>
      </c>
      <c r="N165" t="s">
        <v>391</v>
      </c>
      <c r="O165" t="s">
        <v>399</v>
      </c>
      <c r="P165">
        <v>0</v>
      </c>
      <c r="Q165">
        <v>0</v>
      </c>
      <c r="R165">
        <v>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/>
      <c r="AP165"/>
      <c r="AQ165"/>
      <c r="AR165"/>
      <c r="AS165"/>
      <c r="AT165"/>
      <c r="AU165"/>
    </row>
    <row r="166" spans="1:47" s="2" customFormat="1" x14ac:dyDescent="0.3">
      <c r="A166" t="s">
        <v>108</v>
      </c>
      <c r="B166" s="3">
        <v>2017</v>
      </c>
      <c r="C166" s="3">
        <v>10520.0048828125</v>
      </c>
      <c r="D166" s="3">
        <v>62166.07421875</v>
      </c>
      <c r="E166" s="3">
        <v>0.282516598701477</v>
      </c>
      <c r="F166" s="3"/>
      <c r="G166" s="3"/>
      <c r="H166" s="3">
        <v>4.5845553278923E-2</v>
      </c>
      <c r="I166" s="3">
        <v>65.121568645066006</v>
      </c>
      <c r="J166" s="3"/>
      <c r="K166" s="3"/>
      <c r="L166" s="3">
        <f t="shared" si="2"/>
        <v>3</v>
      </c>
      <c r="M166">
        <f>VLOOKUP(A166,Sheet2!$B$2:$E$186,2,FALSE)</f>
        <v>28</v>
      </c>
      <c r="N166" t="s">
        <v>391</v>
      </c>
      <c r="O166" t="s">
        <v>399</v>
      </c>
      <c r="P166">
        <v>0</v>
      </c>
      <c r="Q166">
        <v>0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/>
      <c r="AP166"/>
      <c r="AQ166"/>
      <c r="AR166"/>
      <c r="AS166"/>
      <c r="AT166"/>
      <c r="AU166"/>
    </row>
    <row r="167" spans="1:47" s="2" customFormat="1" x14ac:dyDescent="0.3">
      <c r="A167" t="s">
        <v>108</v>
      </c>
      <c r="B167" s="3">
        <v>2018</v>
      </c>
      <c r="C167" s="3">
        <v>10888.40234375</v>
      </c>
      <c r="D167" s="3">
        <v>65660.296875</v>
      </c>
      <c r="E167" s="3">
        <v>0.28584909439086897</v>
      </c>
      <c r="F167" s="3"/>
      <c r="G167" s="3"/>
      <c r="H167" s="3">
        <v>4.55555282533169E-2</v>
      </c>
      <c r="I167" s="3">
        <v>68.389467093542095</v>
      </c>
      <c r="J167" s="3"/>
      <c r="K167" s="3"/>
      <c r="L167" s="3">
        <f t="shared" si="2"/>
        <v>4</v>
      </c>
      <c r="M167">
        <f>VLOOKUP(A167,Sheet2!$B$2:$E$186,2,FALSE)</f>
        <v>28</v>
      </c>
      <c r="N167" t="s">
        <v>391</v>
      </c>
      <c r="O167" t="s">
        <v>399</v>
      </c>
      <c r="P167">
        <v>0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/>
      <c r="AP167"/>
      <c r="AQ167"/>
      <c r="AR167"/>
      <c r="AS167"/>
      <c r="AT167"/>
      <c r="AU167"/>
    </row>
    <row r="168" spans="1:47" s="2" customFormat="1" x14ac:dyDescent="0.3">
      <c r="A168" t="s">
        <v>108</v>
      </c>
      <c r="B168" s="3">
        <v>2019</v>
      </c>
      <c r="C168" s="3">
        <v>11515.046875</v>
      </c>
      <c r="D168" s="3">
        <v>68544.7421875</v>
      </c>
      <c r="E168" s="3">
        <v>0.31034740805625899</v>
      </c>
      <c r="F168" s="3"/>
      <c r="G168" s="3"/>
      <c r="H168" s="3">
        <v>4.5293867588043199E-2</v>
      </c>
      <c r="I168" s="3">
        <v>70.420340535955106</v>
      </c>
      <c r="J168" s="3"/>
      <c r="K168" s="3"/>
      <c r="L168" s="3">
        <f t="shared" si="2"/>
        <v>5</v>
      </c>
      <c r="M168">
        <f>VLOOKUP(A168,Sheet2!$B$2:$E$186,2,FALSE)</f>
        <v>28</v>
      </c>
      <c r="N168" t="s">
        <v>391</v>
      </c>
      <c r="O168" t="s">
        <v>399</v>
      </c>
      <c r="P168">
        <v>0</v>
      </c>
      <c r="Q168">
        <v>0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/>
      <c r="AP168"/>
      <c r="AQ168"/>
      <c r="AR168"/>
      <c r="AS168"/>
      <c r="AT168"/>
      <c r="AU168"/>
    </row>
    <row r="169" spans="1:47" s="2" customFormat="1" x14ac:dyDescent="0.3">
      <c r="A169" t="s">
        <v>108</v>
      </c>
      <c r="B169" s="3">
        <v>2020</v>
      </c>
      <c r="C169" s="3">
        <v>10338.392578125</v>
      </c>
      <c r="D169" s="3">
        <v>70046.171875</v>
      </c>
      <c r="E169" s="3">
        <v>0.31492698192596402</v>
      </c>
      <c r="F169" s="3"/>
      <c r="G169" s="3"/>
      <c r="H169" s="3">
        <v>4.4841229915618903E-2</v>
      </c>
      <c r="I169" s="3">
        <v>74.099566883605206</v>
      </c>
      <c r="J169" s="3"/>
      <c r="K169" s="3"/>
      <c r="L169" s="3">
        <f t="shared" si="2"/>
        <v>6</v>
      </c>
      <c r="M169">
        <f>VLOOKUP(A169,Sheet2!$B$2:$E$186,2,FALSE)</f>
        <v>28</v>
      </c>
      <c r="N169" t="s">
        <v>391</v>
      </c>
      <c r="O169" t="s">
        <v>399</v>
      </c>
      <c r="P169">
        <v>0</v>
      </c>
      <c r="Q169">
        <v>0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/>
      <c r="AP169"/>
      <c r="AQ169"/>
      <c r="AR169"/>
      <c r="AS169"/>
      <c r="AT169"/>
      <c r="AU169"/>
    </row>
    <row r="170" spans="1:47" x14ac:dyDescent="0.3">
      <c r="A170" t="s">
        <v>110</v>
      </c>
      <c r="B170" s="3">
        <v>2015</v>
      </c>
      <c r="C170" s="3">
        <v>33578.31640625</v>
      </c>
      <c r="D170" s="3">
        <v>128305.765625</v>
      </c>
      <c r="E170" s="3">
        <v>0.89178687334060702</v>
      </c>
      <c r="F170" s="3">
        <v>0.71384584903716997</v>
      </c>
      <c r="G170" s="3">
        <v>0.243570536375046</v>
      </c>
      <c r="H170" s="3">
        <v>4.2928267270326601E-2</v>
      </c>
      <c r="I170" s="3">
        <v>10.1289916666667</v>
      </c>
      <c r="J170" s="3">
        <v>2.83416080474854</v>
      </c>
      <c r="K170" s="3">
        <v>1.1017937660217301</v>
      </c>
      <c r="L170" s="3">
        <f t="shared" si="2"/>
        <v>1</v>
      </c>
      <c r="M170">
        <f>VLOOKUP(A170,Sheet2!$B$2:$E$186,2,FALSE)</f>
        <v>29</v>
      </c>
      <c r="N170" t="s">
        <v>387</v>
      </c>
      <c r="O170" t="s">
        <v>404</v>
      </c>
      <c r="P170">
        <v>0</v>
      </c>
      <c r="Q170">
        <v>0</v>
      </c>
      <c r="R170">
        <v>0</v>
      </c>
      <c r="S170">
        <v>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1</v>
      </c>
      <c r="AJ170">
        <v>0</v>
      </c>
      <c r="AK170">
        <v>0</v>
      </c>
      <c r="AL170">
        <v>0</v>
      </c>
      <c r="AM170">
        <v>0</v>
      </c>
      <c r="AN170">
        <v>0</v>
      </c>
    </row>
    <row r="171" spans="1:47" x14ac:dyDescent="0.3">
      <c r="A171" t="s">
        <v>110</v>
      </c>
      <c r="B171" s="3">
        <v>2016</v>
      </c>
      <c r="C171" s="3">
        <v>35996.5625</v>
      </c>
      <c r="D171" s="3">
        <v>136946.46875</v>
      </c>
      <c r="E171" s="3">
        <v>0.92838758230209395</v>
      </c>
      <c r="F171" s="3">
        <v>0.76178717613220204</v>
      </c>
      <c r="G171" s="3">
        <v>0.27112808823585499</v>
      </c>
      <c r="H171" s="3">
        <v>4.2699098587036098E-2</v>
      </c>
      <c r="I171" s="3">
        <v>10.901158333333299</v>
      </c>
      <c r="J171" s="3">
        <v>2.8594412803649898</v>
      </c>
      <c r="K171" s="3">
        <v>1.0354437828064</v>
      </c>
      <c r="L171" s="3">
        <f t="shared" si="2"/>
        <v>2</v>
      </c>
      <c r="M171">
        <f>VLOOKUP(A171,Sheet2!$B$2:$E$186,2,FALSE)</f>
        <v>29</v>
      </c>
      <c r="N171" t="s">
        <v>387</v>
      </c>
      <c r="O171" t="s">
        <v>404</v>
      </c>
      <c r="P171">
        <v>0</v>
      </c>
      <c r="Q171">
        <v>0</v>
      </c>
      <c r="R171">
        <v>0</v>
      </c>
      <c r="S171">
        <v>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1</v>
      </c>
      <c r="AJ171">
        <v>0</v>
      </c>
      <c r="AK171">
        <v>0</v>
      </c>
      <c r="AL171">
        <v>0</v>
      </c>
      <c r="AM171">
        <v>0</v>
      </c>
      <c r="AN171">
        <v>0</v>
      </c>
    </row>
    <row r="172" spans="1:47" x14ac:dyDescent="0.3">
      <c r="A172" t="s">
        <v>110</v>
      </c>
      <c r="B172" s="3">
        <v>2017</v>
      </c>
      <c r="C172" s="3">
        <v>37477.1875</v>
      </c>
      <c r="D172" s="3">
        <v>144851.703125</v>
      </c>
      <c r="E172" s="3">
        <v>0.96904891729354903</v>
      </c>
      <c r="F172" s="3">
        <v>0.80279552936553999</v>
      </c>
      <c r="G172" s="3">
        <v>0.24952831864357</v>
      </c>
      <c r="H172" s="3">
        <v>4.20985482633114E-2</v>
      </c>
      <c r="I172" s="3">
        <v>10.3474166666667</v>
      </c>
      <c r="J172" s="3">
        <v>2.8852996826171902</v>
      </c>
      <c r="K172" s="3">
        <v>1.0125143527984599</v>
      </c>
      <c r="L172" s="3">
        <f t="shared" si="2"/>
        <v>3</v>
      </c>
      <c r="M172">
        <f>VLOOKUP(A172,Sheet2!$B$2:$E$186,2,FALSE)</f>
        <v>29</v>
      </c>
      <c r="N172" t="s">
        <v>387</v>
      </c>
      <c r="O172" t="s">
        <v>404</v>
      </c>
      <c r="P172">
        <v>0</v>
      </c>
      <c r="Q172">
        <v>0</v>
      </c>
      <c r="R172">
        <v>0</v>
      </c>
      <c r="S172">
        <v>1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1</v>
      </c>
      <c r="AJ172">
        <v>0</v>
      </c>
      <c r="AK172">
        <v>0</v>
      </c>
      <c r="AL172">
        <v>0</v>
      </c>
      <c r="AM172">
        <v>0</v>
      </c>
      <c r="AN172">
        <v>0</v>
      </c>
    </row>
    <row r="173" spans="1:47" x14ac:dyDescent="0.3">
      <c r="A173" t="s">
        <v>110</v>
      </c>
      <c r="B173" s="3">
        <v>2018</v>
      </c>
      <c r="C173" s="3">
        <v>39047.375</v>
      </c>
      <c r="D173" s="3">
        <v>153795.328125</v>
      </c>
      <c r="E173" s="3">
        <v>1.0093240737914999</v>
      </c>
      <c r="F173" s="3">
        <v>0.85129511356353804</v>
      </c>
      <c r="G173" s="3">
        <v>0.23092396557331099</v>
      </c>
      <c r="H173" s="3">
        <v>4.1472334414720501E-2</v>
      </c>
      <c r="I173" s="3">
        <v>10.199975</v>
      </c>
      <c r="J173" s="3">
        <v>2.9117522239685099</v>
      </c>
      <c r="K173" s="3">
        <v>0.98526781797409102</v>
      </c>
      <c r="L173" s="3">
        <f t="shared" si="2"/>
        <v>4</v>
      </c>
      <c r="M173">
        <f>VLOOKUP(A173,Sheet2!$B$2:$E$186,2,FALSE)</f>
        <v>29</v>
      </c>
      <c r="N173" t="s">
        <v>387</v>
      </c>
      <c r="O173" t="s">
        <v>404</v>
      </c>
      <c r="P173">
        <v>0</v>
      </c>
      <c r="Q173">
        <v>0</v>
      </c>
      <c r="R173">
        <v>0</v>
      </c>
      <c r="S173">
        <v>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1</v>
      </c>
      <c r="AJ173">
        <v>0</v>
      </c>
      <c r="AK173">
        <v>0</v>
      </c>
      <c r="AL173">
        <v>0</v>
      </c>
      <c r="AM173">
        <v>0</v>
      </c>
      <c r="AN173">
        <v>0</v>
      </c>
    </row>
    <row r="174" spans="1:47" x14ac:dyDescent="0.3">
      <c r="A174" t="s">
        <v>110</v>
      </c>
      <c r="B174" s="3">
        <v>2019</v>
      </c>
      <c r="C174" s="3">
        <v>40231.5859375</v>
      </c>
      <c r="D174" s="3">
        <v>164076.875</v>
      </c>
      <c r="E174" s="3">
        <v>1.0300784111023</v>
      </c>
      <c r="F174" s="3">
        <v>0.90905582904815696</v>
      </c>
      <c r="G174" s="3">
        <v>0.216766268014908</v>
      </c>
      <c r="H174" s="3">
        <v>4.1326783597469302E-2</v>
      </c>
      <c r="I174" s="3">
        <v>10.7558666666667</v>
      </c>
      <c r="J174" s="3">
        <v>2.9388160705566402</v>
      </c>
      <c r="K174" s="3">
        <v>1.0339725017547601</v>
      </c>
      <c r="L174" s="3">
        <f t="shared" si="2"/>
        <v>5</v>
      </c>
      <c r="M174">
        <f>VLOOKUP(A174,Sheet2!$B$2:$E$186,2,FALSE)</f>
        <v>29</v>
      </c>
      <c r="N174" t="s">
        <v>387</v>
      </c>
      <c r="O174" t="s">
        <v>404</v>
      </c>
      <c r="P174">
        <v>0</v>
      </c>
      <c r="Q174">
        <v>0</v>
      </c>
      <c r="R174">
        <v>0</v>
      </c>
      <c r="S174">
        <v>1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1</v>
      </c>
      <c r="AJ174">
        <v>0</v>
      </c>
      <c r="AK174">
        <v>0</v>
      </c>
      <c r="AL174">
        <v>0</v>
      </c>
      <c r="AM174">
        <v>0</v>
      </c>
      <c r="AN174">
        <v>0</v>
      </c>
    </row>
    <row r="175" spans="1:47" x14ac:dyDescent="0.3">
      <c r="A175" t="s">
        <v>110</v>
      </c>
      <c r="B175" s="3">
        <v>2020</v>
      </c>
      <c r="C175" s="3">
        <v>36719.515625</v>
      </c>
      <c r="D175" s="3">
        <v>172397.6875</v>
      </c>
      <c r="E175" s="3">
        <v>1.0789927244186399</v>
      </c>
      <c r="F175" s="3">
        <v>0.95578938722610496</v>
      </c>
      <c r="G175" s="3">
        <v>0.19219638407230399</v>
      </c>
      <c r="H175" s="3">
        <v>4.1332803666591603E-2</v>
      </c>
      <c r="I175" s="3">
        <v>11.456241666666701</v>
      </c>
      <c r="J175" s="3">
        <v>2.96650910377502</v>
      </c>
      <c r="K175" s="3">
        <v>1.0269817113876301</v>
      </c>
      <c r="L175" s="3">
        <f t="shared" si="2"/>
        <v>6</v>
      </c>
      <c r="M175">
        <f>VLOOKUP(A175,Sheet2!$B$2:$E$186,2,FALSE)</f>
        <v>29</v>
      </c>
      <c r="N175" t="s">
        <v>387</v>
      </c>
      <c r="O175" t="s">
        <v>404</v>
      </c>
      <c r="P175">
        <v>0</v>
      </c>
      <c r="Q175">
        <v>0</v>
      </c>
      <c r="R175">
        <v>0</v>
      </c>
      <c r="S175">
        <v>1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1</v>
      </c>
      <c r="AJ175">
        <v>0</v>
      </c>
      <c r="AK175">
        <v>0</v>
      </c>
      <c r="AL175">
        <v>0</v>
      </c>
      <c r="AM175">
        <v>0</v>
      </c>
      <c r="AN175">
        <v>0</v>
      </c>
    </row>
    <row r="176" spans="1:47" x14ac:dyDescent="0.3">
      <c r="A176" t="s">
        <v>112</v>
      </c>
      <c r="B176" s="3">
        <v>2015</v>
      </c>
      <c r="C176" s="3">
        <v>4985.86865234375</v>
      </c>
      <c r="D176" s="3">
        <v>40700.16796875</v>
      </c>
      <c r="E176" s="3">
        <v>1.5804131031036399</v>
      </c>
      <c r="F176" s="3">
        <v>0.84840601682662997</v>
      </c>
      <c r="G176" s="3">
        <v>0.111257001757622</v>
      </c>
      <c r="H176" s="3">
        <v>2.7611656114459E-2</v>
      </c>
      <c r="I176" s="3">
        <v>591.21169798260996</v>
      </c>
      <c r="J176" s="3">
        <v>1.51945948600769</v>
      </c>
      <c r="K176" s="3">
        <v>0.95534133911132801</v>
      </c>
      <c r="L176" s="3">
        <f t="shared" si="2"/>
        <v>1</v>
      </c>
      <c r="M176">
        <f>VLOOKUP(A176,Sheet2!$B$2:$E$186,2,FALSE)</f>
        <v>30</v>
      </c>
      <c r="N176" t="s">
        <v>387</v>
      </c>
      <c r="O176" t="s">
        <v>388</v>
      </c>
      <c r="P176">
        <v>0</v>
      </c>
      <c r="Q176">
        <v>0</v>
      </c>
      <c r="R176">
        <v>0</v>
      </c>
      <c r="S176">
        <v>1</v>
      </c>
      <c r="T176">
        <v>0</v>
      </c>
      <c r="U176">
        <v>0</v>
      </c>
      <c r="V176">
        <v>1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</row>
    <row r="177" spans="1:40" x14ac:dyDescent="0.3">
      <c r="A177" t="s">
        <v>112</v>
      </c>
      <c r="B177" s="3">
        <v>2016</v>
      </c>
      <c r="C177" s="3">
        <v>5222.71337890625</v>
      </c>
      <c r="D177" s="3">
        <v>41244.58984375</v>
      </c>
      <c r="E177" s="3">
        <v>1.6083614826202399</v>
      </c>
      <c r="F177" s="3">
        <v>0.866710186004639</v>
      </c>
      <c r="G177" s="3">
        <v>0.116333581507206</v>
      </c>
      <c r="H177" s="3">
        <v>2.7996268123388301E-2</v>
      </c>
      <c r="I177" s="3">
        <v>592.60561506302201</v>
      </c>
      <c r="J177" s="3">
        <v>1.5298933982849101</v>
      </c>
      <c r="K177" s="3">
        <v>1.0222264528274501</v>
      </c>
      <c r="L177" s="3">
        <f t="shared" si="2"/>
        <v>2</v>
      </c>
      <c r="M177">
        <f>VLOOKUP(A177,Sheet2!$B$2:$E$186,2,FALSE)</f>
        <v>30</v>
      </c>
      <c r="N177" t="s">
        <v>387</v>
      </c>
      <c r="O177" t="s">
        <v>388</v>
      </c>
      <c r="P177">
        <v>0</v>
      </c>
      <c r="Q177">
        <v>0</v>
      </c>
      <c r="R177">
        <v>0</v>
      </c>
      <c r="S177">
        <v>1</v>
      </c>
      <c r="T177">
        <v>0</v>
      </c>
      <c r="U177">
        <v>0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</row>
    <row r="178" spans="1:40" x14ac:dyDescent="0.3">
      <c r="A178" t="s">
        <v>112</v>
      </c>
      <c r="B178" s="3">
        <v>2017</v>
      </c>
      <c r="C178" s="3">
        <v>5459.16015625</v>
      </c>
      <c r="D178" s="3">
        <v>42083.49609375</v>
      </c>
      <c r="E178" s="3">
        <v>1.6344407796859699</v>
      </c>
      <c r="F178" s="3">
        <v>0.89685070514678999</v>
      </c>
      <c r="G178" s="3">
        <v>0.11780112981796299</v>
      </c>
      <c r="H178" s="3">
        <v>2.89964750409126E-2</v>
      </c>
      <c r="I178" s="3">
        <v>580.65674958785803</v>
      </c>
      <c r="J178" s="3">
        <v>1.54039895534515</v>
      </c>
      <c r="K178" s="3">
        <v>1.0179877281189</v>
      </c>
      <c r="L178" s="3">
        <f t="shared" si="2"/>
        <v>3</v>
      </c>
      <c r="M178">
        <f>VLOOKUP(A178,Sheet2!$B$2:$E$186,2,FALSE)</f>
        <v>30</v>
      </c>
      <c r="N178" t="s">
        <v>387</v>
      </c>
      <c r="O178" t="s">
        <v>388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</row>
    <row r="179" spans="1:40" x14ac:dyDescent="0.3">
      <c r="A179" t="s">
        <v>112</v>
      </c>
      <c r="B179" s="3">
        <v>2018</v>
      </c>
      <c r="C179" s="3">
        <v>5666.03125</v>
      </c>
      <c r="D179" s="3">
        <v>42937.9765625</v>
      </c>
      <c r="E179" s="3">
        <v>1.66435027122498</v>
      </c>
      <c r="F179" s="3">
        <v>0.92652666568756104</v>
      </c>
      <c r="G179" s="3">
        <v>0.115945681929588</v>
      </c>
      <c r="H179" s="3">
        <v>3.0352376401424401E-2</v>
      </c>
      <c r="I179" s="3">
        <v>555.44645839822601</v>
      </c>
      <c r="J179" s="3">
        <v>1.55097663402557</v>
      </c>
      <c r="K179" s="3">
        <v>1.0560768842697099</v>
      </c>
      <c r="L179" s="3">
        <f t="shared" si="2"/>
        <v>4</v>
      </c>
      <c r="M179">
        <f>VLOOKUP(A179,Sheet2!$B$2:$E$186,2,FALSE)</f>
        <v>30</v>
      </c>
      <c r="N179" t="s">
        <v>387</v>
      </c>
      <c r="O179" t="s">
        <v>388</v>
      </c>
      <c r="P179">
        <v>0</v>
      </c>
      <c r="Q179">
        <v>0</v>
      </c>
      <c r="R179">
        <v>0</v>
      </c>
      <c r="S179">
        <v>1</v>
      </c>
      <c r="T179">
        <v>0</v>
      </c>
      <c r="U179">
        <v>0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</row>
    <row r="180" spans="1:40" x14ac:dyDescent="0.3">
      <c r="A180" t="s">
        <v>112</v>
      </c>
      <c r="B180" s="3">
        <v>2019</v>
      </c>
      <c r="C180" s="3">
        <v>5841.6787109375</v>
      </c>
      <c r="D180" s="3">
        <v>43518.7265625</v>
      </c>
      <c r="E180" s="3">
        <v>1.6878434419632</v>
      </c>
      <c r="F180" s="3">
        <v>0.94575786590576205</v>
      </c>
      <c r="G180" s="3">
        <v>0.118382945656776</v>
      </c>
      <c r="H180" s="3">
        <v>3.1394001096486997E-2</v>
      </c>
      <c r="I180" s="3">
        <v>585.91101318036897</v>
      </c>
      <c r="J180" s="3">
        <v>1.5616270303726201</v>
      </c>
      <c r="K180" s="3">
        <v>1.0630965232849101</v>
      </c>
      <c r="L180" s="3">
        <f t="shared" si="2"/>
        <v>5</v>
      </c>
      <c r="M180">
        <f>VLOOKUP(A180,Sheet2!$B$2:$E$186,2,FALSE)</f>
        <v>30</v>
      </c>
      <c r="N180" t="s">
        <v>387</v>
      </c>
      <c r="O180" t="s">
        <v>388</v>
      </c>
      <c r="P180">
        <v>0</v>
      </c>
      <c r="Q180">
        <v>0</v>
      </c>
      <c r="R180">
        <v>0</v>
      </c>
      <c r="S180">
        <v>1</v>
      </c>
      <c r="T180">
        <v>0</v>
      </c>
      <c r="U180">
        <v>0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</row>
    <row r="181" spans="1:40" x14ac:dyDescent="0.3">
      <c r="A181" t="s">
        <v>112</v>
      </c>
      <c r="B181" s="3">
        <v>2020</v>
      </c>
      <c r="C181" s="3">
        <v>5894.25390625</v>
      </c>
      <c r="D181" s="3">
        <v>44590.54296875</v>
      </c>
      <c r="E181" s="3">
        <v>1.6963813304901101</v>
      </c>
      <c r="F181" s="3">
        <v>0.98007422685623202</v>
      </c>
      <c r="G181" s="3">
        <v>0.115414328873158</v>
      </c>
      <c r="H181" s="3">
        <v>3.24478521943092E-2</v>
      </c>
      <c r="I181" s="3">
        <v>575.58600451094503</v>
      </c>
      <c r="J181" s="3">
        <v>1.5723503828048699</v>
      </c>
      <c r="K181" s="3">
        <v>1.0382227897644001</v>
      </c>
      <c r="L181" s="3">
        <f t="shared" si="2"/>
        <v>6</v>
      </c>
      <c r="M181">
        <f>VLOOKUP(A181,Sheet2!$B$2:$E$186,2,FALSE)</f>
        <v>30</v>
      </c>
      <c r="N181" t="s">
        <v>387</v>
      </c>
      <c r="O181" t="s">
        <v>388</v>
      </c>
      <c r="P181">
        <v>0</v>
      </c>
      <c r="Q181">
        <v>0</v>
      </c>
      <c r="R181">
        <v>0</v>
      </c>
      <c r="S181">
        <v>1</v>
      </c>
      <c r="T181">
        <v>0</v>
      </c>
      <c r="U181">
        <v>0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</row>
    <row r="182" spans="1:40" x14ac:dyDescent="0.3">
      <c r="A182" t="s">
        <v>114</v>
      </c>
      <c r="B182" s="3">
        <v>2015</v>
      </c>
      <c r="C182" s="3">
        <v>1894039.125</v>
      </c>
      <c r="D182" s="3">
        <v>8857728</v>
      </c>
      <c r="E182" s="3">
        <v>18.012256622314499</v>
      </c>
      <c r="F182" s="3">
        <v>0.87684255838394198</v>
      </c>
      <c r="G182" s="3">
        <v>4.7002673149108901E-2</v>
      </c>
      <c r="H182" s="3">
        <v>3.5120874643325799E-2</v>
      </c>
      <c r="I182" s="3">
        <v>1.27878620362554</v>
      </c>
      <c r="J182" s="3">
        <v>3.69157862663269</v>
      </c>
      <c r="K182" s="3">
        <v>0.97777014970779397</v>
      </c>
      <c r="L182" s="3">
        <f t="shared" si="2"/>
        <v>1</v>
      </c>
      <c r="M182">
        <f>VLOOKUP(A182,Sheet2!$B$2:$E$186,2,FALSE)</f>
        <v>31</v>
      </c>
      <c r="N182" t="s">
        <v>385</v>
      </c>
      <c r="O182" t="s">
        <v>402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1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</row>
    <row r="183" spans="1:40" x14ac:dyDescent="0.3">
      <c r="A183" t="s">
        <v>114</v>
      </c>
      <c r="B183" s="3">
        <v>2016</v>
      </c>
      <c r="C183" s="3">
        <v>1913709.625</v>
      </c>
      <c r="D183" s="3">
        <v>9056973</v>
      </c>
      <c r="E183" s="3">
        <v>18.1368522644043</v>
      </c>
      <c r="F183" s="3">
        <v>0.89406585693359397</v>
      </c>
      <c r="G183" s="3">
        <v>4.7972053289413501E-2</v>
      </c>
      <c r="H183" s="3">
        <v>3.4771636128425598E-2</v>
      </c>
      <c r="I183" s="3">
        <v>1.3256151637482001</v>
      </c>
      <c r="J183" s="3">
        <v>3.6989285945892298</v>
      </c>
      <c r="K183" s="3">
        <v>0.97154235839843806</v>
      </c>
      <c r="L183" s="3">
        <f t="shared" si="2"/>
        <v>2</v>
      </c>
      <c r="M183">
        <f>VLOOKUP(A183,Sheet2!$B$2:$E$186,2,FALSE)</f>
        <v>31</v>
      </c>
      <c r="N183" t="s">
        <v>385</v>
      </c>
      <c r="O183" t="s">
        <v>402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1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</row>
    <row r="184" spans="1:40" x14ac:dyDescent="0.3">
      <c r="A184" t="s">
        <v>114</v>
      </c>
      <c r="B184" s="3">
        <v>2017</v>
      </c>
      <c r="C184" s="3">
        <v>1971768.25</v>
      </c>
      <c r="D184" s="3">
        <v>9269414</v>
      </c>
      <c r="E184" s="3">
        <v>18.482679367065401</v>
      </c>
      <c r="F184" s="3">
        <v>0.91353398561477706</v>
      </c>
      <c r="G184" s="3">
        <v>5.1424432545900303E-2</v>
      </c>
      <c r="H184" s="3">
        <v>3.4455336630344398E-2</v>
      </c>
      <c r="I184" s="3">
        <v>1.2979358464603901</v>
      </c>
      <c r="J184" s="3">
        <v>3.7062931060790998</v>
      </c>
      <c r="K184" s="3">
        <v>0.99285423755645796</v>
      </c>
      <c r="L184" s="3">
        <f t="shared" si="2"/>
        <v>3</v>
      </c>
      <c r="M184">
        <f>VLOOKUP(A184,Sheet2!$B$2:$E$186,2,FALSE)</f>
        <v>31</v>
      </c>
      <c r="N184" t="s">
        <v>385</v>
      </c>
      <c r="O184" t="s">
        <v>402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1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</row>
    <row r="185" spans="1:40" x14ac:dyDescent="0.3">
      <c r="A185" t="s">
        <v>114</v>
      </c>
      <c r="B185" s="3">
        <v>2018</v>
      </c>
      <c r="C185" s="3">
        <v>2025853.25</v>
      </c>
      <c r="D185" s="3">
        <v>9490253</v>
      </c>
      <c r="E185" s="3">
        <v>18.7060432434082</v>
      </c>
      <c r="F185" s="3">
        <v>0.93532061576843295</v>
      </c>
      <c r="G185" s="3">
        <v>5.0647214055061299E-2</v>
      </c>
      <c r="H185" s="3">
        <v>3.4279331564903301E-2</v>
      </c>
      <c r="I185" s="3">
        <v>1.2958179281353399</v>
      </c>
      <c r="J185" s="3">
        <v>3.7136721611022998</v>
      </c>
      <c r="K185" s="3">
        <v>0.99443125724792503</v>
      </c>
      <c r="L185" s="3">
        <f t="shared" si="2"/>
        <v>4</v>
      </c>
      <c r="M185">
        <f>VLOOKUP(A185,Sheet2!$B$2:$E$186,2,FALSE)</f>
        <v>31</v>
      </c>
      <c r="N185" t="s">
        <v>385</v>
      </c>
      <c r="O185" t="s">
        <v>402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1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</row>
    <row r="186" spans="1:40" x14ac:dyDescent="0.3">
      <c r="A186" t="s">
        <v>114</v>
      </c>
      <c r="B186" s="3">
        <v>2019</v>
      </c>
      <c r="C186" s="3">
        <v>2064515.375</v>
      </c>
      <c r="D186" s="3">
        <v>9710064</v>
      </c>
      <c r="E186" s="3">
        <v>19.0792541503906</v>
      </c>
      <c r="F186" s="3">
        <v>0.95642614364624001</v>
      </c>
      <c r="G186" s="3">
        <v>4.8373613506555599E-2</v>
      </c>
      <c r="H186" s="3">
        <v>3.4166235476732303E-2</v>
      </c>
      <c r="I186" s="3">
        <v>1.32679336266012</v>
      </c>
      <c r="J186" s="3">
        <v>3.7210659980773899</v>
      </c>
      <c r="K186" s="3">
        <v>0.98706036806106601</v>
      </c>
      <c r="L186" s="3">
        <f t="shared" si="2"/>
        <v>5</v>
      </c>
      <c r="M186">
        <f>VLOOKUP(A186,Sheet2!$B$2:$E$186,2,FALSE)</f>
        <v>31</v>
      </c>
      <c r="N186" t="s">
        <v>385</v>
      </c>
      <c r="O186" t="s">
        <v>402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1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</row>
    <row r="187" spans="1:40" x14ac:dyDescent="0.3">
      <c r="A187" t="s">
        <v>114</v>
      </c>
      <c r="B187" s="3">
        <v>2020</v>
      </c>
      <c r="C187" s="3">
        <v>1960500.25</v>
      </c>
      <c r="D187" s="3">
        <v>9905462</v>
      </c>
      <c r="E187" s="3">
        <v>18.072862625122099</v>
      </c>
      <c r="F187" s="3">
        <v>0.97346550226211603</v>
      </c>
      <c r="G187" s="3">
        <v>4.3127179145813002E-2</v>
      </c>
      <c r="H187" s="3">
        <v>3.39988805353642E-2</v>
      </c>
      <c r="I187" s="3">
        <v>1.34115267222386</v>
      </c>
      <c r="J187" s="3">
        <v>3.7284746170043901</v>
      </c>
      <c r="K187" s="3">
        <v>1.0078943967819201</v>
      </c>
      <c r="L187" s="3">
        <f t="shared" si="2"/>
        <v>6</v>
      </c>
      <c r="M187">
        <f>VLOOKUP(A187,Sheet2!$B$2:$E$186,2,FALSE)</f>
        <v>31</v>
      </c>
      <c r="N187" t="s">
        <v>385</v>
      </c>
      <c r="O187" t="s">
        <v>402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1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</row>
    <row r="188" spans="1:40" x14ac:dyDescent="0.3">
      <c r="A188" t="s">
        <v>116</v>
      </c>
      <c r="B188" s="3">
        <v>2015</v>
      </c>
      <c r="C188" s="3">
        <v>693415.5625</v>
      </c>
      <c r="D188" s="3">
        <v>3206557.5</v>
      </c>
      <c r="E188" s="3">
        <v>4.8470478057861301</v>
      </c>
      <c r="F188" s="3">
        <v>0.86469185352325395</v>
      </c>
      <c r="G188" s="3">
        <v>4.3529976159334197E-2</v>
      </c>
      <c r="H188" s="3">
        <v>5.14872223138809E-2</v>
      </c>
      <c r="I188" s="3">
        <v>0.96238132800435405</v>
      </c>
      <c r="J188" s="3">
        <v>3.6723875999450701</v>
      </c>
      <c r="K188" s="3">
        <v>1.0124763250351001</v>
      </c>
      <c r="L188" s="3">
        <f t="shared" si="2"/>
        <v>1</v>
      </c>
      <c r="M188">
        <f>VLOOKUP(A188,Sheet2!$B$2:$E$186,2,FALSE)</f>
        <v>32</v>
      </c>
      <c r="N188" t="s">
        <v>389</v>
      </c>
      <c r="O188" t="s">
        <v>396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1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</row>
    <row r="189" spans="1:40" x14ac:dyDescent="0.3">
      <c r="A189" t="s">
        <v>116</v>
      </c>
      <c r="B189" s="3">
        <v>2016</v>
      </c>
      <c r="C189" s="3">
        <v>707760.1875</v>
      </c>
      <c r="D189" s="3">
        <v>3273300.25</v>
      </c>
      <c r="E189" s="3">
        <v>4.9153108596801802</v>
      </c>
      <c r="F189" s="3">
        <v>0.88804566860198997</v>
      </c>
      <c r="G189" s="3">
        <v>4.3182719498872799E-2</v>
      </c>
      <c r="H189" s="3">
        <v>5.1835574209690101E-2</v>
      </c>
      <c r="I189" s="3">
        <v>0.98539439424483399</v>
      </c>
      <c r="J189" s="3">
        <v>3.6799368858337398</v>
      </c>
      <c r="K189" s="3">
        <v>1.0045013427734399</v>
      </c>
      <c r="L189" s="3">
        <f t="shared" si="2"/>
        <v>2</v>
      </c>
      <c r="M189">
        <f>VLOOKUP(A189,Sheet2!$B$2:$E$186,2,FALSE)</f>
        <v>32</v>
      </c>
      <c r="N189" t="s">
        <v>389</v>
      </c>
      <c r="O189" t="s">
        <v>396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1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</row>
    <row r="190" spans="1:40" x14ac:dyDescent="0.3">
      <c r="A190" t="s">
        <v>116</v>
      </c>
      <c r="B190" s="3">
        <v>2017</v>
      </c>
      <c r="C190" s="3">
        <v>717405.5625</v>
      </c>
      <c r="D190" s="3">
        <v>3344311.25</v>
      </c>
      <c r="E190" s="3">
        <v>4.9605178833007804</v>
      </c>
      <c r="F190" s="3">
        <v>0.91482627391815197</v>
      </c>
      <c r="G190" s="3">
        <v>4.2043264955282197E-2</v>
      </c>
      <c r="H190" s="3">
        <v>5.2357077598571798E-2</v>
      </c>
      <c r="I190" s="3">
        <v>0.98469166666666696</v>
      </c>
      <c r="J190" s="3">
        <v>3.6875019073486301</v>
      </c>
      <c r="K190" s="3">
        <v>1.00995922088623</v>
      </c>
      <c r="L190" s="3">
        <f t="shared" si="2"/>
        <v>3</v>
      </c>
      <c r="M190">
        <f>VLOOKUP(A190,Sheet2!$B$2:$E$186,2,FALSE)</f>
        <v>32</v>
      </c>
      <c r="N190" t="s">
        <v>389</v>
      </c>
      <c r="O190" t="s">
        <v>396</v>
      </c>
      <c r="P190">
        <v>0</v>
      </c>
      <c r="Q190">
        <v>1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1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</row>
    <row r="191" spans="1:40" x14ac:dyDescent="0.3">
      <c r="A191" t="s">
        <v>116</v>
      </c>
      <c r="B191" s="3">
        <v>2018</v>
      </c>
      <c r="C191" s="3">
        <v>737926.5625</v>
      </c>
      <c r="D191" s="3">
        <v>3412129.5</v>
      </c>
      <c r="E191" s="3">
        <v>5.0130524635314897</v>
      </c>
      <c r="F191" s="3">
        <v>0.939012110233307</v>
      </c>
      <c r="G191" s="3">
        <v>4.8871245235204697E-2</v>
      </c>
      <c r="H191" s="3">
        <v>5.2892990410327897E-2</v>
      </c>
      <c r="I191" s="3">
        <v>0.97789166666666705</v>
      </c>
      <c r="J191" s="3">
        <v>3.6950824260711701</v>
      </c>
      <c r="K191" s="3">
        <v>1.00744128227234</v>
      </c>
      <c r="L191" s="3">
        <f t="shared" si="2"/>
        <v>4</v>
      </c>
      <c r="M191">
        <f>VLOOKUP(A191,Sheet2!$B$2:$E$186,2,FALSE)</f>
        <v>32</v>
      </c>
      <c r="N191" t="s">
        <v>389</v>
      </c>
      <c r="O191" t="s">
        <v>396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1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</row>
    <row r="192" spans="1:40" x14ac:dyDescent="0.3">
      <c r="A192" t="s">
        <v>116</v>
      </c>
      <c r="B192" s="3">
        <v>2019</v>
      </c>
      <c r="C192" s="3">
        <v>746353.5</v>
      </c>
      <c r="D192" s="3">
        <v>3478718.5</v>
      </c>
      <c r="E192" s="3">
        <v>5.0498242378234899</v>
      </c>
      <c r="F192" s="3">
        <v>0.96158772706985496</v>
      </c>
      <c r="G192" s="3">
        <v>4.3905995786189998E-2</v>
      </c>
      <c r="H192" s="3">
        <v>5.32825477421284E-2</v>
      </c>
      <c r="I192" s="3">
        <v>0.99370916666666698</v>
      </c>
      <c r="J192" s="3">
        <v>3.7026784420013401</v>
      </c>
      <c r="K192" s="3">
        <v>1.0136076211929299</v>
      </c>
      <c r="L192" s="3">
        <f t="shared" si="2"/>
        <v>5</v>
      </c>
      <c r="M192">
        <f>VLOOKUP(A192,Sheet2!$B$2:$E$186,2,FALSE)</f>
        <v>32</v>
      </c>
      <c r="N192" t="s">
        <v>389</v>
      </c>
      <c r="O192" t="s">
        <v>396</v>
      </c>
      <c r="P192">
        <v>0</v>
      </c>
      <c r="Q192">
        <v>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1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</row>
    <row r="193" spans="1:40" x14ac:dyDescent="0.3">
      <c r="A193" t="s">
        <v>116</v>
      </c>
      <c r="B193" s="3">
        <v>2020</v>
      </c>
      <c r="C193" s="3">
        <v>730368.5625</v>
      </c>
      <c r="D193" s="3">
        <v>3542198.5</v>
      </c>
      <c r="E193" s="3">
        <v>5.0235719680786097</v>
      </c>
      <c r="F193" s="3">
        <v>0.980330049991608</v>
      </c>
      <c r="G193" s="3">
        <v>3.05491257458925E-2</v>
      </c>
      <c r="H193" s="3">
        <v>5.3451690822839702E-2</v>
      </c>
      <c r="I193" s="3">
        <v>0.93896500000000005</v>
      </c>
      <c r="J193" s="3">
        <v>3.7102899551391602</v>
      </c>
      <c r="K193" s="3">
        <v>1.02686023712158</v>
      </c>
      <c r="L193" s="3">
        <f t="shared" si="2"/>
        <v>6</v>
      </c>
      <c r="M193">
        <f>VLOOKUP(A193,Sheet2!$B$2:$E$186,2,FALSE)</f>
        <v>32</v>
      </c>
      <c r="N193" t="s">
        <v>389</v>
      </c>
      <c r="O193" t="s">
        <v>396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1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</row>
    <row r="194" spans="1:40" x14ac:dyDescent="0.3">
      <c r="A194" t="s">
        <v>118</v>
      </c>
      <c r="B194" s="3">
        <v>2015</v>
      </c>
      <c r="C194" s="3">
        <v>447298.21875</v>
      </c>
      <c r="D194" s="3">
        <v>1498107.875</v>
      </c>
      <c r="E194" s="3">
        <v>7.7604351043701199</v>
      </c>
      <c r="F194" s="3">
        <v>0.79978847503662098</v>
      </c>
      <c r="G194" s="3">
        <v>0.13154575228691101</v>
      </c>
      <c r="H194" s="3">
        <v>4.2821813374757801E-2</v>
      </c>
      <c r="I194" s="3">
        <v>654.12408425419596</v>
      </c>
      <c r="J194" s="3">
        <v>3.0704219341278098</v>
      </c>
      <c r="K194" s="3">
        <v>0.916004657745361</v>
      </c>
      <c r="L194" s="3">
        <f t="shared" si="2"/>
        <v>1</v>
      </c>
      <c r="M194">
        <f>VLOOKUP(A194,Sheet2!$B$2:$E$186,2,FALSE)</f>
        <v>33</v>
      </c>
      <c r="N194" t="s">
        <v>385</v>
      </c>
      <c r="O194" t="s">
        <v>393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</row>
    <row r="195" spans="1:40" x14ac:dyDescent="0.3">
      <c r="A195" t="s">
        <v>118</v>
      </c>
      <c r="B195" s="3">
        <v>2016</v>
      </c>
      <c r="C195" s="3">
        <v>455139.5</v>
      </c>
      <c r="D195" s="3">
        <v>1562235.75</v>
      </c>
      <c r="E195" s="3">
        <v>7.8443145751953098</v>
      </c>
      <c r="F195" s="3">
        <v>0.83490765094757102</v>
      </c>
      <c r="G195" s="3">
        <v>0.13094687461853</v>
      </c>
      <c r="H195" s="3">
        <v>4.2666234076023102E-2</v>
      </c>
      <c r="I195" s="3">
        <v>676.95773604465705</v>
      </c>
      <c r="J195" s="3">
        <v>3.0890879631042498</v>
      </c>
      <c r="K195" s="3">
        <v>0.90792828798294101</v>
      </c>
      <c r="L195" s="3">
        <f t="shared" ref="L195:L258" si="3">B195-2014</f>
        <v>2</v>
      </c>
      <c r="M195">
        <f>VLOOKUP(A195,Sheet2!$B$2:$E$186,2,FALSE)</f>
        <v>33</v>
      </c>
      <c r="N195" t="s">
        <v>385</v>
      </c>
      <c r="O195" t="s">
        <v>393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</row>
    <row r="196" spans="1:40" x14ac:dyDescent="0.3">
      <c r="A196" t="s">
        <v>118</v>
      </c>
      <c r="B196" s="3">
        <v>2017</v>
      </c>
      <c r="C196" s="3">
        <v>461318.9375</v>
      </c>
      <c r="D196" s="3">
        <v>1619323.75</v>
      </c>
      <c r="E196" s="3">
        <v>7.9280681610107404</v>
      </c>
      <c r="F196" s="3">
        <v>0.86487942934036299</v>
      </c>
      <c r="G196" s="3">
        <v>0.13226294517517101</v>
      </c>
      <c r="H196" s="3">
        <v>4.2439561337232597E-2</v>
      </c>
      <c r="I196" s="3">
        <v>648.83379259826097</v>
      </c>
      <c r="J196" s="3">
        <v>3.10786700248718</v>
      </c>
      <c r="K196" s="3">
        <v>0.91203093528747603</v>
      </c>
      <c r="L196" s="3">
        <f t="shared" si="3"/>
        <v>3</v>
      </c>
      <c r="M196">
        <f>VLOOKUP(A196,Sheet2!$B$2:$E$186,2,FALSE)</f>
        <v>33</v>
      </c>
      <c r="N196" t="s">
        <v>385</v>
      </c>
      <c r="O196" t="s">
        <v>393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1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</row>
    <row r="197" spans="1:40" x14ac:dyDescent="0.3">
      <c r="A197" t="s">
        <v>118</v>
      </c>
      <c r="B197" s="3">
        <v>2018</v>
      </c>
      <c r="C197" s="3">
        <v>479725.6875</v>
      </c>
      <c r="D197" s="3">
        <v>1682605.375</v>
      </c>
      <c r="E197" s="3">
        <v>7.99383497238159</v>
      </c>
      <c r="F197" s="3">
        <v>0.89982485771179199</v>
      </c>
      <c r="G197" s="3">
        <v>0.12979298830032401</v>
      </c>
      <c r="H197" s="3">
        <v>4.2348805814981502E-2</v>
      </c>
      <c r="I197" s="3">
        <v>641.27681306639499</v>
      </c>
      <c r="J197" s="3">
        <v>3.1267607212066699</v>
      </c>
      <c r="K197" s="3">
        <v>0.93255102634429898</v>
      </c>
      <c r="L197" s="3">
        <f t="shared" si="3"/>
        <v>4</v>
      </c>
      <c r="M197">
        <f>VLOOKUP(A197,Sheet2!$B$2:$E$186,2,FALSE)</f>
        <v>33</v>
      </c>
      <c r="N197" t="s">
        <v>385</v>
      </c>
      <c r="O197" t="s">
        <v>393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1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</row>
    <row r="198" spans="1:40" x14ac:dyDescent="0.3">
      <c r="A198" t="s">
        <v>118</v>
      </c>
      <c r="B198" s="3">
        <v>2019</v>
      </c>
      <c r="C198" s="3">
        <v>482768.9375</v>
      </c>
      <c r="D198" s="3">
        <v>1750039.125</v>
      </c>
      <c r="E198" s="3">
        <v>8.1656455993652308</v>
      </c>
      <c r="F198" s="3">
        <v>0.93641126155853305</v>
      </c>
      <c r="G198" s="3">
        <v>0.12067154794931401</v>
      </c>
      <c r="H198" s="3">
        <v>4.2366757988929797E-2</v>
      </c>
      <c r="I198" s="3">
        <v>702.89742256152897</v>
      </c>
      <c r="J198" s="3">
        <v>3.1457688808441202</v>
      </c>
      <c r="K198" s="3">
        <v>0.91399937868118297</v>
      </c>
      <c r="L198" s="3">
        <f t="shared" si="3"/>
        <v>5</v>
      </c>
      <c r="M198">
        <f>VLOOKUP(A198,Sheet2!$B$2:$E$186,2,FALSE)</f>
        <v>33</v>
      </c>
      <c r="N198" t="s">
        <v>385</v>
      </c>
      <c r="O198" t="s">
        <v>393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1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</row>
    <row r="199" spans="1:40" x14ac:dyDescent="0.3">
      <c r="A199" t="s">
        <v>118</v>
      </c>
      <c r="B199" s="3">
        <v>2020</v>
      </c>
      <c r="C199" s="3">
        <v>453110.15625</v>
      </c>
      <c r="D199" s="3">
        <v>1800015.25</v>
      </c>
      <c r="E199" s="3">
        <v>7.1684341430664098</v>
      </c>
      <c r="F199" s="3">
        <v>0.96085304021835305</v>
      </c>
      <c r="G199" s="3">
        <v>0.110690854489803</v>
      </c>
      <c r="H199" s="3">
        <v>4.2139951139688499E-2</v>
      </c>
      <c r="I199" s="3">
        <v>792.72720610316799</v>
      </c>
      <c r="J199" s="3">
        <v>3.1648929119110099</v>
      </c>
      <c r="K199" s="3">
        <v>0.88384193181991599</v>
      </c>
      <c r="L199" s="3">
        <f t="shared" si="3"/>
        <v>6</v>
      </c>
      <c r="M199">
        <f>VLOOKUP(A199,Sheet2!$B$2:$E$186,2,FALSE)</f>
        <v>33</v>
      </c>
      <c r="N199" t="s">
        <v>385</v>
      </c>
      <c r="O199" t="s">
        <v>393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1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</row>
    <row r="200" spans="1:40" x14ac:dyDescent="0.3">
      <c r="A200" t="s">
        <v>120</v>
      </c>
      <c r="B200" s="3">
        <v>2015</v>
      </c>
      <c r="C200" s="3">
        <v>19995438</v>
      </c>
      <c r="D200" s="3">
        <v>87775192</v>
      </c>
      <c r="E200" s="3">
        <v>774.418212890625</v>
      </c>
      <c r="F200" s="3">
        <v>0.60878205299377397</v>
      </c>
      <c r="G200" s="3">
        <v>8.6195051670074505E-2</v>
      </c>
      <c r="H200" s="3">
        <v>5.4418317973613697E-2</v>
      </c>
      <c r="I200" s="3">
        <v>6.22748867298455</v>
      </c>
      <c r="J200" s="3">
        <v>2.59902787208557</v>
      </c>
      <c r="K200" s="3">
        <v>0.86144983768463101</v>
      </c>
      <c r="L200" s="3">
        <f t="shared" si="3"/>
        <v>1</v>
      </c>
      <c r="M200">
        <f>VLOOKUP(A200,Sheet2!$B$2:$E$186,2,FALSE)</f>
        <v>34</v>
      </c>
      <c r="N200" t="s">
        <v>391</v>
      </c>
      <c r="O200" t="s">
        <v>405</v>
      </c>
      <c r="P200">
        <v>0</v>
      </c>
      <c r="Q200">
        <v>0</v>
      </c>
      <c r="R200">
        <v>1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</v>
      </c>
      <c r="AK200">
        <v>0</v>
      </c>
      <c r="AL200">
        <v>0</v>
      </c>
      <c r="AM200">
        <v>0</v>
      </c>
      <c r="AN200">
        <v>0</v>
      </c>
    </row>
    <row r="201" spans="1:40" x14ac:dyDescent="0.3">
      <c r="A201" t="s">
        <v>120</v>
      </c>
      <c r="B201" s="3">
        <v>2016</v>
      </c>
      <c r="C201" s="3">
        <v>21364878</v>
      </c>
      <c r="D201" s="3">
        <v>96755824</v>
      </c>
      <c r="E201" s="3">
        <v>772.98236083984398</v>
      </c>
      <c r="F201" s="3">
        <v>0.66753238439559903</v>
      </c>
      <c r="G201" s="3">
        <v>8.6910001933574704E-2</v>
      </c>
      <c r="H201" s="3">
        <v>5.3757645189762102E-2</v>
      </c>
      <c r="I201" s="3">
        <v>6.6444778294468003</v>
      </c>
      <c r="J201" s="3">
        <v>2.6236650943756099</v>
      </c>
      <c r="K201" s="3">
        <v>0.89214909076690696</v>
      </c>
      <c r="L201" s="3">
        <f t="shared" si="3"/>
        <v>2</v>
      </c>
      <c r="M201">
        <f>VLOOKUP(A201,Sheet2!$B$2:$E$186,2,FALSE)</f>
        <v>34</v>
      </c>
      <c r="N201" t="s">
        <v>391</v>
      </c>
      <c r="O201" t="s">
        <v>405</v>
      </c>
      <c r="P201">
        <v>0</v>
      </c>
      <c r="Q201">
        <v>0</v>
      </c>
      <c r="R201">
        <v>1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1</v>
      </c>
      <c r="AK201">
        <v>0</v>
      </c>
      <c r="AL201">
        <v>0</v>
      </c>
      <c r="AM201">
        <v>0</v>
      </c>
      <c r="AN201">
        <v>0</v>
      </c>
    </row>
    <row r="202" spans="1:40" x14ac:dyDescent="0.3">
      <c r="A202" t="s">
        <v>120</v>
      </c>
      <c r="B202" s="3">
        <v>2017</v>
      </c>
      <c r="C202" s="3">
        <v>22849138</v>
      </c>
      <c r="D202" s="3">
        <v>106217664</v>
      </c>
      <c r="E202" s="3">
        <v>771.33038330078102</v>
      </c>
      <c r="F202" s="3">
        <v>0.72895067930221602</v>
      </c>
      <c r="G202" s="3">
        <v>8.43215212225914E-2</v>
      </c>
      <c r="H202" s="3">
        <v>5.3001895546913202E-2</v>
      </c>
      <c r="I202" s="3">
        <v>6.7587550863359702</v>
      </c>
      <c r="J202" s="3">
        <v>2.6485359668731698</v>
      </c>
      <c r="K202" s="3">
        <v>0.91759675741195701</v>
      </c>
      <c r="L202" s="3">
        <f t="shared" si="3"/>
        <v>3</v>
      </c>
      <c r="M202">
        <f>VLOOKUP(A202,Sheet2!$B$2:$E$186,2,FALSE)</f>
        <v>34</v>
      </c>
      <c r="N202" t="s">
        <v>391</v>
      </c>
      <c r="O202" t="s">
        <v>405</v>
      </c>
      <c r="P202">
        <v>0</v>
      </c>
      <c r="Q202">
        <v>0</v>
      </c>
      <c r="R202">
        <v>1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1</v>
      </c>
      <c r="AK202">
        <v>0</v>
      </c>
      <c r="AL202">
        <v>0</v>
      </c>
      <c r="AM202">
        <v>0</v>
      </c>
      <c r="AN202">
        <v>0</v>
      </c>
    </row>
    <row r="203" spans="1:40" x14ac:dyDescent="0.3">
      <c r="A203" t="s">
        <v>120</v>
      </c>
      <c r="B203" s="3">
        <v>2018</v>
      </c>
      <c r="C203" s="3">
        <v>24391402</v>
      </c>
      <c r="D203" s="3">
        <v>116379784</v>
      </c>
      <c r="E203" s="3">
        <v>769.24029541015602</v>
      </c>
      <c r="F203" s="3">
        <v>0.79481142759323098</v>
      </c>
      <c r="G203" s="3">
        <v>8.1688880920410198E-2</v>
      </c>
      <c r="H203" s="3">
        <v>5.2268400788307197E-2</v>
      </c>
      <c r="I203" s="3">
        <v>6.6159571773543897</v>
      </c>
      <c r="J203" s="3">
        <v>2.6736423969268799</v>
      </c>
      <c r="K203" s="3">
        <v>0.94972002506256104</v>
      </c>
      <c r="L203" s="3">
        <f t="shared" si="3"/>
        <v>4</v>
      </c>
      <c r="M203">
        <f>VLOOKUP(A203,Sheet2!$B$2:$E$186,2,FALSE)</f>
        <v>34</v>
      </c>
      <c r="N203" t="s">
        <v>391</v>
      </c>
      <c r="O203" t="s">
        <v>405</v>
      </c>
      <c r="P203">
        <v>0</v>
      </c>
      <c r="Q203">
        <v>0</v>
      </c>
      <c r="R203">
        <v>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1</v>
      </c>
      <c r="AK203">
        <v>0</v>
      </c>
      <c r="AL203">
        <v>0</v>
      </c>
      <c r="AM203">
        <v>0</v>
      </c>
      <c r="AN203">
        <v>0</v>
      </c>
    </row>
    <row r="204" spans="1:40" x14ac:dyDescent="0.3">
      <c r="A204" t="s">
        <v>120</v>
      </c>
      <c r="B204" s="3">
        <v>2019</v>
      </c>
      <c r="C204" s="3">
        <v>25842820</v>
      </c>
      <c r="D204" s="3">
        <v>126968344</v>
      </c>
      <c r="E204" s="3">
        <v>765.730224609375</v>
      </c>
      <c r="F204" s="3">
        <v>0.86215096712112405</v>
      </c>
      <c r="G204" s="3">
        <v>7.9017899930477101E-2</v>
      </c>
      <c r="H204" s="3">
        <v>5.1504764705896398E-2</v>
      </c>
      <c r="I204" s="3">
        <v>6.9083850099290096</v>
      </c>
      <c r="J204" s="3">
        <v>2.6989870071411102</v>
      </c>
      <c r="K204" s="3">
        <v>0.96643483638763406</v>
      </c>
      <c r="L204" s="3">
        <f t="shared" si="3"/>
        <v>5</v>
      </c>
      <c r="M204">
        <f>VLOOKUP(A204,Sheet2!$B$2:$E$186,2,FALSE)</f>
        <v>34</v>
      </c>
      <c r="N204" t="s">
        <v>391</v>
      </c>
      <c r="O204" t="s">
        <v>405</v>
      </c>
      <c r="P204">
        <v>0</v>
      </c>
      <c r="Q204">
        <v>0</v>
      </c>
      <c r="R204">
        <v>1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1</v>
      </c>
      <c r="AK204">
        <v>0</v>
      </c>
      <c r="AL204">
        <v>0</v>
      </c>
      <c r="AM204">
        <v>0</v>
      </c>
      <c r="AN204">
        <v>0</v>
      </c>
    </row>
    <row r="205" spans="1:40" x14ac:dyDescent="0.3">
      <c r="A205" t="s">
        <v>120</v>
      </c>
      <c r="B205" s="3">
        <v>2020</v>
      </c>
      <c r="C205" s="3">
        <v>26421342</v>
      </c>
      <c r="D205" s="3">
        <v>137695824</v>
      </c>
      <c r="E205" s="3">
        <v>762.12432861328102</v>
      </c>
      <c r="F205" s="3">
        <v>0.92912173271179199</v>
      </c>
      <c r="G205" s="3">
        <v>7.7439501881599399E-2</v>
      </c>
      <c r="H205" s="3">
        <v>5.06707541644573E-2</v>
      </c>
      <c r="I205" s="3">
        <v>6.9007672694492497</v>
      </c>
      <c r="J205" s="3">
        <v>2.7245717048645002</v>
      </c>
      <c r="K205" s="3">
        <v>0.97440719604492199</v>
      </c>
      <c r="L205" s="3">
        <f t="shared" si="3"/>
        <v>6</v>
      </c>
      <c r="M205">
        <f>VLOOKUP(A205,Sheet2!$B$2:$E$186,2,FALSE)</f>
        <v>34</v>
      </c>
      <c r="N205" t="s">
        <v>391</v>
      </c>
      <c r="O205" t="s">
        <v>405</v>
      </c>
      <c r="P205">
        <v>0</v>
      </c>
      <c r="Q205">
        <v>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1</v>
      </c>
      <c r="AK205">
        <v>0</v>
      </c>
      <c r="AL205">
        <v>0</v>
      </c>
      <c r="AM205">
        <v>0</v>
      </c>
      <c r="AN205">
        <v>0</v>
      </c>
    </row>
    <row r="206" spans="1:40" x14ac:dyDescent="0.3">
      <c r="A206" t="s">
        <v>122</v>
      </c>
      <c r="B206" s="3">
        <v>2015</v>
      </c>
      <c r="C206" s="3">
        <v>120615.6875</v>
      </c>
      <c r="D206" s="3">
        <v>221710.890625</v>
      </c>
      <c r="E206" s="3">
        <v>9.3578281402587908</v>
      </c>
      <c r="F206" s="3">
        <v>0.56090515851974498</v>
      </c>
      <c r="G206" s="3">
        <v>0.386272013187408</v>
      </c>
      <c r="H206" s="3">
        <v>4.9161169677972801E-2</v>
      </c>
      <c r="I206" s="3">
        <v>591.21169798260996</v>
      </c>
      <c r="J206" s="3">
        <v>1.6199967861175499</v>
      </c>
      <c r="K206" s="3">
        <v>1.1307088136673</v>
      </c>
      <c r="L206" s="3">
        <f t="shared" si="3"/>
        <v>1</v>
      </c>
      <c r="M206">
        <f>VLOOKUP(A206,Sheet2!$B$2:$E$186,2,FALSE)</f>
        <v>35</v>
      </c>
      <c r="N206" t="s">
        <v>387</v>
      </c>
      <c r="O206" t="s">
        <v>398</v>
      </c>
      <c r="P206">
        <v>0</v>
      </c>
      <c r="Q206">
        <v>0</v>
      </c>
      <c r="R206">
        <v>0</v>
      </c>
      <c r="S206">
        <v>1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1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</row>
    <row r="207" spans="1:40" x14ac:dyDescent="0.3">
      <c r="A207" t="s">
        <v>122</v>
      </c>
      <c r="B207" s="3">
        <v>2016</v>
      </c>
      <c r="C207" s="3">
        <v>129266.234375</v>
      </c>
      <c r="D207" s="3">
        <v>248651.359375</v>
      </c>
      <c r="E207" s="3">
        <v>9.6719808578491193</v>
      </c>
      <c r="F207" s="3">
        <v>0.63275200128555298</v>
      </c>
      <c r="G207" s="3">
        <v>0.37926155328750599</v>
      </c>
      <c r="H207" s="3">
        <v>5.2086871117353398E-2</v>
      </c>
      <c r="I207" s="3">
        <v>592.60561506302201</v>
      </c>
      <c r="J207" s="3">
        <v>1.63856148719788</v>
      </c>
      <c r="K207" s="3">
        <v>1.10589683055878</v>
      </c>
      <c r="L207" s="3">
        <f t="shared" si="3"/>
        <v>2</v>
      </c>
      <c r="M207">
        <f>VLOOKUP(A207,Sheet2!$B$2:$E$186,2,FALSE)</f>
        <v>35</v>
      </c>
      <c r="N207" t="s">
        <v>387</v>
      </c>
      <c r="O207" t="s">
        <v>398</v>
      </c>
      <c r="P207">
        <v>0</v>
      </c>
      <c r="Q207">
        <v>0</v>
      </c>
      <c r="R207">
        <v>0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1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</row>
    <row r="208" spans="1:40" x14ac:dyDescent="0.3">
      <c r="A208" t="s">
        <v>122</v>
      </c>
      <c r="B208" s="3">
        <v>2017</v>
      </c>
      <c r="C208" s="3">
        <v>138847.59375</v>
      </c>
      <c r="D208" s="3">
        <v>274208.3125</v>
      </c>
      <c r="E208" s="3">
        <v>9.6983222961425799</v>
      </c>
      <c r="F208" s="3">
        <v>0.70022165775299094</v>
      </c>
      <c r="G208" s="3">
        <v>0.36890280246734602</v>
      </c>
      <c r="H208" s="3">
        <v>5.3917318582534797E-2</v>
      </c>
      <c r="I208" s="3">
        <v>580.65674958785803</v>
      </c>
      <c r="J208" s="3">
        <v>1.6573388576507599</v>
      </c>
      <c r="K208" s="3">
        <v>1.0746066570282</v>
      </c>
      <c r="L208" s="3">
        <f t="shared" si="3"/>
        <v>3</v>
      </c>
      <c r="M208">
        <f>VLOOKUP(A208,Sheet2!$B$2:$E$186,2,FALSE)</f>
        <v>35</v>
      </c>
      <c r="N208" t="s">
        <v>387</v>
      </c>
      <c r="O208" t="s">
        <v>398</v>
      </c>
      <c r="P208">
        <v>0</v>
      </c>
      <c r="Q208">
        <v>0</v>
      </c>
      <c r="R208">
        <v>0</v>
      </c>
      <c r="S208">
        <v>1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</row>
    <row r="209" spans="1:47" x14ac:dyDescent="0.3">
      <c r="A209" t="s">
        <v>122</v>
      </c>
      <c r="B209" s="3">
        <v>2018</v>
      </c>
      <c r="C209" s="3">
        <v>145570.359375</v>
      </c>
      <c r="D209" s="3">
        <v>300911.9375</v>
      </c>
      <c r="E209" s="3">
        <v>9.9019088745117205</v>
      </c>
      <c r="F209" s="3">
        <v>0.76916557550430298</v>
      </c>
      <c r="G209" s="3">
        <v>0.34868332743644698</v>
      </c>
      <c r="H209" s="3">
        <v>5.46822883188725E-2</v>
      </c>
      <c r="I209" s="3">
        <v>555.44645839822601</v>
      </c>
      <c r="J209" s="3">
        <v>1.67633152008057</v>
      </c>
      <c r="K209" s="3">
        <v>1.06910216808319</v>
      </c>
      <c r="L209" s="3">
        <f t="shared" si="3"/>
        <v>4</v>
      </c>
      <c r="M209">
        <f>VLOOKUP(A209,Sheet2!$B$2:$E$186,2,FALSE)</f>
        <v>35</v>
      </c>
      <c r="N209" t="s">
        <v>387</v>
      </c>
      <c r="O209" t="s">
        <v>398</v>
      </c>
      <c r="P209">
        <v>0</v>
      </c>
      <c r="Q209">
        <v>0</v>
      </c>
      <c r="R209">
        <v>0</v>
      </c>
      <c r="S209">
        <v>1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1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</row>
    <row r="210" spans="1:47" x14ac:dyDescent="0.3">
      <c r="A210" t="s">
        <v>122</v>
      </c>
      <c r="B210" s="3">
        <v>2019</v>
      </c>
      <c r="C210" s="3">
        <v>155354.84375</v>
      </c>
      <c r="D210" s="3">
        <v>328893.09375</v>
      </c>
      <c r="E210" s="3">
        <v>10.1108245849609</v>
      </c>
      <c r="F210" s="3">
        <v>0.84279316663742099</v>
      </c>
      <c r="G210" s="3">
        <v>0.34506803750991799</v>
      </c>
      <c r="H210" s="3">
        <v>5.5318009108304998E-2</v>
      </c>
      <c r="I210" s="3">
        <v>585.91101318036897</v>
      </c>
      <c r="J210" s="3">
        <v>1.6955418586730999</v>
      </c>
      <c r="K210" s="3">
        <v>1.0492022037506099</v>
      </c>
      <c r="L210" s="3">
        <f t="shared" si="3"/>
        <v>5</v>
      </c>
      <c r="M210">
        <f>VLOOKUP(A210,Sheet2!$B$2:$E$186,2,FALSE)</f>
        <v>35</v>
      </c>
      <c r="N210" t="s">
        <v>387</v>
      </c>
      <c r="O210" t="s">
        <v>398</v>
      </c>
      <c r="P210">
        <v>0</v>
      </c>
      <c r="Q210">
        <v>0</v>
      </c>
      <c r="R210">
        <v>0</v>
      </c>
      <c r="S210">
        <v>1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1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</row>
    <row r="211" spans="1:47" x14ac:dyDescent="0.3">
      <c r="A211" t="s">
        <v>122</v>
      </c>
      <c r="B211" s="3">
        <v>2020</v>
      </c>
      <c r="C211" s="3">
        <v>156443.609375</v>
      </c>
      <c r="D211" s="3">
        <v>356772.4375</v>
      </c>
      <c r="E211" s="3">
        <v>10.4181108474731</v>
      </c>
      <c r="F211" s="3">
        <v>0.91383761167526301</v>
      </c>
      <c r="G211" s="3">
        <v>0.36218705773353599</v>
      </c>
      <c r="H211" s="3">
        <v>5.568677932024E-2</v>
      </c>
      <c r="I211" s="3">
        <v>575.58600451094503</v>
      </c>
      <c r="J211" s="3">
        <v>1.7135381698608401</v>
      </c>
      <c r="K211" s="3">
        <v>1.0169780254364</v>
      </c>
      <c r="L211" s="3">
        <f t="shared" si="3"/>
        <v>6</v>
      </c>
      <c r="M211">
        <f>VLOOKUP(A211,Sheet2!$B$2:$E$186,2,FALSE)</f>
        <v>35</v>
      </c>
      <c r="N211" t="s">
        <v>387</v>
      </c>
      <c r="O211" t="s">
        <v>398</v>
      </c>
      <c r="P211">
        <v>0</v>
      </c>
      <c r="Q211">
        <v>0</v>
      </c>
      <c r="R211">
        <v>0</v>
      </c>
      <c r="S211">
        <v>1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1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</row>
    <row r="212" spans="1:47" x14ac:dyDescent="0.3">
      <c r="A212" t="s">
        <v>123</v>
      </c>
      <c r="B212" s="3">
        <v>2015</v>
      </c>
      <c r="C212" s="3">
        <v>106515.4296875</v>
      </c>
      <c r="D212" s="3">
        <v>209458.875</v>
      </c>
      <c r="E212" s="3">
        <v>8.8601808547973597</v>
      </c>
      <c r="F212" s="3">
        <v>0.74653887748718295</v>
      </c>
      <c r="G212" s="3">
        <v>0.11400272697210299</v>
      </c>
      <c r="H212" s="3">
        <v>5.2137125283479697E-2</v>
      </c>
      <c r="I212" s="3">
        <v>591.21169798260996</v>
      </c>
      <c r="J212" s="3">
        <v>1.88424289226532</v>
      </c>
      <c r="K212" s="3">
        <v>0.93338775634765603</v>
      </c>
      <c r="L212" s="3">
        <f t="shared" si="3"/>
        <v>1</v>
      </c>
      <c r="M212">
        <f>VLOOKUP(A212,Sheet2!$B$2:$E$186,2,FALSE)</f>
        <v>36</v>
      </c>
      <c r="N212" t="s">
        <v>387</v>
      </c>
      <c r="O212" t="s">
        <v>388</v>
      </c>
      <c r="P212">
        <v>0</v>
      </c>
      <c r="Q212">
        <v>0</v>
      </c>
      <c r="R212">
        <v>0</v>
      </c>
      <c r="S212">
        <v>1</v>
      </c>
      <c r="T212">
        <v>0</v>
      </c>
      <c r="U212">
        <v>0</v>
      </c>
      <c r="V212">
        <v>1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</row>
    <row r="213" spans="1:47" x14ac:dyDescent="0.3">
      <c r="A213" t="s">
        <v>123</v>
      </c>
      <c r="B213" s="3">
        <v>2016</v>
      </c>
      <c r="C213" s="3">
        <v>111346.7421875</v>
      </c>
      <c r="D213" s="3">
        <v>221879.765625</v>
      </c>
      <c r="E213" s="3">
        <v>8.7906923294067401</v>
      </c>
      <c r="F213" s="3">
        <v>0.78995943069457997</v>
      </c>
      <c r="G213" s="3">
        <v>0.112341366708279</v>
      </c>
      <c r="H213" s="3">
        <v>5.1624003797769498E-2</v>
      </c>
      <c r="I213" s="3">
        <v>592.60561506302201</v>
      </c>
      <c r="J213" s="3">
        <v>1.88712894916534</v>
      </c>
      <c r="K213" s="3">
        <v>0.95322275161743197</v>
      </c>
      <c r="L213" s="3">
        <f t="shared" si="3"/>
        <v>2</v>
      </c>
      <c r="M213">
        <f>VLOOKUP(A213,Sheet2!$B$2:$E$186,2,FALSE)</f>
        <v>36</v>
      </c>
      <c r="N213" t="s">
        <v>387</v>
      </c>
      <c r="O213" t="s">
        <v>388</v>
      </c>
      <c r="P213">
        <v>0</v>
      </c>
      <c r="Q213">
        <v>0</v>
      </c>
      <c r="R213">
        <v>0</v>
      </c>
      <c r="S213">
        <v>1</v>
      </c>
      <c r="T213">
        <v>0</v>
      </c>
      <c r="U213">
        <v>0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</row>
    <row r="214" spans="1:47" x14ac:dyDescent="0.3">
      <c r="A214" t="s">
        <v>123</v>
      </c>
      <c r="B214" s="3">
        <v>2017</v>
      </c>
      <c r="C214" s="3">
        <v>115289.7265625</v>
      </c>
      <c r="D214" s="3">
        <v>234441.828125</v>
      </c>
      <c r="E214" s="3">
        <v>8.7480106353759801</v>
      </c>
      <c r="F214" s="3">
        <v>0.82973796129226696</v>
      </c>
      <c r="G214" s="3">
        <v>0.111463367938995</v>
      </c>
      <c r="H214" s="3">
        <v>5.0733398646116298E-2</v>
      </c>
      <c r="I214" s="3">
        <v>580.65674958785803</v>
      </c>
      <c r="J214" s="3">
        <v>1.89001929759979</v>
      </c>
      <c r="K214" s="3">
        <v>0.97051650285720803</v>
      </c>
      <c r="L214" s="3">
        <f t="shared" si="3"/>
        <v>3</v>
      </c>
      <c r="M214">
        <f>VLOOKUP(A214,Sheet2!$B$2:$E$186,2,FALSE)</f>
        <v>36</v>
      </c>
      <c r="N214" t="s">
        <v>387</v>
      </c>
      <c r="O214" t="s">
        <v>388</v>
      </c>
      <c r="P214">
        <v>0</v>
      </c>
      <c r="Q214">
        <v>0</v>
      </c>
      <c r="R214">
        <v>0</v>
      </c>
      <c r="S214">
        <v>1</v>
      </c>
      <c r="T214">
        <v>0</v>
      </c>
      <c r="U214">
        <v>0</v>
      </c>
      <c r="V214">
        <v>1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</row>
    <row r="215" spans="1:47" x14ac:dyDescent="0.3">
      <c r="A215" t="s">
        <v>123</v>
      </c>
      <c r="B215" s="3">
        <v>2018</v>
      </c>
      <c r="C215" s="3">
        <v>119850.0390625</v>
      </c>
      <c r="D215" s="3">
        <v>248164.859375</v>
      </c>
      <c r="E215" s="3">
        <v>8.70310783386231</v>
      </c>
      <c r="F215" s="3">
        <v>0.87405014038085904</v>
      </c>
      <c r="G215" s="3">
        <v>0.112516470253468</v>
      </c>
      <c r="H215" s="3">
        <v>4.9620639532804503E-2</v>
      </c>
      <c r="I215" s="3">
        <v>555.44645839822601</v>
      </c>
      <c r="J215" s="3">
        <v>1.8929140567779501</v>
      </c>
      <c r="K215" s="3">
        <v>1.00310719013214</v>
      </c>
      <c r="L215" s="3">
        <f t="shared" si="3"/>
        <v>4</v>
      </c>
      <c r="M215">
        <f>VLOOKUP(A215,Sheet2!$B$2:$E$186,2,FALSE)</f>
        <v>36</v>
      </c>
      <c r="N215" t="s">
        <v>387</v>
      </c>
      <c r="O215" t="s">
        <v>388</v>
      </c>
      <c r="P215">
        <v>0</v>
      </c>
      <c r="Q215">
        <v>0</v>
      </c>
      <c r="R215">
        <v>0</v>
      </c>
      <c r="S215">
        <v>1</v>
      </c>
      <c r="T215">
        <v>0</v>
      </c>
      <c r="U215">
        <v>0</v>
      </c>
      <c r="V215">
        <v>1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</row>
    <row r="216" spans="1:47" x14ac:dyDescent="0.3">
      <c r="A216" t="s">
        <v>123</v>
      </c>
      <c r="B216" s="3">
        <v>2019</v>
      </c>
      <c r="C216" s="3">
        <v>124014.8671875</v>
      </c>
      <c r="D216" s="3">
        <v>262348.65625</v>
      </c>
      <c r="E216" s="3">
        <v>8.8164634704589808</v>
      </c>
      <c r="F216" s="3">
        <v>0.91958481073379505</v>
      </c>
      <c r="G216" s="3">
        <v>0.115259036421776</v>
      </c>
      <c r="H216" s="3">
        <v>4.8637505620718002E-2</v>
      </c>
      <c r="I216" s="3">
        <v>585.91101318036897</v>
      </c>
      <c r="J216" s="3">
        <v>1.89581322669983</v>
      </c>
      <c r="K216" s="3">
        <v>1.0099192857742301</v>
      </c>
      <c r="L216" s="3">
        <f t="shared" si="3"/>
        <v>5</v>
      </c>
      <c r="M216">
        <f>VLOOKUP(A216,Sheet2!$B$2:$E$186,2,FALSE)</f>
        <v>36</v>
      </c>
      <c r="N216" t="s">
        <v>387</v>
      </c>
      <c r="O216" t="s">
        <v>388</v>
      </c>
      <c r="P216">
        <v>0</v>
      </c>
      <c r="Q216">
        <v>0</v>
      </c>
      <c r="R216">
        <v>0</v>
      </c>
      <c r="S216">
        <v>1</v>
      </c>
      <c r="T216">
        <v>0</v>
      </c>
      <c r="U216">
        <v>0</v>
      </c>
      <c r="V216">
        <v>1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</row>
    <row r="217" spans="1:47" x14ac:dyDescent="0.3">
      <c r="A217" t="s">
        <v>123</v>
      </c>
      <c r="B217" s="3">
        <v>2020</v>
      </c>
      <c r="C217" s="3">
        <v>124337.2578125</v>
      </c>
      <c r="D217" s="3">
        <v>275100.625</v>
      </c>
      <c r="E217" s="3">
        <v>8.9241857528686506</v>
      </c>
      <c r="F217" s="3">
        <v>0.95729911327362105</v>
      </c>
      <c r="G217" s="3">
        <v>0.111437678337097</v>
      </c>
      <c r="H217" s="3">
        <v>4.7522101551294299E-2</v>
      </c>
      <c r="I217" s="3">
        <v>575.58600451094503</v>
      </c>
      <c r="J217" s="3">
        <v>1.8987169265747099</v>
      </c>
      <c r="K217" s="3">
        <v>0.99082511663436901</v>
      </c>
      <c r="L217" s="3">
        <f t="shared" si="3"/>
        <v>6</v>
      </c>
      <c r="M217">
        <f>VLOOKUP(A217,Sheet2!$B$2:$E$186,2,FALSE)</f>
        <v>36</v>
      </c>
      <c r="N217" t="s">
        <v>387</v>
      </c>
      <c r="O217" t="s">
        <v>388</v>
      </c>
      <c r="P217">
        <v>0</v>
      </c>
      <c r="Q217">
        <v>0</v>
      </c>
      <c r="R217">
        <v>0</v>
      </c>
      <c r="S217">
        <v>1</v>
      </c>
      <c r="T217">
        <v>0</v>
      </c>
      <c r="U217">
        <v>0</v>
      </c>
      <c r="V217">
        <v>1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</row>
    <row r="218" spans="1:47" s="2" customFormat="1" x14ac:dyDescent="0.3">
      <c r="A218" t="s">
        <v>124</v>
      </c>
      <c r="B218" s="3">
        <v>2015</v>
      </c>
      <c r="C218" s="3">
        <v>80785.4765625</v>
      </c>
      <c r="D218" s="3">
        <v>163393.1875</v>
      </c>
      <c r="E218" s="3">
        <v>25.955579757690401</v>
      </c>
      <c r="F218" s="3"/>
      <c r="G218" s="3"/>
      <c r="H218" s="3">
        <v>3.0483344569802302E-2</v>
      </c>
      <c r="I218" s="3">
        <v>925.98496128039301</v>
      </c>
      <c r="J218" s="3">
        <v>1.7341506481170701</v>
      </c>
      <c r="K218" s="3"/>
      <c r="L218" s="3">
        <f t="shared" si="3"/>
        <v>1</v>
      </c>
      <c r="M218">
        <f>VLOOKUP(A218,Sheet2!$B$2:$E$186,2,FALSE)</f>
        <v>37</v>
      </c>
      <c r="N218" t="s">
        <v>387</v>
      </c>
      <c r="O218" t="s">
        <v>388</v>
      </c>
      <c r="P218">
        <v>0</v>
      </c>
      <c r="Q218">
        <v>0</v>
      </c>
      <c r="R218">
        <v>0</v>
      </c>
      <c r="S218">
        <v>1</v>
      </c>
      <c r="T218">
        <v>0</v>
      </c>
      <c r="U218">
        <v>0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/>
      <c r="AP218"/>
      <c r="AQ218"/>
      <c r="AR218"/>
      <c r="AS218"/>
      <c r="AT218"/>
      <c r="AU218"/>
    </row>
    <row r="219" spans="1:47" s="2" customFormat="1" x14ac:dyDescent="0.3">
      <c r="A219" t="s">
        <v>124</v>
      </c>
      <c r="B219" s="3">
        <v>2016</v>
      </c>
      <c r="C219" s="3">
        <v>82724.4609375</v>
      </c>
      <c r="D219" s="3">
        <v>169563.40625</v>
      </c>
      <c r="E219" s="3">
        <v>26.9393215179443</v>
      </c>
      <c r="F219" s="3"/>
      <c r="G219" s="3"/>
      <c r="H219" s="3">
        <v>3.0166501179337502E-2</v>
      </c>
      <c r="I219" s="3">
        <v>1010.30275716866</v>
      </c>
      <c r="J219" s="3">
        <v>1.7642142772674601</v>
      </c>
      <c r="K219" s="3"/>
      <c r="L219" s="3">
        <f t="shared" si="3"/>
        <v>2</v>
      </c>
      <c r="M219">
        <f>VLOOKUP(A219,Sheet2!$B$2:$E$186,2,FALSE)</f>
        <v>37</v>
      </c>
      <c r="N219" t="s">
        <v>387</v>
      </c>
      <c r="O219" t="s">
        <v>388</v>
      </c>
      <c r="P219">
        <v>0</v>
      </c>
      <c r="Q219">
        <v>0</v>
      </c>
      <c r="R219">
        <v>0</v>
      </c>
      <c r="S219">
        <v>1</v>
      </c>
      <c r="T219">
        <v>0</v>
      </c>
      <c r="U219">
        <v>0</v>
      </c>
      <c r="V219">
        <v>1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/>
      <c r="AP219"/>
      <c r="AQ219"/>
      <c r="AR219"/>
      <c r="AS219"/>
      <c r="AT219"/>
      <c r="AU219"/>
    </row>
    <row r="220" spans="1:47" s="2" customFormat="1" x14ac:dyDescent="0.3">
      <c r="A220" t="s">
        <v>124</v>
      </c>
      <c r="B220" s="3">
        <v>2017</v>
      </c>
      <c r="C220" s="3">
        <v>85784.921875</v>
      </c>
      <c r="D220" s="3">
        <v>179007.921875</v>
      </c>
      <c r="E220" s="3">
        <v>28.048416137695298</v>
      </c>
      <c r="F220" s="3"/>
      <c r="G220" s="3"/>
      <c r="H220" s="3">
        <v>3.0126847326755499E-2</v>
      </c>
      <c r="I220" s="3">
        <v>1464.41793163743</v>
      </c>
      <c r="J220" s="3">
        <v>1.78063941001892</v>
      </c>
      <c r="K220" s="3"/>
      <c r="L220" s="3">
        <f t="shared" si="3"/>
        <v>3</v>
      </c>
      <c r="M220">
        <f>VLOOKUP(A220,Sheet2!$B$2:$E$186,2,FALSE)</f>
        <v>37</v>
      </c>
      <c r="N220" t="s">
        <v>387</v>
      </c>
      <c r="O220" t="s">
        <v>388</v>
      </c>
      <c r="P220">
        <v>0</v>
      </c>
      <c r="Q220">
        <v>0</v>
      </c>
      <c r="R220">
        <v>0</v>
      </c>
      <c r="S220">
        <v>1</v>
      </c>
      <c r="T220">
        <v>0</v>
      </c>
      <c r="U220">
        <v>0</v>
      </c>
      <c r="V220">
        <v>1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/>
      <c r="AP220"/>
      <c r="AQ220"/>
      <c r="AR220"/>
      <c r="AS220"/>
      <c r="AT220"/>
      <c r="AU220"/>
    </row>
    <row r="221" spans="1:47" s="2" customFormat="1" x14ac:dyDescent="0.3">
      <c r="A221" t="s">
        <v>124</v>
      </c>
      <c r="B221" s="3">
        <v>2018</v>
      </c>
      <c r="C221" s="3">
        <v>90747.6875</v>
      </c>
      <c r="D221" s="3">
        <v>189405.15625</v>
      </c>
      <c r="E221" s="3">
        <v>29.015508651733398</v>
      </c>
      <c r="F221" s="3"/>
      <c r="G221" s="3"/>
      <c r="H221" s="3">
        <v>3.0208973214030301E-2</v>
      </c>
      <c r="I221" s="3">
        <v>1622.5235016229201</v>
      </c>
      <c r="J221" s="3">
        <v>1.7972174882888801</v>
      </c>
      <c r="K221" s="3"/>
      <c r="L221" s="3">
        <f t="shared" si="3"/>
        <v>4</v>
      </c>
      <c r="M221">
        <f>VLOOKUP(A221,Sheet2!$B$2:$E$186,2,FALSE)</f>
        <v>37</v>
      </c>
      <c r="N221" t="s">
        <v>387</v>
      </c>
      <c r="O221" t="s">
        <v>388</v>
      </c>
      <c r="P221">
        <v>0</v>
      </c>
      <c r="Q221">
        <v>0</v>
      </c>
      <c r="R221">
        <v>0</v>
      </c>
      <c r="S221">
        <v>1</v>
      </c>
      <c r="T221">
        <v>0</v>
      </c>
      <c r="U221">
        <v>0</v>
      </c>
      <c r="V221">
        <v>1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/>
      <c r="AP221"/>
      <c r="AQ221"/>
      <c r="AR221"/>
      <c r="AS221"/>
      <c r="AT221"/>
      <c r="AU221"/>
    </row>
    <row r="222" spans="1:47" s="2" customFormat="1" x14ac:dyDescent="0.3">
      <c r="A222" t="s">
        <v>124</v>
      </c>
      <c r="B222" s="3">
        <v>2019</v>
      </c>
      <c r="C222" s="3">
        <v>94782.8828125</v>
      </c>
      <c r="D222" s="3">
        <v>197437.296875</v>
      </c>
      <c r="E222" s="3">
        <v>29.905515670776399</v>
      </c>
      <c r="F222" s="3"/>
      <c r="G222" s="3"/>
      <c r="H222" s="3">
        <v>3.0276708304882102E-2</v>
      </c>
      <c r="I222" s="3">
        <v>1647.76012727639</v>
      </c>
      <c r="J222" s="3">
        <v>1.80343377590179</v>
      </c>
      <c r="K222" s="3"/>
      <c r="L222" s="3">
        <f t="shared" si="3"/>
        <v>5</v>
      </c>
      <c r="M222">
        <f>VLOOKUP(A222,Sheet2!$B$2:$E$186,2,FALSE)</f>
        <v>37</v>
      </c>
      <c r="N222" t="s">
        <v>387</v>
      </c>
      <c r="O222" t="s">
        <v>388</v>
      </c>
      <c r="P222">
        <v>0</v>
      </c>
      <c r="Q222">
        <v>0</v>
      </c>
      <c r="R222">
        <v>0</v>
      </c>
      <c r="S222">
        <v>1</v>
      </c>
      <c r="T222">
        <v>0</v>
      </c>
      <c r="U222">
        <v>0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/>
      <c r="AP222"/>
      <c r="AQ222"/>
      <c r="AR222"/>
      <c r="AS222"/>
      <c r="AT222"/>
      <c r="AU222"/>
    </row>
    <row r="223" spans="1:47" s="2" customFormat="1" x14ac:dyDescent="0.3">
      <c r="A223" t="s">
        <v>124</v>
      </c>
      <c r="B223" s="3">
        <v>2020</v>
      </c>
      <c r="C223" s="3">
        <v>96427.65625</v>
      </c>
      <c r="D223" s="3">
        <v>207369.890625</v>
      </c>
      <c r="E223" s="3">
        <v>29.408054351806602</v>
      </c>
      <c r="F223" s="3"/>
      <c r="G223" s="3"/>
      <c r="H223" s="3">
        <v>3.0241208150982898E-2</v>
      </c>
      <c r="I223" s="3">
        <v>1851.1221618326099</v>
      </c>
      <c r="J223" s="3">
        <v>1.80971920490265</v>
      </c>
      <c r="K223" s="3"/>
      <c r="L223" s="3">
        <f t="shared" si="3"/>
        <v>6</v>
      </c>
      <c r="M223">
        <f>VLOOKUP(A223,Sheet2!$B$2:$E$186,2,FALSE)</f>
        <v>37</v>
      </c>
      <c r="N223" t="s">
        <v>387</v>
      </c>
      <c r="O223" t="s">
        <v>388</v>
      </c>
      <c r="P223">
        <v>0</v>
      </c>
      <c r="Q223">
        <v>0</v>
      </c>
      <c r="R223">
        <v>0</v>
      </c>
      <c r="S223">
        <v>1</v>
      </c>
      <c r="T223">
        <v>0</v>
      </c>
      <c r="U223">
        <v>0</v>
      </c>
      <c r="V223">
        <v>1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/>
      <c r="AP223"/>
      <c r="AQ223"/>
      <c r="AR223"/>
      <c r="AS223"/>
      <c r="AT223"/>
      <c r="AU223"/>
    </row>
    <row r="224" spans="1:47" s="2" customFormat="1" x14ac:dyDescent="0.3">
      <c r="A224" t="s">
        <v>126</v>
      </c>
      <c r="B224" s="3">
        <v>2015</v>
      </c>
      <c r="C224" s="3">
        <v>45143.4609375</v>
      </c>
      <c r="D224" s="3">
        <v>265299.59375</v>
      </c>
      <c r="E224" s="3">
        <v>1.7300595045089699</v>
      </c>
      <c r="F224" s="3"/>
      <c r="G224" s="3"/>
      <c r="H224" s="3">
        <v>3.95255088806152E-2</v>
      </c>
      <c r="I224" s="3">
        <v>591.21169798260996</v>
      </c>
      <c r="J224" s="3">
        <v>2.1537849903106698</v>
      </c>
      <c r="K224" s="3"/>
      <c r="L224" s="3">
        <f t="shared" si="3"/>
        <v>1</v>
      </c>
      <c r="M224">
        <f>VLOOKUP(A224,Sheet2!$B$2:$E$186,2,FALSE)</f>
        <v>38</v>
      </c>
      <c r="N224" t="s">
        <v>387</v>
      </c>
      <c r="O224" t="s">
        <v>388</v>
      </c>
      <c r="P224">
        <v>0</v>
      </c>
      <c r="Q224">
        <v>0</v>
      </c>
      <c r="R224">
        <v>0</v>
      </c>
      <c r="S224">
        <v>1</v>
      </c>
      <c r="T224">
        <v>0</v>
      </c>
      <c r="U224">
        <v>0</v>
      </c>
      <c r="V224">
        <v>1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/>
      <c r="AP224"/>
      <c r="AQ224"/>
      <c r="AR224"/>
      <c r="AS224"/>
      <c r="AT224"/>
      <c r="AU224"/>
    </row>
    <row r="225" spans="1:47" s="2" customFormat="1" x14ac:dyDescent="0.3">
      <c r="A225" t="s">
        <v>126</v>
      </c>
      <c r="B225" s="3">
        <v>2016</v>
      </c>
      <c r="C225" s="3">
        <v>41222.64453125</v>
      </c>
      <c r="D225" s="3">
        <v>289254.65625</v>
      </c>
      <c r="E225" s="3">
        <v>1.7604449987411499</v>
      </c>
      <c r="F225" s="3"/>
      <c r="G225" s="3"/>
      <c r="H225" s="3">
        <v>3.94676551222801E-2</v>
      </c>
      <c r="I225" s="3">
        <v>592.60561506302201</v>
      </c>
      <c r="J225" s="3">
        <v>2.1565275192260702</v>
      </c>
      <c r="K225" s="3"/>
      <c r="L225" s="3">
        <f t="shared" si="3"/>
        <v>2</v>
      </c>
      <c r="M225">
        <f>VLOOKUP(A225,Sheet2!$B$2:$E$186,2,FALSE)</f>
        <v>38</v>
      </c>
      <c r="N225" t="s">
        <v>387</v>
      </c>
      <c r="O225" t="s">
        <v>388</v>
      </c>
      <c r="P225">
        <v>0</v>
      </c>
      <c r="Q225">
        <v>0</v>
      </c>
      <c r="R225">
        <v>0</v>
      </c>
      <c r="S225">
        <v>1</v>
      </c>
      <c r="T225">
        <v>0</v>
      </c>
      <c r="U225">
        <v>0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/>
      <c r="AP225"/>
      <c r="AQ225"/>
      <c r="AR225"/>
      <c r="AS225"/>
      <c r="AT225"/>
      <c r="AU225"/>
    </row>
    <row r="226" spans="1:47" s="2" customFormat="1" x14ac:dyDescent="0.3">
      <c r="A226" t="s">
        <v>126</v>
      </c>
      <c r="B226" s="3">
        <v>2017</v>
      </c>
      <c r="C226" s="3">
        <v>38916.328125</v>
      </c>
      <c r="D226" s="3">
        <v>295152.03125</v>
      </c>
      <c r="E226" s="3">
        <v>1.78949558734894</v>
      </c>
      <c r="F226" s="3"/>
      <c r="G226" s="3"/>
      <c r="H226" s="3">
        <v>3.9002075791359003E-2</v>
      </c>
      <c r="I226" s="3">
        <v>580.65674958785803</v>
      </c>
      <c r="J226" s="3">
        <v>2.1592791080474898</v>
      </c>
      <c r="K226" s="3"/>
      <c r="L226" s="3">
        <f t="shared" si="3"/>
        <v>3</v>
      </c>
      <c r="M226">
        <f>VLOOKUP(A226,Sheet2!$B$2:$E$186,2,FALSE)</f>
        <v>38</v>
      </c>
      <c r="N226" t="s">
        <v>387</v>
      </c>
      <c r="O226" t="s">
        <v>388</v>
      </c>
      <c r="P226">
        <v>0</v>
      </c>
      <c r="Q226">
        <v>0</v>
      </c>
      <c r="R226">
        <v>0</v>
      </c>
      <c r="S226">
        <v>1</v>
      </c>
      <c r="T226">
        <v>0</v>
      </c>
      <c r="U226">
        <v>0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/>
      <c r="AP226"/>
      <c r="AQ226"/>
      <c r="AR226"/>
      <c r="AS226"/>
      <c r="AT226"/>
      <c r="AU226"/>
    </row>
    <row r="227" spans="1:47" s="2" customFormat="1" x14ac:dyDescent="0.3">
      <c r="A227" t="s">
        <v>126</v>
      </c>
      <c r="B227" s="3">
        <v>2018</v>
      </c>
      <c r="C227" s="3">
        <v>38019.57421875</v>
      </c>
      <c r="D227" s="3">
        <v>297559.9375</v>
      </c>
      <c r="E227" s="3">
        <v>1.8309909105300901</v>
      </c>
      <c r="F227" s="3"/>
      <c r="G227" s="3"/>
      <c r="H227" s="3">
        <v>3.86017635464668E-2</v>
      </c>
      <c r="I227" s="3">
        <v>555.44645839822601</v>
      </c>
      <c r="J227" s="3">
        <v>2.1620397567749001</v>
      </c>
      <c r="K227" s="3"/>
      <c r="L227" s="3">
        <f t="shared" si="3"/>
        <v>4</v>
      </c>
      <c r="M227">
        <f>VLOOKUP(A227,Sheet2!$B$2:$E$186,2,FALSE)</f>
        <v>38</v>
      </c>
      <c r="N227" t="s">
        <v>387</v>
      </c>
      <c r="O227" t="s">
        <v>388</v>
      </c>
      <c r="P227">
        <v>0</v>
      </c>
      <c r="Q227">
        <v>0</v>
      </c>
      <c r="R227">
        <v>0</v>
      </c>
      <c r="S227">
        <v>1</v>
      </c>
      <c r="T227">
        <v>0</v>
      </c>
      <c r="U227">
        <v>0</v>
      </c>
      <c r="V227">
        <v>1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/>
      <c r="AP227"/>
      <c r="AQ227"/>
      <c r="AR227"/>
      <c r="AS227"/>
      <c r="AT227"/>
      <c r="AU227"/>
    </row>
    <row r="228" spans="1:47" s="2" customFormat="1" x14ac:dyDescent="0.3">
      <c r="A228" t="s">
        <v>126</v>
      </c>
      <c r="B228" s="3">
        <v>2019</v>
      </c>
      <c r="C228" s="3">
        <v>37982.7265625</v>
      </c>
      <c r="D228" s="3">
        <v>300084.1875</v>
      </c>
      <c r="E228" s="3">
        <v>1.8862935304641699</v>
      </c>
      <c r="F228" s="3"/>
      <c r="G228" s="3"/>
      <c r="H228" s="3">
        <v>3.8469854742288603E-2</v>
      </c>
      <c r="I228" s="3">
        <v>585.91101318036897</v>
      </c>
      <c r="J228" s="3">
        <v>2.1648092269897501</v>
      </c>
      <c r="K228" s="3"/>
      <c r="L228" s="3">
        <f t="shared" si="3"/>
        <v>5</v>
      </c>
      <c r="M228">
        <f>VLOOKUP(A228,Sheet2!$B$2:$E$186,2,FALSE)</f>
        <v>38</v>
      </c>
      <c r="N228" t="s">
        <v>387</v>
      </c>
      <c r="O228" t="s">
        <v>388</v>
      </c>
      <c r="P228">
        <v>0</v>
      </c>
      <c r="Q228">
        <v>0</v>
      </c>
      <c r="R228">
        <v>0</v>
      </c>
      <c r="S228">
        <v>1</v>
      </c>
      <c r="T228">
        <v>0</v>
      </c>
      <c r="U228">
        <v>0</v>
      </c>
      <c r="V228">
        <v>1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/>
      <c r="AP228"/>
      <c r="AQ228"/>
      <c r="AR228"/>
      <c r="AS228"/>
      <c r="AT228"/>
      <c r="AU228"/>
    </row>
    <row r="229" spans="1:47" s="2" customFormat="1" x14ac:dyDescent="0.3">
      <c r="A229" t="s">
        <v>126</v>
      </c>
      <c r="B229" s="3">
        <v>2020</v>
      </c>
      <c r="C229" s="3">
        <v>35602.0546875</v>
      </c>
      <c r="D229" s="3">
        <v>299381.5</v>
      </c>
      <c r="E229" s="3">
        <v>1.8571310043335001</v>
      </c>
      <c r="F229" s="3"/>
      <c r="G229" s="3"/>
      <c r="H229" s="3">
        <v>3.8172494620084797E-2</v>
      </c>
      <c r="I229" s="3">
        <v>575.58600451094503</v>
      </c>
      <c r="J229" s="3">
        <v>2.1675879955291801</v>
      </c>
      <c r="K229" s="3"/>
      <c r="L229" s="3">
        <f t="shared" si="3"/>
        <v>6</v>
      </c>
      <c r="M229">
        <f>VLOOKUP(A229,Sheet2!$B$2:$E$186,2,FALSE)</f>
        <v>38</v>
      </c>
      <c r="N229" t="s">
        <v>387</v>
      </c>
      <c r="O229" t="s">
        <v>388</v>
      </c>
      <c r="P229">
        <v>0</v>
      </c>
      <c r="Q229">
        <v>0</v>
      </c>
      <c r="R229">
        <v>0</v>
      </c>
      <c r="S229">
        <v>1</v>
      </c>
      <c r="T229">
        <v>0</v>
      </c>
      <c r="U229">
        <v>0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/>
      <c r="AP229"/>
      <c r="AQ229"/>
      <c r="AR229"/>
      <c r="AS229"/>
      <c r="AT229"/>
      <c r="AU229"/>
    </row>
    <row r="230" spans="1:47" x14ac:dyDescent="0.3">
      <c r="A230" t="s">
        <v>127</v>
      </c>
      <c r="B230" s="3">
        <v>2015</v>
      </c>
      <c r="C230" s="3">
        <v>744066.3125</v>
      </c>
      <c r="D230" s="3">
        <v>2382179.25</v>
      </c>
      <c r="E230" s="3">
        <v>21.104354858398398</v>
      </c>
      <c r="F230" s="3">
        <v>0.82277739048004195</v>
      </c>
      <c r="G230" s="3">
        <v>0.123227454721928</v>
      </c>
      <c r="H230" s="3">
        <v>3.7777654826641097E-2</v>
      </c>
      <c r="I230" s="3">
        <v>2741.7816666666699</v>
      </c>
      <c r="J230" s="3">
        <v>2.5121252536773699</v>
      </c>
      <c r="K230" s="3">
        <v>0.97431391477584794</v>
      </c>
      <c r="L230" s="3">
        <f t="shared" si="3"/>
        <v>1</v>
      </c>
      <c r="M230">
        <f>VLOOKUP(A230,Sheet2!$B$2:$E$186,2,FALSE)</f>
        <v>39</v>
      </c>
      <c r="N230" t="s">
        <v>385</v>
      </c>
      <c r="O230" t="s">
        <v>393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1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</row>
    <row r="231" spans="1:47" x14ac:dyDescent="0.3">
      <c r="A231" t="s">
        <v>127</v>
      </c>
      <c r="B231" s="3">
        <v>2016</v>
      </c>
      <c r="C231" s="3">
        <v>759597.75</v>
      </c>
      <c r="D231" s="3">
        <v>2478521.5</v>
      </c>
      <c r="E231" s="3">
        <v>21.1867866516113</v>
      </c>
      <c r="F231" s="3">
        <v>0.85630482435226396</v>
      </c>
      <c r="G231" s="3">
        <v>0.12201326340436899</v>
      </c>
      <c r="H231" s="3">
        <v>3.7806391716003397E-2</v>
      </c>
      <c r="I231" s="3">
        <v>3055.2550000000001</v>
      </c>
      <c r="J231" s="3">
        <v>2.5381448268890399</v>
      </c>
      <c r="K231" s="3">
        <v>0.96053129434585605</v>
      </c>
      <c r="L231" s="3">
        <f t="shared" si="3"/>
        <v>2</v>
      </c>
      <c r="M231">
        <f>VLOOKUP(A231,Sheet2!$B$2:$E$186,2,FALSE)</f>
        <v>39</v>
      </c>
      <c r="N231" t="s">
        <v>385</v>
      </c>
      <c r="O231" t="s">
        <v>393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</row>
    <row r="232" spans="1:47" x14ac:dyDescent="0.3">
      <c r="A232" t="s">
        <v>127</v>
      </c>
      <c r="B232" s="3">
        <v>2017</v>
      </c>
      <c r="C232" s="3">
        <v>769923.4375</v>
      </c>
      <c r="D232" s="3">
        <v>2574892.75</v>
      </c>
      <c r="E232" s="3">
        <v>21.277929306030298</v>
      </c>
      <c r="F232" s="3">
        <v>0.88951373100280795</v>
      </c>
      <c r="G232" s="3">
        <v>0.12211069464683499</v>
      </c>
      <c r="H232" s="3">
        <v>3.7680886685848201E-2</v>
      </c>
      <c r="I232" s="3">
        <v>2951.4869112016099</v>
      </c>
      <c r="J232" s="3">
        <v>2.5629780292511</v>
      </c>
      <c r="K232" s="3">
        <v>0.94944220781326305</v>
      </c>
      <c r="L232" s="3">
        <f t="shared" si="3"/>
        <v>3</v>
      </c>
      <c r="M232">
        <f>VLOOKUP(A232,Sheet2!$B$2:$E$186,2,FALSE)</f>
        <v>39</v>
      </c>
      <c r="N232" t="s">
        <v>385</v>
      </c>
      <c r="O232" t="s">
        <v>393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1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</row>
    <row r="233" spans="1:47" x14ac:dyDescent="0.3">
      <c r="A233" t="s">
        <v>127</v>
      </c>
      <c r="B233" s="3">
        <v>2018</v>
      </c>
      <c r="C233" s="3">
        <v>789666.8125</v>
      </c>
      <c r="D233" s="3">
        <v>2669737</v>
      </c>
      <c r="E233" s="3">
        <v>21.398229598998999</v>
      </c>
      <c r="F233" s="3">
        <v>0.92340832948684703</v>
      </c>
      <c r="G233" s="3">
        <v>0.122186154127121</v>
      </c>
      <c r="H233" s="3">
        <v>3.7647020071744898E-2</v>
      </c>
      <c r="I233" s="3">
        <v>2955.70396997842</v>
      </c>
      <c r="J233" s="3">
        <v>2.5808203220367401</v>
      </c>
      <c r="K233" s="3">
        <v>0.95610105991363503</v>
      </c>
      <c r="L233" s="3">
        <f t="shared" si="3"/>
        <v>4</v>
      </c>
      <c r="M233">
        <f>VLOOKUP(A233,Sheet2!$B$2:$E$186,2,FALSE)</f>
        <v>39</v>
      </c>
      <c r="N233" t="s">
        <v>385</v>
      </c>
      <c r="O233" t="s">
        <v>393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1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</row>
    <row r="234" spans="1:47" x14ac:dyDescent="0.3">
      <c r="A234" t="s">
        <v>127</v>
      </c>
      <c r="B234" s="3">
        <v>2019</v>
      </c>
      <c r="C234" s="3">
        <v>814832.3125</v>
      </c>
      <c r="D234" s="3">
        <v>2765520</v>
      </c>
      <c r="E234" s="3">
        <v>21.4365634918213</v>
      </c>
      <c r="F234" s="3">
        <v>0.95983833074569702</v>
      </c>
      <c r="G234" s="3">
        <v>0.118822365999222</v>
      </c>
      <c r="H234" s="3">
        <v>3.7836160510778399E-2</v>
      </c>
      <c r="I234" s="3">
        <v>3281.6221938178801</v>
      </c>
      <c r="J234" s="3">
        <v>2.59878706932068</v>
      </c>
      <c r="K234" s="3">
        <v>0.971885085105896</v>
      </c>
      <c r="L234" s="3">
        <f t="shared" si="3"/>
        <v>5</v>
      </c>
      <c r="M234">
        <f>VLOOKUP(A234,Sheet2!$B$2:$E$186,2,FALSE)</f>
        <v>39</v>
      </c>
      <c r="N234" t="s">
        <v>385</v>
      </c>
      <c r="O234" t="s">
        <v>393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</row>
    <row r="235" spans="1:47" x14ac:dyDescent="0.3">
      <c r="A235" t="s">
        <v>127</v>
      </c>
      <c r="B235" s="3">
        <v>2020</v>
      </c>
      <c r="C235" s="3">
        <v>756279.1875</v>
      </c>
      <c r="D235" s="3">
        <v>2811806.5</v>
      </c>
      <c r="E235" s="3">
        <v>19.854122161865199</v>
      </c>
      <c r="F235" s="3">
        <v>0.97439992427825906</v>
      </c>
      <c r="G235" s="3">
        <v>8.93456786870956E-2</v>
      </c>
      <c r="H235" s="3">
        <v>3.7847474217414898E-2</v>
      </c>
      <c r="I235" s="3">
        <v>3693.27583333333</v>
      </c>
      <c r="J235" s="3">
        <v>2.6168789863586399</v>
      </c>
      <c r="K235" s="3">
        <v>0.99494254589080799</v>
      </c>
      <c r="L235" s="3">
        <f t="shared" si="3"/>
        <v>6</v>
      </c>
      <c r="M235">
        <f>VLOOKUP(A235,Sheet2!$B$2:$E$186,2,FALSE)</f>
        <v>39</v>
      </c>
      <c r="N235" t="s">
        <v>385</v>
      </c>
      <c r="O235" t="s">
        <v>393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1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</row>
    <row r="236" spans="1:47" s="2" customFormat="1" x14ac:dyDescent="0.3">
      <c r="A236" t="s">
        <v>129</v>
      </c>
      <c r="B236" s="3">
        <v>2015</v>
      </c>
      <c r="C236" s="3">
        <v>2313.84204101563</v>
      </c>
      <c r="D236" s="3">
        <v>15745.0986328125</v>
      </c>
      <c r="E236" s="3">
        <v>0.18488967418670699</v>
      </c>
      <c r="F236" s="3"/>
      <c r="G236" s="3"/>
      <c r="H236" s="3">
        <v>3.1581010669469799E-2</v>
      </c>
      <c r="I236" s="3">
        <v>443.40877348695699</v>
      </c>
      <c r="J236" s="3"/>
      <c r="K236" s="3"/>
      <c r="L236" s="3">
        <f t="shared" si="3"/>
        <v>1</v>
      </c>
      <c r="M236">
        <f>VLOOKUP(A236,Sheet2!$B$2:$E$186,2,FALSE)</f>
        <v>40</v>
      </c>
      <c r="N236" t="s">
        <v>387</v>
      </c>
      <c r="O236" t="s">
        <v>397</v>
      </c>
      <c r="P236">
        <v>0</v>
      </c>
      <c r="Q236">
        <v>0</v>
      </c>
      <c r="R236">
        <v>0</v>
      </c>
      <c r="S236">
        <v>1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/>
      <c r="AP236"/>
      <c r="AQ236"/>
      <c r="AR236"/>
      <c r="AS236"/>
      <c r="AT236"/>
      <c r="AU236"/>
    </row>
    <row r="237" spans="1:47" s="2" customFormat="1" x14ac:dyDescent="0.3">
      <c r="A237" t="s">
        <v>129</v>
      </c>
      <c r="B237" s="3">
        <v>2016</v>
      </c>
      <c r="C237" s="3">
        <v>2378.17236328125</v>
      </c>
      <c r="D237" s="3">
        <v>15809.3515625</v>
      </c>
      <c r="E237" s="3">
        <v>0.19657501578330999</v>
      </c>
      <c r="F237" s="3"/>
      <c r="G237" s="3"/>
      <c r="H237" s="3">
        <v>3.1392928212881102E-2</v>
      </c>
      <c r="I237" s="3">
        <v>444.45421129725401</v>
      </c>
      <c r="J237" s="3"/>
      <c r="K237" s="3"/>
      <c r="L237" s="3">
        <f t="shared" si="3"/>
        <v>2</v>
      </c>
      <c r="M237">
        <f>VLOOKUP(A237,Sheet2!$B$2:$E$186,2,FALSE)</f>
        <v>40</v>
      </c>
      <c r="N237" t="s">
        <v>387</v>
      </c>
      <c r="O237" t="s">
        <v>397</v>
      </c>
      <c r="P237">
        <v>0</v>
      </c>
      <c r="Q237">
        <v>0</v>
      </c>
      <c r="R237">
        <v>0</v>
      </c>
      <c r="S237">
        <v>1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/>
      <c r="AP237"/>
      <c r="AQ237"/>
      <c r="AR237"/>
      <c r="AS237"/>
      <c r="AT237"/>
      <c r="AU237"/>
    </row>
    <row r="238" spans="1:47" s="2" customFormat="1" x14ac:dyDescent="0.3">
      <c r="A238" t="s">
        <v>129</v>
      </c>
      <c r="B238" s="3">
        <v>2017</v>
      </c>
      <c r="C238" s="3">
        <v>2511.25927734375</v>
      </c>
      <c r="D238" s="3">
        <v>15886.53125</v>
      </c>
      <c r="E238" s="3">
        <v>0.20854312181472801</v>
      </c>
      <c r="F238" s="3"/>
      <c r="G238" s="3"/>
      <c r="H238" s="3">
        <v>3.1153043732047098E-2</v>
      </c>
      <c r="I238" s="3">
        <v>435.49256219088898</v>
      </c>
      <c r="J238" s="3"/>
      <c r="K238" s="3"/>
      <c r="L238" s="3">
        <f t="shared" si="3"/>
        <v>3</v>
      </c>
      <c r="M238">
        <f>VLOOKUP(A238,Sheet2!$B$2:$E$186,2,FALSE)</f>
        <v>40</v>
      </c>
      <c r="N238" t="s">
        <v>387</v>
      </c>
      <c r="O238" t="s">
        <v>397</v>
      </c>
      <c r="P238">
        <v>0</v>
      </c>
      <c r="Q238">
        <v>0</v>
      </c>
      <c r="R238">
        <v>0</v>
      </c>
      <c r="S238">
        <v>1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/>
      <c r="AP238"/>
      <c r="AQ238"/>
      <c r="AR238"/>
      <c r="AS238"/>
      <c r="AT238"/>
      <c r="AU238"/>
    </row>
    <row r="239" spans="1:47" s="2" customFormat="1" x14ac:dyDescent="0.3">
      <c r="A239" t="s">
        <v>129</v>
      </c>
      <c r="B239" s="3">
        <v>2018</v>
      </c>
      <c r="C239" s="3">
        <v>2613.20678710938</v>
      </c>
      <c r="D239" s="3">
        <v>16092.623046875</v>
      </c>
      <c r="E239" s="3">
        <v>0.22082537412643399</v>
      </c>
      <c r="F239" s="3"/>
      <c r="G239" s="3"/>
      <c r="H239" s="3">
        <v>3.1449183821678203E-2</v>
      </c>
      <c r="I239" s="3">
        <v>416.58484379867599</v>
      </c>
      <c r="J239" s="3"/>
      <c r="K239" s="3"/>
      <c r="L239" s="3">
        <f t="shared" si="3"/>
        <v>4</v>
      </c>
      <c r="M239">
        <f>VLOOKUP(A239,Sheet2!$B$2:$E$186,2,FALSE)</f>
        <v>40</v>
      </c>
      <c r="N239" t="s">
        <v>387</v>
      </c>
      <c r="O239" t="s">
        <v>397</v>
      </c>
      <c r="P239">
        <v>0</v>
      </c>
      <c r="Q239">
        <v>0</v>
      </c>
      <c r="R239">
        <v>0</v>
      </c>
      <c r="S239">
        <v>1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/>
      <c r="AP239"/>
      <c r="AQ239"/>
      <c r="AR239"/>
      <c r="AS239"/>
      <c r="AT239"/>
      <c r="AU239"/>
    </row>
    <row r="240" spans="1:47" s="2" customFormat="1" x14ac:dyDescent="0.3">
      <c r="A240" t="s">
        <v>129</v>
      </c>
      <c r="B240" s="3">
        <v>2019</v>
      </c>
      <c r="C240" s="3">
        <v>2708.03393554688</v>
      </c>
      <c r="D240" s="3">
        <v>16215.90234375</v>
      </c>
      <c r="E240" s="3">
        <v>0.233443468809128</v>
      </c>
      <c r="F240" s="3"/>
      <c r="G240" s="3"/>
      <c r="H240" s="3">
        <v>3.1664311885833699E-2</v>
      </c>
      <c r="I240" s="3">
        <v>439.46311031787502</v>
      </c>
      <c r="J240" s="3"/>
      <c r="K240" s="3"/>
      <c r="L240" s="3">
        <f t="shared" si="3"/>
        <v>5</v>
      </c>
      <c r="M240">
        <f>VLOOKUP(A240,Sheet2!$B$2:$E$186,2,FALSE)</f>
        <v>40</v>
      </c>
      <c r="N240" t="s">
        <v>387</v>
      </c>
      <c r="O240" t="s">
        <v>397</v>
      </c>
      <c r="P240">
        <v>0</v>
      </c>
      <c r="Q240">
        <v>0</v>
      </c>
      <c r="R240">
        <v>0</v>
      </c>
      <c r="S240">
        <v>1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1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/>
      <c r="AP240"/>
      <c r="AQ240"/>
      <c r="AR240"/>
      <c r="AS240"/>
      <c r="AT240"/>
      <c r="AU240"/>
    </row>
    <row r="241" spans="1:47" s="2" customFormat="1" x14ac:dyDescent="0.3">
      <c r="A241" t="s">
        <v>129</v>
      </c>
      <c r="B241" s="3">
        <v>2020</v>
      </c>
      <c r="C241" s="3">
        <v>2816.49926757813</v>
      </c>
      <c r="D241" s="3">
        <v>16248.6162109375</v>
      </c>
      <c r="E241" s="3">
        <v>0.246562495827675</v>
      </c>
      <c r="F241" s="3"/>
      <c r="G241" s="3"/>
      <c r="H241" s="3">
        <v>3.1264696270227398E-2</v>
      </c>
      <c r="I241" s="3">
        <v>430.720912236792</v>
      </c>
      <c r="J241" s="3"/>
      <c r="K241" s="3"/>
      <c r="L241" s="3">
        <f t="shared" si="3"/>
        <v>6</v>
      </c>
      <c r="M241">
        <f>VLOOKUP(A241,Sheet2!$B$2:$E$186,2,FALSE)</f>
        <v>40</v>
      </c>
      <c r="N241" t="s">
        <v>387</v>
      </c>
      <c r="O241" t="s">
        <v>397</v>
      </c>
      <c r="P241">
        <v>0</v>
      </c>
      <c r="Q241">
        <v>0</v>
      </c>
      <c r="R241">
        <v>0</v>
      </c>
      <c r="S241">
        <v>1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/>
      <c r="AP241"/>
      <c r="AQ241"/>
      <c r="AR241"/>
      <c r="AS241"/>
      <c r="AT241"/>
      <c r="AU241"/>
    </row>
    <row r="242" spans="1:47" x14ac:dyDescent="0.3">
      <c r="A242" t="s">
        <v>131</v>
      </c>
      <c r="B242" s="3">
        <v>2015</v>
      </c>
      <c r="C242" s="3">
        <v>4130.6611328125</v>
      </c>
      <c r="D242" s="3">
        <v>18624.765625</v>
      </c>
      <c r="E242" s="3">
        <v>0.193183898925781</v>
      </c>
      <c r="F242" s="3">
        <v>0.86460757255554199</v>
      </c>
      <c r="G242" s="3">
        <v>9.9999997764825804E-3</v>
      </c>
      <c r="H242" s="3">
        <v>4.2277723550796502E-2</v>
      </c>
      <c r="I242" s="3">
        <v>99.385693542568504</v>
      </c>
      <c r="J242" s="3"/>
      <c r="K242" s="3"/>
      <c r="L242" s="3">
        <f t="shared" si="3"/>
        <v>1</v>
      </c>
      <c r="M242">
        <f>VLOOKUP(A242,Sheet2!$B$2:$E$186,2,FALSE)</f>
        <v>41</v>
      </c>
      <c r="N242" t="s">
        <v>387</v>
      </c>
      <c r="O242" t="s">
        <v>398</v>
      </c>
      <c r="P242">
        <v>0</v>
      </c>
      <c r="Q242">
        <v>0</v>
      </c>
      <c r="R242">
        <v>0</v>
      </c>
      <c r="S242">
        <v>1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1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</row>
    <row r="243" spans="1:47" x14ac:dyDescent="0.3">
      <c r="A243" t="s">
        <v>131</v>
      </c>
      <c r="B243" s="3">
        <v>2016</v>
      </c>
      <c r="C243" s="3">
        <v>4307.48291015625</v>
      </c>
      <c r="D243" s="3">
        <v>19170.6796875</v>
      </c>
      <c r="E243" s="3">
        <v>0.196319624781609</v>
      </c>
      <c r="F243" s="3">
        <v>0.880421161651611</v>
      </c>
      <c r="G243" s="3">
        <v>1.8767977133393302E-2</v>
      </c>
      <c r="H243" s="3">
        <v>4.1295882314443602E-2</v>
      </c>
      <c r="I243" s="3">
        <v>99.688113636363596</v>
      </c>
      <c r="J243" s="3"/>
      <c r="K243" s="3"/>
      <c r="L243" s="3">
        <f t="shared" si="3"/>
        <v>2</v>
      </c>
      <c r="M243">
        <f>VLOOKUP(A243,Sheet2!$B$2:$E$186,2,FALSE)</f>
        <v>41</v>
      </c>
      <c r="N243" t="s">
        <v>387</v>
      </c>
      <c r="O243" t="s">
        <v>398</v>
      </c>
      <c r="P243">
        <v>0</v>
      </c>
      <c r="Q243">
        <v>0</v>
      </c>
      <c r="R243">
        <v>0</v>
      </c>
      <c r="S243">
        <v>1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</row>
    <row r="244" spans="1:47" x14ac:dyDescent="0.3">
      <c r="A244" t="s">
        <v>131</v>
      </c>
      <c r="B244" s="3">
        <v>2017</v>
      </c>
      <c r="C244" s="3">
        <v>4503.52978515625</v>
      </c>
      <c r="D244" s="3">
        <v>19910.52734375</v>
      </c>
      <c r="E244" s="3">
        <v>0.19935026764869701</v>
      </c>
      <c r="F244" s="3">
        <v>0.91453731060028098</v>
      </c>
      <c r="G244" s="3">
        <v>1.94516014307737E-2</v>
      </c>
      <c r="H244" s="3">
        <v>4.06341552734375E-2</v>
      </c>
      <c r="I244" s="3">
        <v>97.806937771512096</v>
      </c>
      <c r="J244" s="3"/>
      <c r="K244" s="3"/>
      <c r="L244" s="3">
        <f t="shared" si="3"/>
        <v>3</v>
      </c>
      <c r="M244">
        <f>VLOOKUP(A244,Sheet2!$B$2:$E$186,2,FALSE)</f>
        <v>41</v>
      </c>
      <c r="N244" t="s">
        <v>387</v>
      </c>
      <c r="O244" t="s">
        <v>398</v>
      </c>
      <c r="P244">
        <v>0</v>
      </c>
      <c r="Q244">
        <v>0</v>
      </c>
      <c r="R244">
        <v>0</v>
      </c>
      <c r="S244">
        <v>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1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</row>
    <row r="245" spans="1:47" x14ac:dyDescent="0.3">
      <c r="A245" t="s">
        <v>131</v>
      </c>
      <c r="B245" s="3">
        <v>2018</v>
      </c>
      <c r="C245" s="3">
        <v>4670.47412109375</v>
      </c>
      <c r="D245" s="3">
        <v>20686.796875</v>
      </c>
      <c r="E245" s="3">
        <v>0.19036629796028101</v>
      </c>
      <c r="F245" s="3">
        <v>0.92980068922042902</v>
      </c>
      <c r="G245" s="3">
        <v>2.7415433898568198E-2</v>
      </c>
      <c r="H245" s="3">
        <v>3.9714954793453203E-2</v>
      </c>
      <c r="I245" s="3">
        <v>93.413578908527896</v>
      </c>
      <c r="J245" s="3"/>
      <c r="K245" s="3"/>
      <c r="L245" s="3">
        <f t="shared" si="3"/>
        <v>4</v>
      </c>
      <c r="M245">
        <f>VLOOKUP(A245,Sheet2!$B$2:$E$186,2,FALSE)</f>
        <v>41</v>
      </c>
      <c r="N245" t="s">
        <v>387</v>
      </c>
      <c r="O245" t="s">
        <v>398</v>
      </c>
      <c r="P245">
        <v>0</v>
      </c>
      <c r="Q245">
        <v>0</v>
      </c>
      <c r="R245">
        <v>0</v>
      </c>
      <c r="S245">
        <v>1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1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</row>
    <row r="246" spans="1:47" x14ac:dyDescent="0.3">
      <c r="A246" t="s">
        <v>131</v>
      </c>
      <c r="B246" s="3">
        <v>2019</v>
      </c>
      <c r="C246" s="3">
        <v>4994.970703125</v>
      </c>
      <c r="D246" s="3">
        <v>21395.5234375</v>
      </c>
      <c r="E246" s="3">
        <v>0.199944838881493</v>
      </c>
      <c r="F246" s="3">
        <v>0.949227035045624</v>
      </c>
      <c r="G246" s="3">
        <v>3.2878819853067398E-2</v>
      </c>
      <c r="H246" s="3">
        <v>3.8541384041309398E-2</v>
      </c>
      <c r="I246" s="3">
        <v>98.495178587897598</v>
      </c>
      <c r="J246" s="3"/>
      <c r="K246" s="3"/>
      <c r="L246" s="3">
        <f t="shared" si="3"/>
        <v>5</v>
      </c>
      <c r="M246">
        <f>VLOOKUP(A246,Sheet2!$B$2:$E$186,2,FALSE)</f>
        <v>41</v>
      </c>
      <c r="N246" t="s">
        <v>387</v>
      </c>
      <c r="O246" t="s">
        <v>398</v>
      </c>
      <c r="P246">
        <v>0</v>
      </c>
      <c r="Q246">
        <v>0</v>
      </c>
      <c r="R246">
        <v>0</v>
      </c>
      <c r="S246">
        <v>1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1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</row>
    <row r="247" spans="1:47" x14ac:dyDescent="0.3">
      <c r="A247" t="s">
        <v>131</v>
      </c>
      <c r="B247" s="3">
        <v>2020</v>
      </c>
      <c r="C247" s="3">
        <v>3955.7529296875</v>
      </c>
      <c r="D247" s="3">
        <v>22093.208984375</v>
      </c>
      <c r="E247" s="3">
        <v>0.18817263841629001</v>
      </c>
      <c r="F247" s="3">
        <v>0.97069948911666903</v>
      </c>
      <c r="G247" s="3">
        <v>2.3779310286045099E-2</v>
      </c>
      <c r="H247" s="3">
        <v>3.7732128053903601E-2</v>
      </c>
      <c r="I247" s="3">
        <v>96.795742786988498</v>
      </c>
      <c r="J247" s="3"/>
      <c r="K247" s="3"/>
      <c r="L247" s="3">
        <f t="shared" si="3"/>
        <v>6</v>
      </c>
      <c r="M247">
        <f>VLOOKUP(A247,Sheet2!$B$2:$E$186,2,FALSE)</f>
        <v>41</v>
      </c>
      <c r="N247" t="s">
        <v>387</v>
      </c>
      <c r="O247" t="s">
        <v>398</v>
      </c>
      <c r="P247">
        <v>0</v>
      </c>
      <c r="Q247">
        <v>0</v>
      </c>
      <c r="R247">
        <v>0</v>
      </c>
      <c r="S247">
        <v>1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1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</row>
    <row r="248" spans="1:47" x14ac:dyDescent="0.3">
      <c r="A248" t="s">
        <v>133</v>
      </c>
      <c r="B248" s="3">
        <v>2015</v>
      </c>
      <c r="C248" s="3">
        <v>102143.078125</v>
      </c>
      <c r="D248" s="3">
        <v>317543.59375</v>
      </c>
      <c r="E248" s="3">
        <v>2.10685110092163</v>
      </c>
      <c r="F248" s="3">
        <v>0.78799527883529696</v>
      </c>
      <c r="G248" s="3">
        <v>0.159429296851158</v>
      </c>
      <c r="H248" s="3">
        <v>4.95952665805817E-2</v>
      </c>
      <c r="I248" s="3">
        <v>534.56576996927799</v>
      </c>
      <c r="J248" s="3">
        <v>2.6216473579406698</v>
      </c>
      <c r="K248" s="3">
        <v>0.95867234468460105</v>
      </c>
      <c r="L248" s="3">
        <f t="shared" si="3"/>
        <v>1</v>
      </c>
      <c r="M248">
        <f>VLOOKUP(A248,Sheet2!$B$2:$E$186,2,FALSE)</f>
        <v>42</v>
      </c>
      <c r="N248" t="s">
        <v>385</v>
      </c>
      <c r="O248" t="s">
        <v>401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1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</row>
    <row r="249" spans="1:47" x14ac:dyDescent="0.3">
      <c r="A249" t="s">
        <v>133</v>
      </c>
      <c r="B249" s="3">
        <v>2016</v>
      </c>
      <c r="C249" s="3">
        <v>106437.5078125</v>
      </c>
      <c r="D249" s="3">
        <v>334284.59375</v>
      </c>
      <c r="E249" s="3">
        <v>2.1461956501007098</v>
      </c>
      <c r="F249" s="3">
        <v>0.83135056495666504</v>
      </c>
      <c r="G249" s="3">
        <v>0.169059738516808</v>
      </c>
      <c r="H249" s="3">
        <v>4.9666438251733801E-2</v>
      </c>
      <c r="I249" s="3">
        <v>544.73936722901999</v>
      </c>
      <c r="J249" s="3">
        <v>2.6397402286529501</v>
      </c>
      <c r="K249" s="3">
        <v>0.94795948266982999</v>
      </c>
      <c r="L249" s="3">
        <f t="shared" si="3"/>
        <v>2</v>
      </c>
      <c r="M249">
        <f>VLOOKUP(A249,Sheet2!$B$2:$E$186,2,FALSE)</f>
        <v>42</v>
      </c>
      <c r="N249" t="s">
        <v>385</v>
      </c>
      <c r="O249" t="s">
        <v>401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1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</row>
    <row r="250" spans="1:47" x14ac:dyDescent="0.3">
      <c r="A250" t="s">
        <v>133</v>
      </c>
      <c r="B250" s="3">
        <v>2017</v>
      </c>
      <c r="C250" s="3">
        <v>110862.859375</v>
      </c>
      <c r="D250" s="3">
        <v>350167.40625</v>
      </c>
      <c r="E250" s="3">
        <v>2.1925356388092001</v>
      </c>
      <c r="F250" s="3">
        <v>0.87199598550796498</v>
      </c>
      <c r="G250" s="3">
        <v>0.18507429957389801</v>
      </c>
      <c r="H250" s="3">
        <v>4.9921728670597097E-2</v>
      </c>
      <c r="I250" s="3">
        <v>567.51309030977995</v>
      </c>
      <c r="J250" s="3">
        <v>2.65795803070068</v>
      </c>
      <c r="K250" s="3">
        <v>0.954842329025269</v>
      </c>
      <c r="L250" s="3">
        <f t="shared" si="3"/>
        <v>3</v>
      </c>
      <c r="M250">
        <f>VLOOKUP(A250,Sheet2!$B$2:$E$186,2,FALSE)</f>
        <v>42</v>
      </c>
      <c r="N250" t="s">
        <v>385</v>
      </c>
      <c r="O250" t="s">
        <v>401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1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</row>
    <row r="251" spans="1:47" x14ac:dyDescent="0.3">
      <c r="A251" t="s">
        <v>133</v>
      </c>
      <c r="B251" s="3">
        <v>2018</v>
      </c>
      <c r="C251" s="3">
        <v>113762.9296875</v>
      </c>
      <c r="D251" s="3">
        <v>365779.0625</v>
      </c>
      <c r="E251" s="3">
        <v>2.1961886882782</v>
      </c>
      <c r="F251" s="3">
        <v>0.91097521781921398</v>
      </c>
      <c r="G251" s="3">
        <v>0.175174295902252</v>
      </c>
      <c r="H251" s="3">
        <v>4.9928050488233601E-2</v>
      </c>
      <c r="I251" s="3">
        <v>576.97250124807999</v>
      </c>
      <c r="J251" s="3">
        <v>2.67630171775818</v>
      </c>
      <c r="K251" s="3">
        <v>0.96403139829635598</v>
      </c>
      <c r="L251" s="3">
        <f t="shared" si="3"/>
        <v>4</v>
      </c>
      <c r="M251">
        <f>VLOOKUP(A251,Sheet2!$B$2:$E$186,2,FALSE)</f>
        <v>42</v>
      </c>
      <c r="N251" t="s">
        <v>385</v>
      </c>
      <c r="O251" t="s">
        <v>401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1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</row>
    <row r="252" spans="1:47" x14ac:dyDescent="0.3">
      <c r="A252" t="s">
        <v>133</v>
      </c>
      <c r="B252" s="3">
        <v>2019</v>
      </c>
      <c r="C252" s="3">
        <v>116513.15625</v>
      </c>
      <c r="D252" s="3">
        <v>377905.40625</v>
      </c>
      <c r="E252" s="3">
        <v>2.2546761035919198</v>
      </c>
      <c r="F252" s="3">
        <v>0.94077175855636597</v>
      </c>
      <c r="G252" s="3">
        <v>0.17222099006176</v>
      </c>
      <c r="H252" s="3">
        <v>4.9768246710300397E-2</v>
      </c>
      <c r="I252" s="3">
        <v>587.29459568612401</v>
      </c>
      <c r="J252" s="3">
        <v>2.6947717666625999</v>
      </c>
      <c r="K252" s="3">
        <v>0.94974416494369496</v>
      </c>
      <c r="L252" s="3">
        <f t="shared" si="3"/>
        <v>5</v>
      </c>
      <c r="M252">
        <f>VLOOKUP(A252,Sheet2!$B$2:$E$186,2,FALSE)</f>
        <v>42</v>
      </c>
      <c r="N252" t="s">
        <v>385</v>
      </c>
      <c r="O252" t="s">
        <v>401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1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</row>
    <row r="253" spans="1:47" x14ac:dyDescent="0.3">
      <c r="A253" t="s">
        <v>133</v>
      </c>
      <c r="B253" s="3">
        <v>2020</v>
      </c>
      <c r="C253" s="3">
        <v>111534.140625</v>
      </c>
      <c r="D253" s="3">
        <v>388582.1875</v>
      </c>
      <c r="E253" s="3">
        <v>2.0194475650787398</v>
      </c>
      <c r="F253" s="3">
        <v>0.96565473079681396</v>
      </c>
      <c r="G253" s="3">
        <v>0.15855698287486999</v>
      </c>
      <c r="H253" s="3">
        <v>4.9441773444414097E-2</v>
      </c>
      <c r="I253" s="3">
        <v>584.90085496230404</v>
      </c>
      <c r="J253" s="3">
        <v>2.7133693695068399</v>
      </c>
      <c r="K253" s="3">
        <v>0.98453909158706698</v>
      </c>
      <c r="L253" s="3">
        <f t="shared" si="3"/>
        <v>6</v>
      </c>
      <c r="M253">
        <f>VLOOKUP(A253,Sheet2!$B$2:$E$186,2,FALSE)</f>
        <v>42</v>
      </c>
      <c r="N253" t="s">
        <v>385</v>
      </c>
      <c r="O253" t="s">
        <v>401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1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</row>
    <row r="254" spans="1:47" s="2" customFormat="1" x14ac:dyDescent="0.3">
      <c r="A254" t="s">
        <v>135</v>
      </c>
      <c r="B254" s="3">
        <v>2015</v>
      </c>
      <c r="C254" s="3">
        <v>4708.6611328125</v>
      </c>
      <c r="D254" s="3"/>
      <c r="E254" s="3">
        <v>6.1822999268770197E-2</v>
      </c>
      <c r="F254" s="3"/>
      <c r="G254" s="3"/>
      <c r="H254" s="3"/>
      <c r="I254" s="3">
        <v>1.79</v>
      </c>
      <c r="J254" s="3"/>
      <c r="K254" s="3"/>
      <c r="L254" s="3">
        <f t="shared" si="3"/>
        <v>1</v>
      </c>
      <c r="M254">
        <f>VLOOKUP(A254,Sheet2!$B$2:$E$186,2,FALSE)</f>
        <v>43</v>
      </c>
      <c r="N254" t="s">
        <v>385</v>
      </c>
      <c r="O254" t="s">
        <v>386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/>
      <c r="AP254"/>
      <c r="AQ254"/>
      <c r="AR254"/>
      <c r="AS254"/>
      <c r="AT254"/>
      <c r="AU254"/>
    </row>
    <row r="255" spans="1:47" s="2" customFormat="1" x14ac:dyDescent="0.3">
      <c r="A255" t="s">
        <v>135</v>
      </c>
      <c r="B255" s="3">
        <v>2016</v>
      </c>
      <c r="C255" s="3">
        <v>4658.38623046875</v>
      </c>
      <c r="D255" s="3"/>
      <c r="E255" s="3">
        <v>6.0209527611732497E-2</v>
      </c>
      <c r="F255" s="3"/>
      <c r="G255" s="3"/>
      <c r="H255" s="3"/>
      <c r="I255" s="3">
        <v>1.79</v>
      </c>
      <c r="J255" s="3"/>
      <c r="K255" s="3"/>
      <c r="L255" s="3">
        <f t="shared" si="3"/>
        <v>2</v>
      </c>
      <c r="M255">
        <f>VLOOKUP(A255,Sheet2!$B$2:$E$186,2,FALSE)</f>
        <v>43</v>
      </c>
      <c r="N255" t="s">
        <v>385</v>
      </c>
      <c r="O255" t="s">
        <v>386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/>
      <c r="AP255"/>
      <c r="AQ255"/>
      <c r="AR255"/>
      <c r="AS255"/>
      <c r="AT255"/>
      <c r="AU255"/>
    </row>
    <row r="256" spans="1:47" s="2" customFormat="1" x14ac:dyDescent="0.3">
      <c r="A256" t="s">
        <v>135</v>
      </c>
      <c r="B256" s="3">
        <v>2017</v>
      </c>
      <c r="C256" s="3">
        <v>4598.935546875</v>
      </c>
      <c r="D256" s="3"/>
      <c r="E256" s="3">
        <v>5.8416347950696897E-2</v>
      </c>
      <c r="F256" s="3"/>
      <c r="G256" s="3"/>
      <c r="H256" s="3"/>
      <c r="I256" s="3">
        <v>1.79</v>
      </c>
      <c r="J256" s="3"/>
      <c r="K256" s="3"/>
      <c r="L256" s="3">
        <f t="shared" si="3"/>
        <v>3</v>
      </c>
      <c r="M256">
        <f>VLOOKUP(A256,Sheet2!$B$2:$E$186,2,FALSE)</f>
        <v>43</v>
      </c>
      <c r="N256" t="s">
        <v>385</v>
      </c>
      <c r="O256" t="s">
        <v>386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/>
      <c r="AP256"/>
      <c r="AQ256"/>
      <c r="AR256"/>
      <c r="AS256"/>
      <c r="AT256"/>
      <c r="AU256"/>
    </row>
    <row r="257" spans="1:47" s="2" customFormat="1" x14ac:dyDescent="0.3">
      <c r="A257" t="s">
        <v>135</v>
      </c>
      <c r="B257" s="3">
        <v>2018</v>
      </c>
      <c r="C257" s="3">
        <v>4502.1689453125</v>
      </c>
      <c r="D257" s="3"/>
      <c r="E257" s="3">
        <v>6.0730002820491798E-2</v>
      </c>
      <c r="F257" s="3"/>
      <c r="G257" s="3"/>
      <c r="H257" s="3"/>
      <c r="I257" s="3">
        <v>1.79</v>
      </c>
      <c r="J257" s="3"/>
      <c r="K257" s="3"/>
      <c r="L257" s="3">
        <f t="shared" si="3"/>
        <v>4</v>
      </c>
      <c r="M257">
        <f>VLOOKUP(A257,Sheet2!$B$2:$E$186,2,FALSE)</f>
        <v>43</v>
      </c>
      <c r="N257" t="s">
        <v>385</v>
      </c>
      <c r="O257" t="s">
        <v>386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/>
      <c r="AP257"/>
      <c r="AQ257"/>
      <c r="AR257"/>
      <c r="AS257"/>
      <c r="AT257"/>
      <c r="AU257"/>
    </row>
    <row r="258" spans="1:47" s="2" customFormat="1" x14ac:dyDescent="0.3">
      <c r="A258" t="s">
        <v>135</v>
      </c>
      <c r="B258" s="3">
        <v>2019</v>
      </c>
      <c r="C258" s="3">
        <v>4357.82373046875</v>
      </c>
      <c r="D258" s="3"/>
      <c r="E258" s="3">
        <v>6.0918744653463398E-2</v>
      </c>
      <c r="F258" s="3"/>
      <c r="G258" s="3"/>
      <c r="H258" s="3"/>
      <c r="I258" s="3">
        <v>1.79</v>
      </c>
      <c r="J258" s="3"/>
      <c r="K258" s="3"/>
      <c r="L258" s="3">
        <f t="shared" si="3"/>
        <v>5</v>
      </c>
      <c r="M258">
        <f>VLOOKUP(A258,Sheet2!$B$2:$E$186,2,FALSE)</f>
        <v>43</v>
      </c>
      <c r="N258" t="s">
        <v>385</v>
      </c>
      <c r="O258" t="s">
        <v>386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/>
      <c r="AP258"/>
      <c r="AQ258"/>
      <c r="AR258"/>
      <c r="AS258"/>
      <c r="AT258"/>
      <c r="AU258"/>
    </row>
    <row r="259" spans="1:47" s="2" customFormat="1" x14ac:dyDescent="0.3">
      <c r="A259" t="s">
        <v>135</v>
      </c>
      <c r="B259" s="3">
        <v>2020</v>
      </c>
      <c r="C259" s="3">
        <v>3554.3076171875</v>
      </c>
      <c r="D259" s="3"/>
      <c r="E259" s="3">
        <v>5.7050004601478597E-2</v>
      </c>
      <c r="F259" s="3"/>
      <c r="G259" s="3"/>
      <c r="H259" s="3"/>
      <c r="I259" s="3">
        <v>1.79</v>
      </c>
      <c r="J259" s="3"/>
      <c r="K259" s="3"/>
      <c r="L259" s="3">
        <f t="shared" ref="L259:L322" si="4">B259-2014</f>
        <v>6</v>
      </c>
      <c r="M259">
        <f>VLOOKUP(A259,Sheet2!$B$2:$E$186,2,FALSE)</f>
        <v>43</v>
      </c>
      <c r="N259" t="s">
        <v>385</v>
      </c>
      <c r="O259" t="s">
        <v>386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/>
      <c r="AP259"/>
      <c r="AQ259"/>
      <c r="AR259"/>
      <c r="AS259"/>
      <c r="AT259"/>
      <c r="AU259"/>
    </row>
    <row r="260" spans="1:47" x14ac:dyDescent="0.3">
      <c r="A260" t="s">
        <v>137</v>
      </c>
      <c r="B260" s="3">
        <v>2015</v>
      </c>
      <c r="C260" s="3">
        <v>3947.58544921875</v>
      </c>
      <c r="D260" s="3">
        <v>16130.3173828125</v>
      </c>
      <c r="E260" s="3">
        <v>4.31856065988541E-2</v>
      </c>
      <c r="F260" s="3">
        <v>0.77470481395721402</v>
      </c>
      <c r="G260" s="3">
        <v>0.20317183434963201</v>
      </c>
      <c r="H260" s="3">
        <v>3.5045206546783503E-2</v>
      </c>
      <c r="I260" s="3">
        <v>0.83333000000000002</v>
      </c>
      <c r="J260" s="3"/>
      <c r="K260" s="3"/>
      <c r="L260" s="3">
        <f t="shared" si="4"/>
        <v>1</v>
      </c>
      <c r="M260">
        <f>VLOOKUP(A260,Sheet2!$B$2:$E$186,2,FALSE)</f>
        <v>44</v>
      </c>
      <c r="N260" t="s">
        <v>385</v>
      </c>
      <c r="O260" t="s">
        <v>386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</row>
    <row r="261" spans="1:47" x14ac:dyDescent="0.3">
      <c r="A261" t="s">
        <v>137</v>
      </c>
      <c r="B261" s="3">
        <v>2016</v>
      </c>
      <c r="C261" s="3">
        <v>4075.48608398438</v>
      </c>
      <c r="D261" s="3">
        <v>16642.337890625</v>
      </c>
      <c r="E261" s="3">
        <v>4.4207062572240802E-2</v>
      </c>
      <c r="F261" s="3">
        <v>0.80015933513641402</v>
      </c>
      <c r="G261" s="3">
        <v>0.21118965744972201</v>
      </c>
      <c r="H261" s="3">
        <v>3.5343144088983501E-2</v>
      </c>
      <c r="I261" s="3">
        <v>0.83333000000000002</v>
      </c>
      <c r="J261" s="3"/>
      <c r="K261" s="3"/>
      <c r="L261" s="3">
        <f t="shared" si="4"/>
        <v>2</v>
      </c>
      <c r="M261">
        <f>VLOOKUP(A261,Sheet2!$B$2:$E$186,2,FALSE)</f>
        <v>44</v>
      </c>
      <c r="N261" t="s">
        <v>385</v>
      </c>
      <c r="O261" t="s">
        <v>386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</row>
    <row r="262" spans="1:47" x14ac:dyDescent="0.3">
      <c r="A262" t="s">
        <v>137</v>
      </c>
      <c r="B262" s="3">
        <v>2017</v>
      </c>
      <c r="C262" s="3">
        <v>4205.25146484375</v>
      </c>
      <c r="D262" s="3">
        <v>17190.3359375</v>
      </c>
      <c r="E262" s="3">
        <v>4.5212402939796503E-2</v>
      </c>
      <c r="F262" s="3">
        <v>0.82722723484039296</v>
      </c>
      <c r="G262" s="3">
        <v>0.21276673674583399</v>
      </c>
      <c r="H262" s="3">
        <v>3.56789752840996E-2</v>
      </c>
      <c r="I262" s="3">
        <v>0.83333000000000002</v>
      </c>
      <c r="J262" s="3"/>
      <c r="K262" s="3"/>
      <c r="L262" s="3">
        <f t="shared" si="4"/>
        <v>3</v>
      </c>
      <c r="M262">
        <f>VLOOKUP(A262,Sheet2!$B$2:$E$186,2,FALSE)</f>
        <v>44</v>
      </c>
      <c r="N262" t="s">
        <v>385</v>
      </c>
      <c r="O262" t="s">
        <v>386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</row>
    <row r="263" spans="1:47" x14ac:dyDescent="0.3">
      <c r="A263" t="s">
        <v>137</v>
      </c>
      <c r="B263" s="3">
        <v>2018</v>
      </c>
      <c r="C263" s="3">
        <v>4384.7001953125</v>
      </c>
      <c r="D263" s="3">
        <v>17923.40625</v>
      </c>
      <c r="E263" s="3">
        <v>4.6197429299354602E-2</v>
      </c>
      <c r="F263" s="3">
        <v>0.86341637372970603</v>
      </c>
      <c r="G263" s="3">
        <v>0.21737626194953899</v>
      </c>
      <c r="H263" s="3">
        <v>3.5950183868408203E-2</v>
      </c>
      <c r="I263" s="3">
        <v>0.83333000000000002</v>
      </c>
      <c r="J263" s="3"/>
      <c r="K263" s="3"/>
      <c r="L263" s="3">
        <f t="shared" si="4"/>
        <v>4</v>
      </c>
      <c r="M263">
        <f>VLOOKUP(A263,Sheet2!$B$2:$E$186,2,FALSE)</f>
        <v>44</v>
      </c>
      <c r="N263" t="s">
        <v>385</v>
      </c>
      <c r="O263" t="s">
        <v>386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</row>
    <row r="264" spans="1:47" x14ac:dyDescent="0.3">
      <c r="A264" t="s">
        <v>137</v>
      </c>
      <c r="B264" s="3">
        <v>2019</v>
      </c>
      <c r="C264" s="3">
        <v>4556.38916015625</v>
      </c>
      <c r="D264" s="3">
        <v>18694.91796875</v>
      </c>
      <c r="E264" s="3">
        <v>4.7168441116809803E-2</v>
      </c>
      <c r="F264" s="3">
        <v>0.90160238742828402</v>
      </c>
      <c r="G264" s="3">
        <v>0.22027812898158999</v>
      </c>
      <c r="H264" s="3">
        <v>3.6151640117168399E-2</v>
      </c>
      <c r="I264" s="3">
        <v>0.83333000000000002</v>
      </c>
      <c r="J264" s="3"/>
      <c r="K264" s="3"/>
      <c r="L264" s="3">
        <f t="shared" si="4"/>
        <v>5</v>
      </c>
      <c r="M264">
        <f>VLOOKUP(A264,Sheet2!$B$2:$E$186,2,FALSE)</f>
        <v>44</v>
      </c>
      <c r="N264" t="s">
        <v>385</v>
      </c>
      <c r="O264" t="s">
        <v>386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</row>
    <row r="265" spans="1:47" x14ac:dyDescent="0.3">
      <c r="A265" t="s">
        <v>137</v>
      </c>
      <c r="B265" s="3">
        <v>2020</v>
      </c>
      <c r="C265" s="3">
        <v>4330.62890625</v>
      </c>
      <c r="D265" s="3">
        <v>19552.185546875</v>
      </c>
      <c r="E265" s="3">
        <v>4.8119138926267603E-2</v>
      </c>
      <c r="F265" s="3">
        <v>0.94634199142456099</v>
      </c>
      <c r="G265" s="3">
        <v>0.18240529298782401</v>
      </c>
      <c r="H265" s="3">
        <v>3.6627396941184998E-2</v>
      </c>
      <c r="I265" s="3">
        <v>0.83333000000000002</v>
      </c>
      <c r="J265" s="3"/>
      <c r="K265" s="3"/>
      <c r="L265" s="3">
        <f t="shared" si="4"/>
        <v>6</v>
      </c>
      <c r="M265">
        <f>VLOOKUP(A265,Sheet2!$B$2:$E$186,2,FALSE)</f>
        <v>44</v>
      </c>
      <c r="N265" t="s">
        <v>385</v>
      </c>
      <c r="O265" t="s">
        <v>386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</row>
    <row r="266" spans="1:47" x14ac:dyDescent="0.3">
      <c r="A266" t="s">
        <v>139</v>
      </c>
      <c r="B266" s="3">
        <v>2015</v>
      </c>
      <c r="C266" s="3">
        <v>23701.966796875</v>
      </c>
      <c r="D266" s="3">
        <v>199183.25</v>
      </c>
      <c r="E266" s="3">
        <v>0.31078040599822998</v>
      </c>
      <c r="F266" s="3">
        <v>0.85003823041915905</v>
      </c>
      <c r="G266" s="3">
        <v>8.2923278212547302E-2</v>
      </c>
      <c r="H266" s="3">
        <v>3.1481306999921799E-2</v>
      </c>
      <c r="I266" s="3">
        <v>0.90129642336709603</v>
      </c>
      <c r="J266" s="3">
        <v>2.8220369815826398</v>
      </c>
      <c r="K266" s="3">
        <v>0.91698455810546897</v>
      </c>
      <c r="L266" s="3">
        <f t="shared" si="4"/>
        <v>1</v>
      </c>
      <c r="M266">
        <f>VLOOKUP(A266,Sheet2!$B$2:$E$186,2,FALSE)</f>
        <v>45</v>
      </c>
      <c r="N266" t="s">
        <v>391</v>
      </c>
      <c r="O266" t="s">
        <v>392</v>
      </c>
      <c r="P266">
        <v>0</v>
      </c>
      <c r="Q266">
        <v>0</v>
      </c>
      <c r="R266">
        <v>1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1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</row>
    <row r="267" spans="1:47" x14ac:dyDescent="0.3">
      <c r="A267" t="s">
        <v>139</v>
      </c>
      <c r="B267" s="3">
        <v>2016</v>
      </c>
      <c r="C267" s="3">
        <v>25260.087890625</v>
      </c>
      <c r="D267" s="3">
        <v>202707.390625</v>
      </c>
      <c r="E267" s="3">
        <v>0.32448425889015198</v>
      </c>
      <c r="F267" s="3">
        <v>0.87781262397766102</v>
      </c>
      <c r="G267" s="3">
        <v>9.3682900071144104E-2</v>
      </c>
      <c r="H267" s="3">
        <v>3.2214049249887501E-2</v>
      </c>
      <c r="I267" s="3">
        <v>0.90342143625726301</v>
      </c>
      <c r="J267" s="3">
        <v>2.8424043655395499</v>
      </c>
      <c r="K267" s="3">
        <v>0.95034593343734697</v>
      </c>
      <c r="L267" s="3">
        <f t="shared" si="4"/>
        <v>2</v>
      </c>
      <c r="M267">
        <f>VLOOKUP(A267,Sheet2!$B$2:$E$186,2,FALSE)</f>
        <v>45</v>
      </c>
      <c r="N267" t="s">
        <v>391</v>
      </c>
      <c r="O267" t="s">
        <v>392</v>
      </c>
      <c r="P267">
        <v>0</v>
      </c>
      <c r="Q267">
        <v>0</v>
      </c>
      <c r="R267">
        <v>1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1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</row>
    <row r="268" spans="1:47" x14ac:dyDescent="0.3">
      <c r="A268" t="s">
        <v>139</v>
      </c>
      <c r="B268" s="3">
        <v>2017</v>
      </c>
      <c r="C268" s="3">
        <v>26712.701171875</v>
      </c>
      <c r="D268" s="3">
        <v>207813.0625</v>
      </c>
      <c r="E268" s="3">
        <v>0.34196648001670799</v>
      </c>
      <c r="F268" s="3">
        <v>0.91479641199111905</v>
      </c>
      <c r="G268" s="3">
        <v>9.3960113823413904E-2</v>
      </c>
      <c r="H268" s="3">
        <v>3.4024361521005603E-2</v>
      </c>
      <c r="I268" s="3">
        <v>0.88520550826937205</v>
      </c>
      <c r="J268" s="3">
        <v>2.8629183769226101</v>
      </c>
      <c r="K268" s="3">
        <v>0.97988581657409701</v>
      </c>
      <c r="L268" s="3">
        <f t="shared" si="4"/>
        <v>3</v>
      </c>
      <c r="M268">
        <f>VLOOKUP(A268,Sheet2!$B$2:$E$186,2,FALSE)</f>
        <v>45</v>
      </c>
      <c r="N268" t="s">
        <v>391</v>
      </c>
      <c r="O268" t="s">
        <v>392</v>
      </c>
      <c r="P268">
        <v>0</v>
      </c>
      <c r="Q268">
        <v>0</v>
      </c>
      <c r="R268">
        <v>1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1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</row>
    <row r="269" spans="1:47" x14ac:dyDescent="0.3">
      <c r="A269" t="s">
        <v>139</v>
      </c>
      <c r="B269" s="3">
        <v>2018</v>
      </c>
      <c r="C269" s="3">
        <v>28388.111328125</v>
      </c>
      <c r="D269" s="3">
        <v>211795.65625</v>
      </c>
      <c r="E269" s="3">
        <v>0.36238485574722301</v>
      </c>
      <c r="F269" s="3">
        <v>0.93447130918502797</v>
      </c>
      <c r="G269" s="3">
        <v>9.59978178143501E-2</v>
      </c>
      <c r="H269" s="3">
        <v>3.5095378756523098E-2</v>
      </c>
      <c r="I269" s="3">
        <v>0.84677266710811105</v>
      </c>
      <c r="J269" s="3">
        <v>2.8835806846618701</v>
      </c>
      <c r="K269" s="3">
        <v>0.97936272621154796</v>
      </c>
      <c r="L269" s="3">
        <f t="shared" si="4"/>
        <v>4</v>
      </c>
      <c r="M269">
        <f>VLOOKUP(A269,Sheet2!$B$2:$E$186,2,FALSE)</f>
        <v>45</v>
      </c>
      <c r="N269" t="s">
        <v>391</v>
      </c>
      <c r="O269" t="s">
        <v>392</v>
      </c>
      <c r="P269">
        <v>0</v>
      </c>
      <c r="Q269">
        <v>0</v>
      </c>
      <c r="R269">
        <v>1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1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</row>
    <row r="270" spans="1:47" x14ac:dyDescent="0.3">
      <c r="A270" t="s">
        <v>139</v>
      </c>
      <c r="B270" s="3">
        <v>2019</v>
      </c>
      <c r="C270" s="3">
        <v>30056.10546875</v>
      </c>
      <c r="D270" s="3">
        <v>216406.625</v>
      </c>
      <c r="E270" s="3">
        <v>0.37714776396751398</v>
      </c>
      <c r="F270" s="3">
        <v>0.95293956995010398</v>
      </c>
      <c r="G270" s="3">
        <v>9.73536372184753E-2</v>
      </c>
      <c r="H270" s="3">
        <v>3.5067960619926501E-2</v>
      </c>
      <c r="I270" s="3">
        <v>0.89327625706740899</v>
      </c>
      <c r="J270" s="3">
        <v>2.9043920040130602</v>
      </c>
      <c r="K270" s="3">
        <v>1.0046958923339799</v>
      </c>
      <c r="L270" s="3">
        <f t="shared" si="4"/>
        <v>5</v>
      </c>
      <c r="M270">
        <f>VLOOKUP(A270,Sheet2!$B$2:$E$186,2,FALSE)</f>
        <v>45</v>
      </c>
      <c r="N270" t="s">
        <v>391</v>
      </c>
      <c r="O270" t="s">
        <v>392</v>
      </c>
      <c r="P270">
        <v>0</v>
      </c>
      <c r="Q270">
        <v>0</v>
      </c>
      <c r="R270">
        <v>1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1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</row>
    <row r="271" spans="1:47" x14ac:dyDescent="0.3">
      <c r="A271" t="s">
        <v>139</v>
      </c>
      <c r="B271" s="3">
        <v>2020</v>
      </c>
      <c r="C271" s="3">
        <v>29088.005859375</v>
      </c>
      <c r="D271" s="3">
        <v>221711.25</v>
      </c>
      <c r="E271" s="3">
        <v>0.37664958834648099</v>
      </c>
      <c r="F271" s="3">
        <v>0.97580498456955</v>
      </c>
      <c r="G271" s="3">
        <v>8.9169427752494798E-2</v>
      </c>
      <c r="H271" s="3">
        <v>3.4889332950115197E-2</v>
      </c>
      <c r="I271" s="3">
        <v>0.87550639698799804</v>
      </c>
      <c r="J271" s="3">
        <v>2.92535352706909</v>
      </c>
      <c r="K271" s="3">
        <v>0.99890899658203103</v>
      </c>
      <c r="L271" s="3">
        <f t="shared" si="4"/>
        <v>6</v>
      </c>
      <c r="M271">
        <f>VLOOKUP(A271,Sheet2!$B$2:$E$186,2,FALSE)</f>
        <v>45</v>
      </c>
      <c r="N271" t="s">
        <v>391</v>
      </c>
      <c r="O271" t="s">
        <v>392</v>
      </c>
      <c r="P271">
        <v>0</v>
      </c>
      <c r="Q271">
        <v>0</v>
      </c>
      <c r="R271">
        <v>1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1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</row>
    <row r="272" spans="1:47" x14ac:dyDescent="0.3">
      <c r="A272" t="s">
        <v>140</v>
      </c>
      <c r="B272" s="3">
        <v>2015</v>
      </c>
      <c r="C272" s="3">
        <v>415984.53125</v>
      </c>
      <c r="D272" s="3">
        <v>2608011</v>
      </c>
      <c r="E272" s="3">
        <v>5.2101578712463397</v>
      </c>
      <c r="F272" s="3">
        <v>0.90135538578033503</v>
      </c>
      <c r="G272" s="3">
        <v>6.4974479377269703E-2</v>
      </c>
      <c r="H272" s="3">
        <v>4.72945794463158E-2</v>
      </c>
      <c r="I272" s="3">
        <v>24.598749999999999</v>
      </c>
      <c r="J272" s="3">
        <v>3.7107014656066899</v>
      </c>
      <c r="K272" s="3">
        <v>0.91234958171844505</v>
      </c>
      <c r="L272" s="3">
        <f t="shared" si="4"/>
        <v>1</v>
      </c>
      <c r="M272">
        <f>VLOOKUP(A272,Sheet2!$B$2:$E$186,2,FALSE)</f>
        <v>46</v>
      </c>
      <c r="N272" t="s">
        <v>389</v>
      </c>
      <c r="O272" t="s">
        <v>400</v>
      </c>
      <c r="P272">
        <v>0</v>
      </c>
      <c r="Q272">
        <v>1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</row>
    <row r="273" spans="1:40" x14ac:dyDescent="0.3">
      <c r="A273" t="s">
        <v>140</v>
      </c>
      <c r="B273" s="3">
        <v>2016</v>
      </c>
      <c r="C273" s="3">
        <v>426720.5625</v>
      </c>
      <c r="D273" s="3">
        <v>2623678.75</v>
      </c>
      <c r="E273" s="3">
        <v>5.2646598815918004</v>
      </c>
      <c r="F273" s="3">
        <v>0.91463166475295998</v>
      </c>
      <c r="G273" s="3">
        <v>6.5540537238121005E-2</v>
      </c>
      <c r="H273" s="3">
        <v>4.7932110726833302E-2</v>
      </c>
      <c r="I273" s="3">
        <v>24.439916666666701</v>
      </c>
      <c r="J273" s="3">
        <v>3.7295119762420699</v>
      </c>
      <c r="K273" s="3">
        <v>0.90384000539779696</v>
      </c>
      <c r="L273" s="3">
        <f t="shared" si="4"/>
        <v>2</v>
      </c>
      <c r="M273">
        <f>VLOOKUP(A273,Sheet2!$B$2:$E$186,2,FALSE)</f>
        <v>46</v>
      </c>
      <c r="N273" t="s">
        <v>389</v>
      </c>
      <c r="O273" t="s">
        <v>400</v>
      </c>
      <c r="P273">
        <v>0</v>
      </c>
      <c r="Q273">
        <v>1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</row>
    <row r="274" spans="1:40" x14ac:dyDescent="0.3">
      <c r="A274" t="s">
        <v>140</v>
      </c>
      <c r="B274" s="3">
        <v>2017</v>
      </c>
      <c r="C274" s="3">
        <v>448797.21875</v>
      </c>
      <c r="D274" s="3">
        <v>2641434.75</v>
      </c>
      <c r="E274" s="3">
        <v>5.3357954025268599</v>
      </c>
      <c r="F274" s="3">
        <v>0.92802089452743497</v>
      </c>
      <c r="G274" s="3">
        <v>6.7604862153530093E-2</v>
      </c>
      <c r="H274" s="3">
        <v>4.8475909978151301E-2</v>
      </c>
      <c r="I274" s="3">
        <v>23.376333333333299</v>
      </c>
      <c r="J274" s="3">
        <v>3.7430067062377899</v>
      </c>
      <c r="K274" s="3">
        <v>0.92630302906036399</v>
      </c>
      <c r="L274" s="3">
        <f t="shared" si="4"/>
        <v>3</v>
      </c>
      <c r="M274">
        <f>VLOOKUP(A274,Sheet2!$B$2:$E$186,2,FALSE)</f>
        <v>46</v>
      </c>
      <c r="N274" t="s">
        <v>389</v>
      </c>
      <c r="O274" t="s">
        <v>400</v>
      </c>
      <c r="P274">
        <v>0</v>
      </c>
      <c r="Q274">
        <v>1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</row>
    <row r="275" spans="1:40" x14ac:dyDescent="0.3">
      <c r="A275" t="s">
        <v>140</v>
      </c>
      <c r="B275" s="3">
        <v>2018</v>
      </c>
      <c r="C275" s="3">
        <v>461499.53125</v>
      </c>
      <c r="D275" s="3">
        <v>2669390.75</v>
      </c>
      <c r="E275" s="3">
        <v>5.3943204879760698</v>
      </c>
      <c r="F275" s="3">
        <v>0.94675904512405396</v>
      </c>
      <c r="G275" s="3">
        <v>6.4644664525985704E-2</v>
      </c>
      <c r="H275" s="3">
        <v>4.90959845483303E-2</v>
      </c>
      <c r="I275" s="3">
        <v>21.7299166666667</v>
      </c>
      <c r="J275" s="3">
        <v>3.7538373470306401</v>
      </c>
      <c r="K275" s="3">
        <v>0.94787138700485196</v>
      </c>
      <c r="L275" s="3">
        <f t="shared" si="4"/>
        <v>4</v>
      </c>
      <c r="M275">
        <f>VLOOKUP(A275,Sheet2!$B$2:$E$186,2,FALSE)</f>
        <v>46</v>
      </c>
      <c r="N275" t="s">
        <v>389</v>
      </c>
      <c r="O275" t="s">
        <v>400</v>
      </c>
      <c r="P275">
        <v>0</v>
      </c>
      <c r="Q275">
        <v>1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</row>
    <row r="276" spans="1:40" x14ac:dyDescent="0.3">
      <c r="A276" t="s">
        <v>140</v>
      </c>
      <c r="B276" s="3">
        <v>2019</v>
      </c>
      <c r="C276" s="3">
        <v>477955.59375</v>
      </c>
      <c r="D276" s="3">
        <v>2705569</v>
      </c>
      <c r="E276" s="3">
        <v>5.38132619857788</v>
      </c>
      <c r="F276" s="3">
        <v>0.96847057342529297</v>
      </c>
      <c r="G276" s="3">
        <v>6.6920146346092196E-2</v>
      </c>
      <c r="H276" s="3">
        <v>4.98383194208145E-2</v>
      </c>
      <c r="I276" s="3">
        <v>22.93225</v>
      </c>
      <c r="J276" s="3">
        <v>3.76469922065735</v>
      </c>
      <c r="K276" s="3">
        <v>0.972450852394104</v>
      </c>
      <c r="L276" s="3">
        <f t="shared" si="4"/>
        <v>5</v>
      </c>
      <c r="M276">
        <f>VLOOKUP(A276,Sheet2!$B$2:$E$186,2,FALSE)</f>
        <v>46</v>
      </c>
      <c r="N276" t="s">
        <v>389</v>
      </c>
      <c r="O276" t="s">
        <v>400</v>
      </c>
      <c r="P276">
        <v>0</v>
      </c>
      <c r="Q276">
        <v>1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</row>
    <row r="277" spans="1:40" x14ac:dyDescent="0.3">
      <c r="A277" t="s">
        <v>140</v>
      </c>
      <c r="B277" s="3">
        <v>2020</v>
      </c>
      <c r="C277" s="3">
        <v>452600.65625</v>
      </c>
      <c r="D277" s="3">
        <v>2730506.25</v>
      </c>
      <c r="E277" s="3">
        <v>5.27822017669678</v>
      </c>
      <c r="F277" s="3">
        <v>0.97874605655670199</v>
      </c>
      <c r="G277" s="3">
        <v>5.9711765497922897E-2</v>
      </c>
      <c r="H277" s="3">
        <v>5.0287213176488897E-2</v>
      </c>
      <c r="I277" s="3">
        <v>23.210249999999998</v>
      </c>
      <c r="J277" s="3">
        <v>3.7691843509674099</v>
      </c>
      <c r="K277" s="3">
        <v>0.96028655767440796</v>
      </c>
      <c r="L277" s="3">
        <f t="shared" si="4"/>
        <v>6</v>
      </c>
      <c r="M277">
        <f>VLOOKUP(A277,Sheet2!$B$2:$E$186,2,FALSE)</f>
        <v>46</v>
      </c>
      <c r="N277" t="s">
        <v>389</v>
      </c>
      <c r="O277" t="s">
        <v>400</v>
      </c>
      <c r="P277">
        <v>0</v>
      </c>
      <c r="Q277">
        <v>1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</row>
    <row r="278" spans="1:40" x14ac:dyDescent="0.3">
      <c r="A278" t="s">
        <v>142</v>
      </c>
      <c r="B278" s="3">
        <v>2015</v>
      </c>
      <c r="C278" s="3">
        <v>4727565</v>
      </c>
      <c r="D278" s="3">
        <v>18885398</v>
      </c>
      <c r="E278" s="3">
        <v>43.349807739257798</v>
      </c>
      <c r="F278" s="3">
        <v>0.90735679864883401</v>
      </c>
      <c r="G278" s="3">
        <v>5.6388646364212001E-2</v>
      </c>
      <c r="H278" s="3">
        <v>3.5701252520084402E-2</v>
      </c>
      <c r="I278" s="3">
        <v>0.90129642336709603</v>
      </c>
      <c r="J278" s="3">
        <v>3.6655640602111799</v>
      </c>
      <c r="K278" s="3">
        <v>0.95337653160095204</v>
      </c>
      <c r="L278" s="3">
        <f t="shared" si="4"/>
        <v>1</v>
      </c>
      <c r="M278">
        <f>VLOOKUP(A278,Sheet2!$B$2:$E$186,2,FALSE)</f>
        <v>47</v>
      </c>
      <c r="N278" t="s">
        <v>389</v>
      </c>
      <c r="O278" t="s">
        <v>396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1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</row>
    <row r="279" spans="1:40" x14ac:dyDescent="0.3">
      <c r="A279" t="s">
        <v>142</v>
      </c>
      <c r="B279" s="3">
        <v>2016</v>
      </c>
      <c r="C279" s="3">
        <v>4836048.5</v>
      </c>
      <c r="D279" s="3">
        <v>19145834</v>
      </c>
      <c r="E279" s="3">
        <v>43.910743713378899</v>
      </c>
      <c r="F279" s="3">
        <v>0.92262703180313099</v>
      </c>
      <c r="G279" s="3">
        <v>5.7170432060956997E-2</v>
      </c>
      <c r="H279" s="3">
        <v>3.5886347293853801E-2</v>
      </c>
      <c r="I279" s="3">
        <v>0.90342143625726301</v>
      </c>
      <c r="J279" s="3">
        <v>3.6680150032043501</v>
      </c>
      <c r="K279" s="3">
        <v>0.97001045942306496</v>
      </c>
      <c r="L279" s="3">
        <f t="shared" si="4"/>
        <v>2</v>
      </c>
      <c r="M279">
        <f>VLOOKUP(A279,Sheet2!$B$2:$E$186,2,FALSE)</f>
        <v>47</v>
      </c>
      <c r="N279" t="s">
        <v>389</v>
      </c>
      <c r="O279" t="s">
        <v>396</v>
      </c>
      <c r="P279">
        <v>0</v>
      </c>
      <c r="Q279">
        <v>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1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</row>
    <row r="280" spans="1:40" x14ac:dyDescent="0.3">
      <c r="A280" t="s">
        <v>142</v>
      </c>
      <c r="B280" s="3">
        <v>2017</v>
      </c>
      <c r="C280" s="3">
        <v>4967397.5</v>
      </c>
      <c r="D280" s="3">
        <v>19417412</v>
      </c>
      <c r="E280" s="3">
        <v>44.536266326904297</v>
      </c>
      <c r="F280" s="3">
        <v>0.93931609392166104</v>
      </c>
      <c r="G280" s="3">
        <v>5.6545186787843697E-2</v>
      </c>
      <c r="H280" s="3">
        <v>3.6102369427680997E-2</v>
      </c>
      <c r="I280" s="3">
        <v>0.88520550826937205</v>
      </c>
      <c r="J280" s="3">
        <v>3.6704676151275599</v>
      </c>
      <c r="K280" s="3">
        <v>0.98272913694381703</v>
      </c>
      <c r="L280" s="3">
        <f t="shared" si="4"/>
        <v>3</v>
      </c>
      <c r="M280">
        <f>VLOOKUP(A280,Sheet2!$B$2:$E$186,2,FALSE)</f>
        <v>47</v>
      </c>
      <c r="N280" t="s">
        <v>389</v>
      </c>
      <c r="O280" t="s">
        <v>396</v>
      </c>
      <c r="P280">
        <v>0</v>
      </c>
      <c r="Q280">
        <v>1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1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</row>
    <row r="281" spans="1:40" x14ac:dyDescent="0.3">
      <c r="A281" t="s">
        <v>142</v>
      </c>
      <c r="B281" s="3">
        <v>2018</v>
      </c>
      <c r="C281" s="3">
        <v>5022855</v>
      </c>
      <c r="D281" s="3">
        <v>19707832</v>
      </c>
      <c r="E281" s="3">
        <v>45.135204315185597</v>
      </c>
      <c r="F281" s="3">
        <v>0.95774209499359098</v>
      </c>
      <c r="G281" s="3">
        <v>5.2224624902009999E-2</v>
      </c>
      <c r="H281" s="3">
        <v>3.6374822258949301E-2</v>
      </c>
      <c r="I281" s="3">
        <v>0.84677266710811105</v>
      </c>
      <c r="J281" s="3">
        <v>3.6729221343994101</v>
      </c>
      <c r="K281" s="3">
        <v>0.98957276344299305</v>
      </c>
      <c r="L281" s="3">
        <f t="shared" si="4"/>
        <v>4</v>
      </c>
      <c r="M281">
        <f>VLOOKUP(A281,Sheet2!$B$2:$E$186,2,FALSE)</f>
        <v>47</v>
      </c>
      <c r="N281" t="s">
        <v>389</v>
      </c>
      <c r="O281" t="s">
        <v>396</v>
      </c>
      <c r="P281">
        <v>0</v>
      </c>
      <c r="Q281">
        <v>1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1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</row>
    <row r="282" spans="1:40" x14ac:dyDescent="0.3">
      <c r="A282" t="s">
        <v>142</v>
      </c>
      <c r="B282" s="3">
        <v>2019</v>
      </c>
      <c r="C282" s="3">
        <v>5072476</v>
      </c>
      <c r="D282" s="3">
        <v>20002264</v>
      </c>
      <c r="E282" s="3">
        <v>45.552009582519503</v>
      </c>
      <c r="F282" s="3">
        <v>0.97568809986114502</v>
      </c>
      <c r="G282" s="3">
        <v>4.8156775534152998E-2</v>
      </c>
      <c r="H282" s="3">
        <v>3.6637984216213199E-2</v>
      </c>
      <c r="I282" s="3">
        <v>0.89327625706740899</v>
      </c>
      <c r="J282" s="3">
        <v>3.6753778457641602</v>
      </c>
      <c r="K282" s="3">
        <v>0.99615597724914595</v>
      </c>
      <c r="L282" s="3">
        <f t="shared" si="4"/>
        <v>5</v>
      </c>
      <c r="M282">
        <f>VLOOKUP(A282,Sheet2!$B$2:$E$186,2,FALSE)</f>
        <v>47</v>
      </c>
      <c r="N282" t="s">
        <v>389</v>
      </c>
      <c r="O282" t="s">
        <v>396</v>
      </c>
      <c r="P282">
        <v>0</v>
      </c>
      <c r="Q282">
        <v>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1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</row>
    <row r="283" spans="1:40" x14ac:dyDescent="0.3">
      <c r="A283" t="s">
        <v>142</v>
      </c>
      <c r="B283" s="3">
        <v>2020</v>
      </c>
      <c r="C283" s="3">
        <v>4864751</v>
      </c>
      <c r="D283" s="3">
        <v>20254192</v>
      </c>
      <c r="E283" s="3">
        <v>45.225753784179702</v>
      </c>
      <c r="F283" s="3">
        <v>0.98770552873611495</v>
      </c>
      <c r="G283" s="3">
        <v>4.3165232986211798E-2</v>
      </c>
      <c r="H283" s="3">
        <v>3.6726564168930102E-2</v>
      </c>
      <c r="I283" s="3">
        <v>0.87550639698799804</v>
      </c>
      <c r="J283" s="3">
        <v>3.6778357028961199</v>
      </c>
      <c r="K283" s="3">
        <v>0.99213141202926602</v>
      </c>
      <c r="L283" s="3">
        <f t="shared" si="4"/>
        <v>6</v>
      </c>
      <c r="M283">
        <f>VLOOKUP(A283,Sheet2!$B$2:$E$186,2,FALSE)</f>
        <v>47</v>
      </c>
      <c r="N283" t="s">
        <v>389</v>
      </c>
      <c r="O283" t="s">
        <v>396</v>
      </c>
      <c r="P283">
        <v>0</v>
      </c>
      <c r="Q283">
        <v>1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1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</row>
    <row r="284" spans="1:40" x14ac:dyDescent="0.3">
      <c r="A284" t="s">
        <v>143</v>
      </c>
      <c r="B284" s="3">
        <v>2015</v>
      </c>
      <c r="C284" s="3">
        <v>5032.1337890625</v>
      </c>
      <c r="D284" s="3">
        <v>13726.6396484375</v>
      </c>
      <c r="E284" s="3">
        <v>0.16181407868862199</v>
      </c>
      <c r="F284" s="3">
        <v>0.58652538061142001</v>
      </c>
      <c r="G284" s="3">
        <v>0.15994365513324699</v>
      </c>
      <c r="H284" s="3">
        <v>4.9030628055334098E-2</v>
      </c>
      <c r="I284" s="3">
        <v>177.721</v>
      </c>
      <c r="J284" s="3"/>
      <c r="K284" s="3"/>
      <c r="L284" s="3">
        <f t="shared" si="4"/>
        <v>1</v>
      </c>
      <c r="M284">
        <f>VLOOKUP(A284,Sheet2!$B$2:$E$186,2,FALSE)</f>
        <v>48</v>
      </c>
      <c r="N284" t="s">
        <v>387</v>
      </c>
      <c r="O284" t="s">
        <v>397</v>
      </c>
      <c r="P284">
        <v>0</v>
      </c>
      <c r="Q284">
        <v>0</v>
      </c>
      <c r="R284">
        <v>0</v>
      </c>
      <c r="S284">
        <v>1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</row>
    <row r="285" spans="1:40" x14ac:dyDescent="0.3">
      <c r="A285" t="s">
        <v>143</v>
      </c>
      <c r="B285" s="3">
        <v>2016</v>
      </c>
      <c r="C285" s="3">
        <v>5366.91259765625</v>
      </c>
      <c r="D285" s="3">
        <v>15377.6201171875</v>
      </c>
      <c r="E285" s="3">
        <v>0.165831044316292</v>
      </c>
      <c r="F285" s="3">
        <v>0.66167676448821999</v>
      </c>
      <c r="G285" s="3">
        <v>0.156276345252991</v>
      </c>
      <c r="H285" s="3">
        <v>5.06362542510033E-2</v>
      </c>
      <c r="I285" s="3">
        <v>177.721</v>
      </c>
      <c r="J285" s="3"/>
      <c r="K285" s="3"/>
      <c r="L285" s="3">
        <f t="shared" si="4"/>
        <v>2</v>
      </c>
      <c r="M285">
        <f>VLOOKUP(A285,Sheet2!$B$2:$E$186,2,FALSE)</f>
        <v>48</v>
      </c>
      <c r="N285" t="s">
        <v>387</v>
      </c>
      <c r="O285" t="s">
        <v>397</v>
      </c>
      <c r="P285">
        <v>0</v>
      </c>
      <c r="Q285">
        <v>0</v>
      </c>
      <c r="R285">
        <v>0</v>
      </c>
      <c r="S285">
        <v>1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1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</row>
    <row r="286" spans="1:40" x14ac:dyDescent="0.3">
      <c r="A286" t="s">
        <v>143</v>
      </c>
      <c r="B286" s="3">
        <v>2017</v>
      </c>
      <c r="C286" s="3">
        <v>5656.576171875</v>
      </c>
      <c r="D286" s="3">
        <v>16924.888671875</v>
      </c>
      <c r="E286" s="3">
        <v>0.169205531477928</v>
      </c>
      <c r="F286" s="3">
        <v>0.73042660951614402</v>
      </c>
      <c r="G286" s="3">
        <v>0.14778248965740201</v>
      </c>
      <c r="H286" s="3">
        <v>5.1487490534782403E-2</v>
      </c>
      <c r="I286" s="3">
        <v>177.721</v>
      </c>
      <c r="J286" s="3"/>
      <c r="K286" s="3"/>
      <c r="L286" s="3">
        <f t="shared" si="4"/>
        <v>3</v>
      </c>
      <c r="M286">
        <f>VLOOKUP(A286,Sheet2!$B$2:$E$186,2,FALSE)</f>
        <v>48</v>
      </c>
      <c r="N286" t="s">
        <v>387</v>
      </c>
      <c r="O286" t="s">
        <v>397</v>
      </c>
      <c r="P286">
        <v>0</v>
      </c>
      <c r="Q286">
        <v>0</v>
      </c>
      <c r="R286">
        <v>0</v>
      </c>
      <c r="S286">
        <v>1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1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</row>
    <row r="287" spans="1:40" x14ac:dyDescent="0.3">
      <c r="A287" t="s">
        <v>143</v>
      </c>
      <c r="B287" s="3">
        <v>2018</v>
      </c>
      <c r="C287" s="3">
        <v>5946.81689453125</v>
      </c>
      <c r="D287" s="3">
        <v>18541.298828125</v>
      </c>
      <c r="E287" s="3">
        <v>0.17230488359928101</v>
      </c>
      <c r="F287" s="3">
        <v>0.79733288288116499</v>
      </c>
      <c r="G287" s="3">
        <v>0.13358965516090399</v>
      </c>
      <c r="H287" s="3">
        <v>5.1266934722662E-2</v>
      </c>
      <c r="I287" s="3">
        <v>177.721</v>
      </c>
      <c r="J287" s="3"/>
      <c r="K287" s="3"/>
      <c r="L287" s="3">
        <f t="shared" si="4"/>
        <v>4</v>
      </c>
      <c r="M287">
        <f>VLOOKUP(A287,Sheet2!$B$2:$E$186,2,FALSE)</f>
        <v>48</v>
      </c>
      <c r="N287" t="s">
        <v>387</v>
      </c>
      <c r="O287" t="s">
        <v>397</v>
      </c>
      <c r="P287">
        <v>0</v>
      </c>
      <c r="Q287">
        <v>0</v>
      </c>
      <c r="R287">
        <v>0</v>
      </c>
      <c r="S287">
        <v>1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1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</row>
    <row r="288" spans="1:40" x14ac:dyDescent="0.3">
      <c r="A288" t="s">
        <v>143</v>
      </c>
      <c r="B288" s="3">
        <v>2019</v>
      </c>
      <c r="C288" s="3">
        <v>6276.5712890625</v>
      </c>
      <c r="D288" s="3">
        <v>20153.673828125</v>
      </c>
      <c r="E288" s="3">
        <v>0.17551289498806</v>
      </c>
      <c r="F288" s="3">
        <v>0.86330908536911</v>
      </c>
      <c r="G288" s="3">
        <v>0.121434725821018</v>
      </c>
      <c r="H288" s="3">
        <v>5.0504475831985501E-2</v>
      </c>
      <c r="I288" s="3">
        <v>177.721</v>
      </c>
      <c r="J288" s="3"/>
      <c r="K288" s="3"/>
      <c r="L288" s="3">
        <f t="shared" si="4"/>
        <v>5</v>
      </c>
      <c r="M288">
        <f>VLOOKUP(A288,Sheet2!$B$2:$E$186,2,FALSE)</f>
        <v>48</v>
      </c>
      <c r="N288" t="s">
        <v>387</v>
      </c>
      <c r="O288" t="s">
        <v>397</v>
      </c>
      <c r="P288">
        <v>0</v>
      </c>
      <c r="Q288">
        <v>0</v>
      </c>
      <c r="R288">
        <v>0</v>
      </c>
      <c r="S288">
        <v>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1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</row>
    <row r="289" spans="1:40" x14ac:dyDescent="0.3">
      <c r="A289" t="s">
        <v>143</v>
      </c>
      <c r="B289" s="3">
        <v>2020</v>
      </c>
      <c r="C289" s="3">
        <v>6352.01708984375</v>
      </c>
      <c r="D289" s="3">
        <v>21765.05078125</v>
      </c>
      <c r="E289" s="3">
        <v>0.17229920625686601</v>
      </c>
      <c r="F289" s="3">
        <v>0.93013352155685403</v>
      </c>
      <c r="G289" s="3">
        <v>0.113882303237915</v>
      </c>
      <c r="H289" s="3">
        <v>4.9913801252841998E-2</v>
      </c>
      <c r="I289" s="3">
        <v>177.721</v>
      </c>
      <c r="J289" s="3"/>
      <c r="K289" s="3"/>
      <c r="L289" s="3">
        <f t="shared" si="4"/>
        <v>6</v>
      </c>
      <c r="M289">
        <f>VLOOKUP(A289,Sheet2!$B$2:$E$186,2,FALSE)</f>
        <v>48</v>
      </c>
      <c r="N289" t="s">
        <v>387</v>
      </c>
      <c r="O289" t="s">
        <v>397</v>
      </c>
      <c r="P289">
        <v>0</v>
      </c>
      <c r="Q289">
        <v>0</v>
      </c>
      <c r="R289">
        <v>0</v>
      </c>
      <c r="S289">
        <v>1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1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</row>
    <row r="290" spans="1:40" x14ac:dyDescent="0.3">
      <c r="A290" t="s">
        <v>145</v>
      </c>
      <c r="B290" s="3">
        <v>2015</v>
      </c>
      <c r="C290" s="3">
        <v>1049.47338867188</v>
      </c>
      <c r="D290" s="3">
        <v>4008.2314453125</v>
      </c>
      <c r="E290" s="3"/>
      <c r="F290" s="3"/>
      <c r="G290" s="3"/>
      <c r="H290" s="3">
        <v>4.3384350836277001E-2</v>
      </c>
      <c r="I290" s="3">
        <v>2.7</v>
      </c>
      <c r="J290" s="3"/>
      <c r="K290" s="3"/>
      <c r="L290" s="3">
        <f t="shared" si="4"/>
        <v>1</v>
      </c>
      <c r="M290">
        <f>VLOOKUP(A290,Sheet2!$B$2:$E$186,2,FALSE)</f>
        <v>49</v>
      </c>
      <c r="N290" t="s">
        <v>385</v>
      </c>
      <c r="O290" t="s">
        <v>386</v>
      </c>
      <c r="P290">
        <v>1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</row>
    <row r="291" spans="1:40" x14ac:dyDescent="0.3">
      <c r="A291" t="s">
        <v>145</v>
      </c>
      <c r="B291" s="3">
        <v>2016</v>
      </c>
      <c r="C291" s="3">
        <v>1078.47717285156</v>
      </c>
      <c r="D291" s="3">
        <v>4091.27197265625</v>
      </c>
      <c r="E291" s="3"/>
      <c r="F291" s="3"/>
      <c r="G291" s="3"/>
      <c r="H291" s="3">
        <v>4.2370516806840897E-2</v>
      </c>
      <c r="I291" s="3">
        <v>2.7</v>
      </c>
      <c r="J291" s="3"/>
      <c r="K291" s="3"/>
      <c r="L291" s="3">
        <f t="shared" si="4"/>
        <v>2</v>
      </c>
      <c r="M291">
        <f>VLOOKUP(A291,Sheet2!$B$2:$E$186,2,FALSE)</f>
        <v>49</v>
      </c>
      <c r="N291" t="s">
        <v>385</v>
      </c>
      <c r="O291" t="s">
        <v>386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</row>
    <row r="292" spans="1:40" x14ac:dyDescent="0.3">
      <c r="A292" t="s">
        <v>145</v>
      </c>
      <c r="B292" s="3">
        <v>2017</v>
      </c>
      <c r="C292" s="3">
        <v>1005.45153808594</v>
      </c>
      <c r="D292" s="3">
        <v>4183.02001953125</v>
      </c>
      <c r="E292" s="3"/>
      <c r="F292" s="3"/>
      <c r="G292" s="3"/>
      <c r="H292" s="3">
        <v>4.16127741336823E-2</v>
      </c>
      <c r="I292" s="3">
        <v>2.7</v>
      </c>
      <c r="J292" s="3"/>
      <c r="K292" s="3"/>
      <c r="L292" s="3">
        <f t="shared" si="4"/>
        <v>3</v>
      </c>
      <c r="M292">
        <f>VLOOKUP(A292,Sheet2!$B$2:$E$186,2,FALSE)</f>
        <v>49</v>
      </c>
      <c r="N292" t="s">
        <v>385</v>
      </c>
      <c r="O292" t="s">
        <v>386</v>
      </c>
      <c r="P292">
        <v>1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</row>
    <row r="293" spans="1:40" x14ac:dyDescent="0.3">
      <c r="A293" t="s">
        <v>145</v>
      </c>
      <c r="B293" s="3">
        <v>2018</v>
      </c>
      <c r="C293" s="3">
        <v>1042.82019042969</v>
      </c>
      <c r="D293" s="3">
        <v>4540.01416015625</v>
      </c>
      <c r="E293" s="3"/>
      <c r="F293" s="3"/>
      <c r="G293" s="3"/>
      <c r="H293" s="3">
        <v>4.1448023170232801E-2</v>
      </c>
      <c r="I293" s="3">
        <v>2.7</v>
      </c>
      <c r="J293" s="3"/>
      <c r="K293" s="3"/>
      <c r="L293" s="3">
        <f t="shared" si="4"/>
        <v>4</v>
      </c>
      <c r="M293">
        <f>VLOOKUP(A293,Sheet2!$B$2:$E$186,2,FALSE)</f>
        <v>49</v>
      </c>
      <c r="N293" t="s">
        <v>385</v>
      </c>
      <c r="O293" t="s">
        <v>386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</row>
    <row r="294" spans="1:40" x14ac:dyDescent="0.3">
      <c r="A294" t="s">
        <v>145</v>
      </c>
      <c r="B294" s="3">
        <v>2019</v>
      </c>
      <c r="C294" s="3">
        <v>1100.20129394531</v>
      </c>
      <c r="D294" s="3">
        <v>4757.74365234375</v>
      </c>
      <c r="E294" s="3"/>
      <c r="F294" s="3"/>
      <c r="G294" s="3"/>
      <c r="H294" s="3">
        <v>4.1249960660934497E-2</v>
      </c>
      <c r="I294" s="3">
        <v>2.7</v>
      </c>
      <c r="J294" s="3"/>
      <c r="K294" s="3"/>
      <c r="L294" s="3">
        <f t="shared" si="4"/>
        <v>5</v>
      </c>
      <c r="M294">
        <f>VLOOKUP(A294,Sheet2!$B$2:$E$186,2,FALSE)</f>
        <v>49</v>
      </c>
      <c r="N294" t="s">
        <v>385</v>
      </c>
      <c r="O294" t="s">
        <v>386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</row>
    <row r="295" spans="1:40" x14ac:dyDescent="0.3">
      <c r="A295" t="s">
        <v>145</v>
      </c>
      <c r="B295" s="3">
        <v>2020</v>
      </c>
      <c r="C295" s="3">
        <v>923.54052734375</v>
      </c>
      <c r="D295" s="3">
        <v>4909.50390625</v>
      </c>
      <c r="E295" s="3"/>
      <c r="F295" s="3"/>
      <c r="G295" s="3"/>
      <c r="H295" s="3">
        <v>4.1141331195831299E-2</v>
      </c>
      <c r="I295" s="3">
        <v>2.7</v>
      </c>
      <c r="J295" s="3"/>
      <c r="K295" s="3"/>
      <c r="L295" s="3">
        <f t="shared" si="4"/>
        <v>6</v>
      </c>
      <c r="M295">
        <f>VLOOKUP(A295,Sheet2!$B$2:$E$186,2,FALSE)</f>
        <v>49</v>
      </c>
      <c r="N295" t="s">
        <v>385</v>
      </c>
      <c r="O295" t="s">
        <v>386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</row>
    <row r="296" spans="1:40" x14ac:dyDescent="0.3">
      <c r="A296" t="s">
        <v>146</v>
      </c>
      <c r="B296" s="3">
        <v>2015</v>
      </c>
      <c r="C296" s="3">
        <v>328243.5</v>
      </c>
      <c r="D296" s="3">
        <v>1708011.25</v>
      </c>
      <c r="E296" s="3">
        <v>2.8274092674255402</v>
      </c>
      <c r="F296" s="3">
        <v>0.87404775619506803</v>
      </c>
      <c r="G296" s="3">
        <v>6.4581640064716297E-2</v>
      </c>
      <c r="H296" s="3">
        <v>4.2272839695215197E-2</v>
      </c>
      <c r="I296" s="3">
        <v>6.7279068312963002</v>
      </c>
      <c r="J296" s="3">
        <v>3.5271883010864298</v>
      </c>
      <c r="K296" s="3">
        <v>0.93864440917968806</v>
      </c>
      <c r="L296" s="3">
        <f t="shared" si="4"/>
        <v>1</v>
      </c>
      <c r="M296">
        <f>VLOOKUP(A296,Sheet2!$B$2:$E$186,2,FALSE)</f>
        <v>50</v>
      </c>
      <c r="N296" t="s">
        <v>389</v>
      </c>
      <c r="O296" t="s">
        <v>406</v>
      </c>
      <c r="P296">
        <v>0</v>
      </c>
      <c r="Q296">
        <v>1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1</v>
      </c>
      <c r="AL296">
        <v>0</v>
      </c>
      <c r="AM296">
        <v>0</v>
      </c>
      <c r="AN296">
        <v>0</v>
      </c>
    </row>
    <row r="297" spans="1:40" x14ac:dyDescent="0.3">
      <c r="A297" t="s">
        <v>146</v>
      </c>
      <c r="B297" s="3">
        <v>2016</v>
      </c>
      <c r="C297" s="3">
        <v>338330.625</v>
      </c>
      <c r="D297" s="3">
        <v>1736334.75</v>
      </c>
      <c r="E297" s="3">
        <v>2.87276339530945</v>
      </c>
      <c r="F297" s="3">
        <v>0.89314311742782604</v>
      </c>
      <c r="G297" s="3">
        <v>6.4602002501487704E-2</v>
      </c>
      <c r="H297" s="3">
        <v>4.2628217488527298E-2</v>
      </c>
      <c r="I297" s="3">
        <v>6.7317182572463796</v>
      </c>
      <c r="J297" s="3">
        <v>3.5450711250305198</v>
      </c>
      <c r="K297" s="3">
        <v>0.94769227504730202</v>
      </c>
      <c r="L297" s="3">
        <f t="shared" si="4"/>
        <v>2</v>
      </c>
      <c r="M297">
        <f>VLOOKUP(A297,Sheet2!$B$2:$E$186,2,FALSE)</f>
        <v>50</v>
      </c>
      <c r="N297" t="s">
        <v>389</v>
      </c>
      <c r="O297" t="s">
        <v>406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1</v>
      </c>
      <c r="AL297">
        <v>0</v>
      </c>
      <c r="AM297">
        <v>0</v>
      </c>
      <c r="AN297">
        <v>0</v>
      </c>
    </row>
    <row r="298" spans="1:40" x14ac:dyDescent="0.3">
      <c r="A298" t="s">
        <v>146</v>
      </c>
      <c r="B298" s="3">
        <v>2017</v>
      </c>
      <c r="C298" s="3">
        <v>348671.59375</v>
      </c>
      <c r="D298" s="3">
        <v>1767293.5</v>
      </c>
      <c r="E298" s="3">
        <v>2.9163000583648699</v>
      </c>
      <c r="F298" s="3">
        <v>0.91282981634140004</v>
      </c>
      <c r="G298" s="3">
        <v>6.7064970731735202E-2</v>
      </c>
      <c r="H298" s="3">
        <v>4.3050941079855E-2</v>
      </c>
      <c r="I298" s="3">
        <v>6.6028934656140397</v>
      </c>
      <c r="J298" s="3">
        <v>3.5630443096160902</v>
      </c>
      <c r="K298" s="3">
        <v>0.95659160614013705</v>
      </c>
      <c r="L298" s="3">
        <f t="shared" si="4"/>
        <v>3</v>
      </c>
      <c r="M298">
        <f>VLOOKUP(A298,Sheet2!$B$2:$E$186,2,FALSE)</f>
        <v>50</v>
      </c>
      <c r="N298" t="s">
        <v>389</v>
      </c>
      <c r="O298" t="s">
        <v>406</v>
      </c>
      <c r="P298">
        <v>0</v>
      </c>
      <c r="Q298">
        <v>1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1</v>
      </c>
      <c r="AL298">
        <v>0</v>
      </c>
      <c r="AM298">
        <v>0</v>
      </c>
      <c r="AN298">
        <v>0</v>
      </c>
    </row>
    <row r="299" spans="1:40" x14ac:dyDescent="0.3">
      <c r="A299" t="s">
        <v>146</v>
      </c>
      <c r="B299" s="3">
        <v>2018</v>
      </c>
      <c r="C299" s="3">
        <v>355156.9375</v>
      </c>
      <c r="D299" s="3">
        <v>1800689.875</v>
      </c>
      <c r="E299" s="3">
        <v>2.9614028930664098</v>
      </c>
      <c r="F299" s="3">
        <v>0.93459868431091297</v>
      </c>
      <c r="G299" s="3">
        <v>6.4787752926349598E-2</v>
      </c>
      <c r="H299" s="3">
        <v>4.3479658663272899E-2</v>
      </c>
      <c r="I299" s="3">
        <v>6.3146187866666699</v>
      </c>
      <c r="J299" s="3">
        <v>3.5811088085174601</v>
      </c>
      <c r="K299" s="3">
        <v>0.97382962703704801</v>
      </c>
      <c r="L299" s="3">
        <f t="shared" si="4"/>
        <v>4</v>
      </c>
      <c r="M299">
        <f>VLOOKUP(A299,Sheet2!$B$2:$E$186,2,FALSE)</f>
        <v>50</v>
      </c>
      <c r="N299" t="s">
        <v>389</v>
      </c>
      <c r="O299" t="s">
        <v>406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1</v>
      </c>
      <c r="AL299">
        <v>0</v>
      </c>
      <c r="AM299">
        <v>0</v>
      </c>
      <c r="AN299">
        <v>0</v>
      </c>
    </row>
    <row r="300" spans="1:40" x14ac:dyDescent="0.3">
      <c r="A300" t="s">
        <v>146</v>
      </c>
      <c r="B300" s="3">
        <v>2019</v>
      </c>
      <c r="C300" s="3">
        <v>361235.0625</v>
      </c>
      <c r="D300" s="3">
        <v>1831540.5</v>
      </c>
      <c r="E300" s="3">
        <v>3.0026037693023699</v>
      </c>
      <c r="F300" s="3">
        <v>0.95188909769058205</v>
      </c>
      <c r="G300" s="3">
        <v>6.3397817313671098E-2</v>
      </c>
      <c r="H300" s="3">
        <v>4.3767042458057397E-2</v>
      </c>
      <c r="I300" s="3">
        <v>6.669446615</v>
      </c>
      <c r="J300" s="3">
        <v>3.5992648601532</v>
      </c>
      <c r="K300" s="3">
        <v>0.967321157455444</v>
      </c>
      <c r="L300" s="3">
        <f t="shared" si="4"/>
        <v>5</v>
      </c>
      <c r="M300">
        <f>VLOOKUP(A300,Sheet2!$B$2:$E$186,2,FALSE)</f>
        <v>50</v>
      </c>
      <c r="N300" t="s">
        <v>389</v>
      </c>
      <c r="O300" t="s">
        <v>406</v>
      </c>
      <c r="P300">
        <v>0</v>
      </c>
      <c r="Q300">
        <v>1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1</v>
      </c>
      <c r="AL300">
        <v>0</v>
      </c>
      <c r="AM300">
        <v>0</v>
      </c>
      <c r="AN300">
        <v>0</v>
      </c>
    </row>
    <row r="301" spans="1:40" x14ac:dyDescent="0.3">
      <c r="A301" t="s">
        <v>146</v>
      </c>
      <c r="B301" s="3">
        <v>2020</v>
      </c>
      <c r="C301" s="3">
        <v>354804.6875</v>
      </c>
      <c r="D301" s="3">
        <v>1865610.875</v>
      </c>
      <c r="E301" s="3">
        <v>2.9714002609252899</v>
      </c>
      <c r="F301" s="3">
        <v>0.97181540727615401</v>
      </c>
      <c r="G301" s="3">
        <v>6.4562126994132996E-2</v>
      </c>
      <c r="H301" s="3">
        <v>4.3926008045673398E-2</v>
      </c>
      <c r="I301" s="3">
        <v>6.54215220416667</v>
      </c>
      <c r="J301" s="3">
        <v>3.6175131797790501</v>
      </c>
      <c r="K301" s="3">
        <v>0.97580933570861805</v>
      </c>
      <c r="L301" s="3">
        <f t="shared" si="4"/>
        <v>6</v>
      </c>
      <c r="M301">
        <f>VLOOKUP(A301,Sheet2!$B$2:$E$186,2,FALSE)</f>
        <v>50</v>
      </c>
      <c r="N301" t="s">
        <v>389</v>
      </c>
      <c r="O301" t="s">
        <v>406</v>
      </c>
      <c r="P301">
        <v>0</v>
      </c>
      <c r="Q301">
        <v>1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1</v>
      </c>
      <c r="AL301">
        <v>0</v>
      </c>
      <c r="AM301">
        <v>0</v>
      </c>
      <c r="AN301">
        <v>0</v>
      </c>
    </row>
    <row r="302" spans="1:40" x14ac:dyDescent="0.3">
      <c r="A302" t="s">
        <v>148</v>
      </c>
      <c r="B302" s="3">
        <v>2015</v>
      </c>
      <c r="C302" s="3">
        <v>186276.59375</v>
      </c>
      <c r="D302" s="3">
        <v>848719.8125</v>
      </c>
      <c r="E302" s="3">
        <v>4.5783882141113299</v>
      </c>
      <c r="F302" s="3">
        <v>0.69840651750564597</v>
      </c>
      <c r="G302" s="3">
        <v>0.17388413846492801</v>
      </c>
      <c r="H302" s="3">
        <v>3.1577344983816202E-2</v>
      </c>
      <c r="I302" s="3">
        <v>45.045499074074101</v>
      </c>
      <c r="J302" s="3">
        <v>2.6297967433929399</v>
      </c>
      <c r="K302" s="3">
        <v>0.971693515777588</v>
      </c>
      <c r="L302" s="3">
        <f t="shared" si="4"/>
        <v>1</v>
      </c>
      <c r="M302">
        <f>VLOOKUP(A302,Sheet2!$B$2:$E$186,2,FALSE)</f>
        <v>51</v>
      </c>
      <c r="N302" t="s">
        <v>385</v>
      </c>
      <c r="O302" t="s">
        <v>386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</row>
    <row r="303" spans="1:40" x14ac:dyDescent="0.3">
      <c r="A303" t="s">
        <v>148</v>
      </c>
      <c r="B303" s="3">
        <v>2016</v>
      </c>
      <c r="C303" s="3">
        <v>198681.125</v>
      </c>
      <c r="D303" s="3">
        <v>902956.875</v>
      </c>
      <c r="E303" s="3">
        <v>4.7301440238952601</v>
      </c>
      <c r="F303" s="3">
        <v>0.74285155534744296</v>
      </c>
      <c r="G303" s="3">
        <v>0.19454140961170199</v>
      </c>
      <c r="H303" s="3">
        <v>3.1588729470968198E-2</v>
      </c>
      <c r="I303" s="3">
        <v>46.064443939393897</v>
      </c>
      <c r="J303" s="3">
        <v>2.6634833812713601</v>
      </c>
      <c r="K303" s="3">
        <v>0.98472094535827603</v>
      </c>
      <c r="L303" s="3">
        <f t="shared" si="4"/>
        <v>2</v>
      </c>
      <c r="M303">
        <f>VLOOKUP(A303,Sheet2!$B$2:$E$186,2,FALSE)</f>
        <v>51</v>
      </c>
      <c r="N303" t="s">
        <v>385</v>
      </c>
      <c r="O303" t="s">
        <v>386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</row>
    <row r="304" spans="1:40" x14ac:dyDescent="0.3">
      <c r="A304" t="s">
        <v>148</v>
      </c>
      <c r="B304" s="3">
        <v>2017</v>
      </c>
      <c r="C304" s="3">
        <v>207952.984375</v>
      </c>
      <c r="D304" s="3">
        <v>955286.125</v>
      </c>
      <c r="E304" s="3">
        <v>4.8676071166992196</v>
      </c>
      <c r="F304" s="3">
        <v>0.78689265251159701</v>
      </c>
      <c r="G304" s="3">
        <v>0.173957154154778</v>
      </c>
      <c r="H304" s="3">
        <v>3.19936461746693E-2</v>
      </c>
      <c r="I304" s="3">
        <v>47.534358196248199</v>
      </c>
      <c r="J304" s="3">
        <v>2.6976013183593799</v>
      </c>
      <c r="K304" s="3">
        <v>0.96119362115859996</v>
      </c>
      <c r="L304" s="3">
        <f t="shared" si="4"/>
        <v>3</v>
      </c>
      <c r="M304">
        <f>VLOOKUP(A304,Sheet2!$B$2:$E$186,2,FALSE)</f>
        <v>51</v>
      </c>
      <c r="N304" t="s">
        <v>385</v>
      </c>
      <c r="O304" t="s">
        <v>386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</row>
    <row r="305" spans="1:40" x14ac:dyDescent="0.3">
      <c r="A305" t="s">
        <v>148</v>
      </c>
      <c r="B305" s="3">
        <v>2018</v>
      </c>
      <c r="C305" s="3">
        <v>222473.375</v>
      </c>
      <c r="D305" s="3">
        <v>1016236.9375</v>
      </c>
      <c r="E305" s="3">
        <v>5.0465269088745099</v>
      </c>
      <c r="F305" s="3">
        <v>0.83845883607864402</v>
      </c>
      <c r="G305" s="3">
        <v>0.16919943690299999</v>
      </c>
      <c r="H305" s="3">
        <v>3.2660938799381298E-2</v>
      </c>
      <c r="I305" s="3">
        <v>49.509992857142898</v>
      </c>
      <c r="J305" s="3">
        <v>2.73215627670288</v>
      </c>
      <c r="K305" s="3">
        <v>0.97897475957870495</v>
      </c>
      <c r="L305" s="3">
        <f t="shared" si="4"/>
        <v>4</v>
      </c>
      <c r="M305">
        <f>VLOOKUP(A305,Sheet2!$B$2:$E$186,2,FALSE)</f>
        <v>51</v>
      </c>
      <c r="N305" t="s">
        <v>385</v>
      </c>
      <c r="O305" t="s">
        <v>386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</row>
    <row r="306" spans="1:40" x14ac:dyDescent="0.3">
      <c r="A306" t="s">
        <v>148</v>
      </c>
      <c r="B306" s="3">
        <v>2019</v>
      </c>
      <c r="C306" s="3">
        <v>233713.109375</v>
      </c>
      <c r="D306" s="3">
        <v>1082148.5</v>
      </c>
      <c r="E306" s="3">
        <v>5.1865592002868697</v>
      </c>
      <c r="F306" s="3">
        <v>0.89445561170578003</v>
      </c>
      <c r="G306" s="3">
        <v>0.16394844651222201</v>
      </c>
      <c r="H306" s="3">
        <v>3.3275496214628199E-2</v>
      </c>
      <c r="I306" s="3">
        <v>51.294858333333302</v>
      </c>
      <c r="J306" s="3">
        <v>2.7671539783477801</v>
      </c>
      <c r="K306" s="3">
        <v>0.99232721328735396</v>
      </c>
      <c r="L306" s="3">
        <f t="shared" si="4"/>
        <v>5</v>
      </c>
      <c r="M306">
        <f>VLOOKUP(A306,Sheet2!$B$2:$E$186,2,FALSE)</f>
        <v>51</v>
      </c>
      <c r="N306" t="s">
        <v>385</v>
      </c>
      <c r="O306" t="s">
        <v>386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</row>
    <row r="307" spans="1:40" x14ac:dyDescent="0.3">
      <c r="A307" t="s">
        <v>148</v>
      </c>
      <c r="B307" s="3">
        <v>2020</v>
      </c>
      <c r="C307" s="3">
        <v>218007</v>
      </c>
      <c r="D307" s="3">
        <v>1133589.875</v>
      </c>
      <c r="E307" s="3">
        <v>4.8934359550476101</v>
      </c>
      <c r="F307" s="3">
        <v>0.93817448616027799</v>
      </c>
      <c r="G307" s="3">
        <v>0.12862095236778301</v>
      </c>
      <c r="H307" s="3">
        <v>3.3674880862236002E-2</v>
      </c>
      <c r="I307" s="3">
        <v>56.524533333333302</v>
      </c>
      <c r="J307" s="3">
        <v>2.8026001453399698</v>
      </c>
      <c r="K307" s="3">
        <v>1.01299583911896</v>
      </c>
      <c r="L307" s="3">
        <f t="shared" si="4"/>
        <v>6</v>
      </c>
      <c r="M307">
        <f>VLOOKUP(A307,Sheet2!$B$2:$E$186,2,FALSE)</f>
        <v>51</v>
      </c>
      <c r="N307" t="s">
        <v>385</v>
      </c>
      <c r="O307" t="s">
        <v>386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</row>
    <row r="308" spans="1:40" x14ac:dyDescent="0.3">
      <c r="A308" t="s">
        <v>150</v>
      </c>
      <c r="B308" s="3">
        <v>2015</v>
      </c>
      <c r="C308" s="3">
        <v>521210.375</v>
      </c>
      <c r="D308" s="3">
        <v>2024275.375</v>
      </c>
      <c r="E308" s="3">
        <v>10.6938314437866</v>
      </c>
      <c r="F308" s="3"/>
      <c r="G308" s="3"/>
      <c r="H308" s="3">
        <v>4.5342549681663499E-2</v>
      </c>
      <c r="I308" s="3">
        <v>100.69143333333299</v>
      </c>
      <c r="J308" s="3">
        <v>2.2243967056274401</v>
      </c>
      <c r="K308" s="3"/>
      <c r="L308" s="3">
        <f t="shared" si="4"/>
        <v>1</v>
      </c>
      <c r="M308">
        <f>VLOOKUP(A308,Sheet2!$B$2:$E$186,2,FALSE)</f>
        <v>52</v>
      </c>
      <c r="N308" t="s">
        <v>387</v>
      </c>
      <c r="O308" t="s">
        <v>407</v>
      </c>
      <c r="P308">
        <v>0</v>
      </c>
      <c r="Q308">
        <v>0</v>
      </c>
      <c r="R308">
        <v>0</v>
      </c>
      <c r="S308">
        <v>1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1</v>
      </c>
      <c r="AM308">
        <v>0</v>
      </c>
      <c r="AN308">
        <v>0</v>
      </c>
    </row>
    <row r="309" spans="1:40" x14ac:dyDescent="0.3">
      <c r="A309" t="s">
        <v>150</v>
      </c>
      <c r="B309" s="3">
        <v>2016</v>
      </c>
      <c r="C309" s="3">
        <v>537889.0625</v>
      </c>
      <c r="D309" s="3">
        <v>2127248.25</v>
      </c>
      <c r="E309" s="3">
        <v>10.9418792724609</v>
      </c>
      <c r="F309" s="3"/>
      <c r="G309" s="3"/>
      <c r="H309" s="3">
        <v>4.5764803886413602E-2</v>
      </c>
      <c r="I309" s="3">
        <v>109.44306666666699</v>
      </c>
      <c r="J309" s="3">
        <v>2.2632586956024201</v>
      </c>
      <c r="K309" s="3"/>
      <c r="L309" s="3">
        <f t="shared" si="4"/>
        <v>2</v>
      </c>
      <c r="M309">
        <f>VLOOKUP(A309,Sheet2!$B$2:$E$186,2,FALSE)</f>
        <v>52</v>
      </c>
      <c r="N309" t="s">
        <v>387</v>
      </c>
      <c r="O309" t="s">
        <v>407</v>
      </c>
      <c r="P309">
        <v>0</v>
      </c>
      <c r="Q309">
        <v>0</v>
      </c>
      <c r="R309">
        <v>0</v>
      </c>
      <c r="S309">
        <v>1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1</v>
      </c>
      <c r="AM309">
        <v>0</v>
      </c>
      <c r="AN309">
        <v>0</v>
      </c>
    </row>
    <row r="310" spans="1:40" x14ac:dyDescent="0.3">
      <c r="A310" t="s">
        <v>150</v>
      </c>
      <c r="B310" s="3">
        <v>2017</v>
      </c>
      <c r="C310" s="3">
        <v>544881.625</v>
      </c>
      <c r="D310" s="3">
        <v>2231472.75</v>
      </c>
      <c r="E310" s="3">
        <v>10.9499835968018</v>
      </c>
      <c r="F310" s="3"/>
      <c r="G310" s="3"/>
      <c r="H310" s="3">
        <v>4.5850634574890102E-2</v>
      </c>
      <c r="I310" s="3">
        <v>110.97301666666699</v>
      </c>
      <c r="J310" s="3">
        <v>2.3027994632720898</v>
      </c>
      <c r="K310" s="3"/>
      <c r="L310" s="3">
        <f t="shared" si="4"/>
        <v>3</v>
      </c>
      <c r="M310">
        <f>VLOOKUP(A310,Sheet2!$B$2:$E$186,2,FALSE)</f>
        <v>52</v>
      </c>
      <c r="N310" t="s">
        <v>387</v>
      </c>
      <c r="O310" t="s">
        <v>407</v>
      </c>
      <c r="P310">
        <v>0</v>
      </c>
      <c r="Q310">
        <v>0</v>
      </c>
      <c r="R310">
        <v>0</v>
      </c>
      <c r="S310">
        <v>1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1</v>
      </c>
      <c r="AM310">
        <v>0</v>
      </c>
      <c r="AN310">
        <v>0</v>
      </c>
    </row>
    <row r="311" spans="1:40" x14ac:dyDescent="0.3">
      <c r="A311" t="s">
        <v>150</v>
      </c>
      <c r="B311" s="3">
        <v>2018</v>
      </c>
      <c r="C311" s="3">
        <v>551420.1875</v>
      </c>
      <c r="D311" s="3">
        <v>2337930</v>
      </c>
      <c r="E311" s="3">
        <v>11.0875148773193</v>
      </c>
      <c r="F311" s="3"/>
      <c r="G311" s="3"/>
      <c r="H311" s="3">
        <v>4.5703280717134503E-2</v>
      </c>
      <c r="I311" s="3">
        <v>116.593791666667</v>
      </c>
      <c r="J311" s="3">
        <v>2.3430309295654301</v>
      </c>
      <c r="K311" s="3"/>
      <c r="L311" s="3">
        <f t="shared" si="4"/>
        <v>4</v>
      </c>
      <c r="M311">
        <f>VLOOKUP(A311,Sheet2!$B$2:$E$186,2,FALSE)</f>
        <v>52</v>
      </c>
      <c r="N311" t="s">
        <v>387</v>
      </c>
      <c r="O311" t="s">
        <v>407</v>
      </c>
      <c r="P311">
        <v>0</v>
      </c>
      <c r="Q311">
        <v>0</v>
      </c>
      <c r="R311">
        <v>0</v>
      </c>
      <c r="S311">
        <v>1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1</v>
      </c>
      <c r="AM311">
        <v>0</v>
      </c>
      <c r="AN311">
        <v>0</v>
      </c>
    </row>
    <row r="312" spans="1:40" x14ac:dyDescent="0.3">
      <c r="A312" t="s">
        <v>150</v>
      </c>
      <c r="B312" s="3">
        <v>2019</v>
      </c>
      <c r="C312" s="3">
        <v>581665.8125</v>
      </c>
      <c r="D312" s="3">
        <v>2442441.5</v>
      </c>
      <c r="E312" s="3">
        <v>11.1983909606934</v>
      </c>
      <c r="F312" s="3"/>
      <c r="G312" s="3"/>
      <c r="H312" s="3">
        <v>4.5382790267467499E-2</v>
      </c>
      <c r="I312" s="3">
        <v>119.353558333333</v>
      </c>
      <c r="J312" s="3">
        <v>2.38396549224854</v>
      </c>
      <c r="K312" s="3"/>
      <c r="L312" s="3">
        <f t="shared" si="4"/>
        <v>5</v>
      </c>
      <c r="M312">
        <f>VLOOKUP(A312,Sheet2!$B$2:$E$186,2,FALSE)</f>
        <v>52</v>
      </c>
      <c r="N312" t="s">
        <v>387</v>
      </c>
      <c r="O312" t="s">
        <v>407</v>
      </c>
      <c r="P312">
        <v>0</v>
      </c>
      <c r="Q312">
        <v>0</v>
      </c>
      <c r="R312">
        <v>0</v>
      </c>
      <c r="S312">
        <v>1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1</v>
      </c>
      <c r="AM312">
        <v>0</v>
      </c>
      <c r="AN312">
        <v>0</v>
      </c>
    </row>
    <row r="313" spans="1:40" x14ac:dyDescent="0.3">
      <c r="A313" t="s">
        <v>150</v>
      </c>
      <c r="B313" s="3">
        <v>2020</v>
      </c>
      <c r="C313" s="3">
        <v>576513.1875</v>
      </c>
      <c r="D313" s="3">
        <v>2541997.25</v>
      </c>
      <c r="E313" s="3">
        <v>10.4205169677734</v>
      </c>
      <c r="F313" s="3"/>
      <c r="G313" s="3"/>
      <c r="H313" s="3">
        <v>4.4864740222692497E-2</v>
      </c>
      <c r="I313" s="3">
        <v>126.77679999999999</v>
      </c>
      <c r="J313" s="3">
        <v>2.4256150722503702</v>
      </c>
      <c r="K313" s="3"/>
      <c r="L313" s="3">
        <f t="shared" si="4"/>
        <v>6</v>
      </c>
      <c r="M313">
        <f>VLOOKUP(A313,Sheet2!$B$2:$E$186,2,FALSE)</f>
        <v>52</v>
      </c>
      <c r="N313" t="s">
        <v>387</v>
      </c>
      <c r="O313" t="s">
        <v>407</v>
      </c>
      <c r="P313">
        <v>0</v>
      </c>
      <c r="Q313">
        <v>0</v>
      </c>
      <c r="R313">
        <v>0</v>
      </c>
      <c r="S313">
        <v>1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1</v>
      </c>
      <c r="AM313">
        <v>0</v>
      </c>
      <c r="AN313">
        <v>0</v>
      </c>
    </row>
    <row r="314" spans="1:40" x14ac:dyDescent="0.3">
      <c r="A314" t="s">
        <v>152</v>
      </c>
      <c r="B314" s="3">
        <v>2015</v>
      </c>
      <c r="C314" s="3">
        <v>226424.859375</v>
      </c>
      <c r="D314" s="3">
        <v>1236218.375</v>
      </c>
      <c r="E314" s="3">
        <v>7.6652374267578098</v>
      </c>
      <c r="F314" s="3">
        <v>0.88341844081878695</v>
      </c>
      <c r="G314" s="3">
        <v>7.7896721661090906E-2</v>
      </c>
      <c r="H314" s="3">
        <v>4.03441376984119E-2</v>
      </c>
      <c r="I314" s="3">
        <v>1</v>
      </c>
      <c r="J314" s="3">
        <v>2.73678398132324</v>
      </c>
      <c r="K314" s="3">
        <v>1.0555015802383401</v>
      </c>
      <c r="L314" s="3">
        <f t="shared" si="4"/>
        <v>1</v>
      </c>
      <c r="M314">
        <f>VLOOKUP(A314,Sheet2!$B$2:$E$186,2,FALSE)</f>
        <v>53</v>
      </c>
      <c r="N314" t="s">
        <v>385</v>
      </c>
      <c r="O314" t="s">
        <v>393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1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</row>
    <row r="315" spans="1:40" x14ac:dyDescent="0.3">
      <c r="A315" t="s">
        <v>152</v>
      </c>
      <c r="B315" s="3">
        <v>2016</v>
      </c>
      <c r="C315" s="3">
        <v>224867.15625</v>
      </c>
      <c r="D315" s="3">
        <v>1265880.5</v>
      </c>
      <c r="E315" s="3">
        <v>7.7544860839843803</v>
      </c>
      <c r="F315" s="3">
        <v>0.897821664810181</v>
      </c>
      <c r="G315" s="3">
        <v>7.2794497013091999E-2</v>
      </c>
      <c r="H315" s="3">
        <v>3.9855312556028401E-2</v>
      </c>
      <c r="I315" s="3">
        <v>1</v>
      </c>
      <c r="J315" s="3">
        <v>2.7431828975677499</v>
      </c>
      <c r="K315" s="3">
        <v>1.0257550477981601</v>
      </c>
      <c r="L315" s="3">
        <f t="shared" si="4"/>
        <v>2</v>
      </c>
      <c r="M315">
        <f>VLOOKUP(A315,Sheet2!$B$2:$E$186,2,FALSE)</f>
        <v>53</v>
      </c>
      <c r="N315" t="s">
        <v>385</v>
      </c>
      <c r="O315" t="s">
        <v>393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1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</row>
    <row r="316" spans="1:40" x14ac:dyDescent="0.3">
      <c r="A316" t="s">
        <v>152</v>
      </c>
      <c r="B316" s="3">
        <v>2017</v>
      </c>
      <c r="C316" s="3">
        <v>238292.625</v>
      </c>
      <c r="D316" s="3">
        <v>1305187.25</v>
      </c>
      <c r="E316" s="3">
        <v>7.9812736511230504</v>
      </c>
      <c r="F316" s="3">
        <v>0.92641949653625499</v>
      </c>
      <c r="G316" s="3">
        <v>8.2135699689388303E-2</v>
      </c>
      <c r="H316" s="3">
        <v>3.9438895881176002E-2</v>
      </c>
      <c r="I316" s="3">
        <v>1</v>
      </c>
      <c r="J316" s="3">
        <v>2.7495965957641602</v>
      </c>
      <c r="K316" s="3">
        <v>1.0791312456130999</v>
      </c>
      <c r="L316" s="3">
        <f t="shared" si="4"/>
        <v>3</v>
      </c>
      <c r="M316">
        <f>VLOOKUP(A316,Sheet2!$B$2:$E$186,2,FALSE)</f>
        <v>53</v>
      </c>
      <c r="N316" t="s">
        <v>385</v>
      </c>
      <c r="O316" t="s">
        <v>393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1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</row>
    <row r="317" spans="1:40" x14ac:dyDescent="0.3">
      <c r="A317" t="s">
        <v>152</v>
      </c>
      <c r="B317" s="3">
        <v>2018</v>
      </c>
      <c r="C317" s="3">
        <v>240781.09375</v>
      </c>
      <c r="D317" s="3">
        <v>1342386.375</v>
      </c>
      <c r="E317" s="3">
        <v>8.1686477661132795</v>
      </c>
      <c r="F317" s="3">
        <v>0.95525437593460105</v>
      </c>
      <c r="G317" s="3">
        <v>8.22145640850067E-2</v>
      </c>
      <c r="H317" s="3">
        <v>3.9411213248968097E-2</v>
      </c>
      <c r="I317" s="3">
        <v>1</v>
      </c>
      <c r="J317" s="3">
        <v>2.7560255527496298</v>
      </c>
      <c r="K317" s="3">
        <v>1.0659708976745601</v>
      </c>
      <c r="L317" s="3">
        <f t="shared" si="4"/>
        <v>4</v>
      </c>
      <c r="M317">
        <f>VLOOKUP(A317,Sheet2!$B$2:$E$186,2,FALSE)</f>
        <v>53</v>
      </c>
      <c r="N317" t="s">
        <v>385</v>
      </c>
      <c r="O317" t="s">
        <v>393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1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</row>
    <row r="318" spans="1:40" x14ac:dyDescent="0.3">
      <c r="A318" t="s">
        <v>152</v>
      </c>
      <c r="B318" s="3">
        <v>2019</v>
      </c>
      <c r="C318" s="3">
        <v>241179.375</v>
      </c>
      <c r="D318" s="3">
        <v>1376518.25</v>
      </c>
      <c r="E318" s="3">
        <v>8.2466354370117205</v>
      </c>
      <c r="F318" s="3">
        <v>0.97701728343963601</v>
      </c>
      <c r="G318" s="3">
        <v>7.7508181333541898E-2</v>
      </c>
      <c r="H318" s="3">
        <v>3.9252489805221599E-2</v>
      </c>
      <c r="I318" s="3">
        <v>1</v>
      </c>
      <c r="J318" s="3">
        <v>2.7624695301055899</v>
      </c>
      <c r="K318" s="3">
        <v>1.0470621585845901</v>
      </c>
      <c r="L318" s="3">
        <f t="shared" si="4"/>
        <v>5</v>
      </c>
      <c r="M318">
        <f>VLOOKUP(A318,Sheet2!$B$2:$E$186,2,FALSE)</f>
        <v>53</v>
      </c>
      <c r="N318" t="s">
        <v>385</v>
      </c>
      <c r="O318" t="s">
        <v>393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</row>
    <row r="319" spans="1:40" x14ac:dyDescent="0.3">
      <c r="A319" t="s">
        <v>152</v>
      </c>
      <c r="B319" s="3">
        <v>2020</v>
      </c>
      <c r="C319" s="3">
        <v>218882.109375</v>
      </c>
      <c r="D319" s="3">
        <v>1391116.5</v>
      </c>
      <c r="E319" s="3">
        <v>7.4028811454773003</v>
      </c>
      <c r="F319" s="3">
        <v>0.98298466205596902</v>
      </c>
      <c r="G319" s="3">
        <v>6.16505108773708E-2</v>
      </c>
      <c r="H319" s="3">
        <v>3.8852371275424999E-2</v>
      </c>
      <c r="I319" s="3">
        <v>1</v>
      </c>
      <c r="J319" s="3">
        <v>2.7689285278320299</v>
      </c>
      <c r="K319" s="3">
        <v>0.99587255716323897</v>
      </c>
      <c r="L319" s="3">
        <f t="shared" si="4"/>
        <v>6</v>
      </c>
      <c r="M319">
        <f>VLOOKUP(A319,Sheet2!$B$2:$E$186,2,FALSE)</f>
        <v>53</v>
      </c>
      <c r="N319" t="s">
        <v>385</v>
      </c>
      <c r="O319" t="s">
        <v>393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</row>
    <row r="320" spans="1:40" x14ac:dyDescent="0.3">
      <c r="A320" t="s">
        <v>154</v>
      </c>
      <c r="B320" s="3">
        <v>2015</v>
      </c>
      <c r="C320" s="3">
        <v>1386683.25</v>
      </c>
      <c r="D320" s="3">
        <v>2250247</v>
      </c>
      <c r="E320" s="3">
        <v>24.7602424621582</v>
      </c>
      <c r="F320" s="3">
        <v>0.75059390068054199</v>
      </c>
      <c r="G320" s="3">
        <v>0.33550679683685303</v>
      </c>
      <c r="H320" s="3">
        <v>5.1608592271804803E-2</v>
      </c>
      <c r="I320" s="3">
        <v>7.6912583333333302</v>
      </c>
      <c r="J320" s="3">
        <v>2.5598521232604998</v>
      </c>
      <c r="K320" s="3">
        <v>0.96875512599945102</v>
      </c>
      <c r="L320" s="3">
        <f t="shared" si="4"/>
        <v>1</v>
      </c>
      <c r="M320">
        <f>VLOOKUP(A320,Sheet2!$B$2:$E$186,2,FALSE)</f>
        <v>54</v>
      </c>
      <c r="N320" t="s">
        <v>387</v>
      </c>
      <c r="O320" t="s">
        <v>407</v>
      </c>
      <c r="P320">
        <v>0</v>
      </c>
      <c r="Q320">
        <v>0</v>
      </c>
      <c r="R320">
        <v>0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1</v>
      </c>
      <c r="AM320">
        <v>0</v>
      </c>
      <c r="AN320">
        <v>0</v>
      </c>
    </row>
    <row r="321" spans="1:40" x14ac:dyDescent="0.3">
      <c r="A321" t="s">
        <v>154</v>
      </c>
      <c r="B321" s="3">
        <v>2016</v>
      </c>
      <c r="C321" s="3">
        <v>1446852.375</v>
      </c>
      <c r="D321" s="3">
        <v>2332186.5</v>
      </c>
      <c r="E321" s="3">
        <v>25.306735992431602</v>
      </c>
      <c r="F321" s="3">
        <v>0.78093516826629605</v>
      </c>
      <c r="G321" s="3">
        <v>0.33866837620735202</v>
      </c>
      <c r="H321" s="3">
        <v>5.1166344434022903E-2</v>
      </c>
      <c r="I321" s="3">
        <v>10.0254007885465</v>
      </c>
      <c r="J321" s="3">
        <v>2.5886299610137899</v>
      </c>
      <c r="K321" s="3">
        <v>1.0064061880111701</v>
      </c>
      <c r="L321" s="3">
        <f t="shared" si="4"/>
        <v>2</v>
      </c>
      <c r="M321">
        <f>VLOOKUP(A321,Sheet2!$B$2:$E$186,2,FALSE)</f>
        <v>54</v>
      </c>
      <c r="N321" t="s">
        <v>387</v>
      </c>
      <c r="O321" t="s">
        <v>407</v>
      </c>
      <c r="P321">
        <v>0</v>
      </c>
      <c r="Q321">
        <v>0</v>
      </c>
      <c r="R321">
        <v>0</v>
      </c>
      <c r="S321">
        <v>1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1</v>
      </c>
      <c r="AM321">
        <v>0</v>
      </c>
      <c r="AN321">
        <v>0</v>
      </c>
    </row>
    <row r="322" spans="1:40" x14ac:dyDescent="0.3">
      <c r="A322" t="s">
        <v>154</v>
      </c>
      <c r="B322" s="3">
        <v>2017</v>
      </c>
      <c r="C322" s="3">
        <v>1507479.375</v>
      </c>
      <c r="D322" s="3">
        <v>2448521.25</v>
      </c>
      <c r="E322" s="3">
        <v>25.975652694702202</v>
      </c>
      <c r="F322" s="3">
        <v>0.82433545589446999</v>
      </c>
      <c r="G322" s="3">
        <v>0.32102635502815202</v>
      </c>
      <c r="H322" s="3">
        <v>5.1123958081006997E-2</v>
      </c>
      <c r="I322" s="3">
        <v>17.782533515063601</v>
      </c>
      <c r="J322" s="3">
        <v>2.6176879405975302</v>
      </c>
      <c r="K322" s="3">
        <v>1.0205063819885301</v>
      </c>
      <c r="L322" s="3">
        <f t="shared" si="4"/>
        <v>3</v>
      </c>
      <c r="M322">
        <f>VLOOKUP(A322,Sheet2!$B$2:$E$186,2,FALSE)</f>
        <v>54</v>
      </c>
      <c r="N322" t="s">
        <v>387</v>
      </c>
      <c r="O322" t="s">
        <v>407</v>
      </c>
      <c r="P322">
        <v>0</v>
      </c>
      <c r="Q322">
        <v>0</v>
      </c>
      <c r="R322">
        <v>0</v>
      </c>
      <c r="S322">
        <v>1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1</v>
      </c>
      <c r="AM322">
        <v>0</v>
      </c>
      <c r="AN322">
        <v>0</v>
      </c>
    </row>
    <row r="323" spans="1:40" x14ac:dyDescent="0.3">
      <c r="A323" t="s">
        <v>154</v>
      </c>
      <c r="B323" s="3">
        <v>2018</v>
      </c>
      <c r="C323" s="3">
        <v>1587805.625</v>
      </c>
      <c r="D323" s="3">
        <v>2582630.5</v>
      </c>
      <c r="E323" s="3">
        <v>25.984800338745099</v>
      </c>
      <c r="F323" s="3">
        <v>0.876958549022675</v>
      </c>
      <c r="G323" s="3">
        <v>0.30324444174766502</v>
      </c>
      <c r="H323" s="3">
        <v>5.1595758646726601E-2</v>
      </c>
      <c r="I323" s="3">
        <v>17.767290421810699</v>
      </c>
      <c r="J323" s="3">
        <v>2.64707231521606</v>
      </c>
      <c r="K323" s="3">
        <v>0.988872170448303</v>
      </c>
      <c r="L323" s="3">
        <f t="shared" ref="L323:L386" si="5">B323-2014</f>
        <v>4</v>
      </c>
      <c r="M323">
        <f>VLOOKUP(A323,Sheet2!$B$2:$E$186,2,FALSE)</f>
        <v>54</v>
      </c>
      <c r="N323" t="s">
        <v>387</v>
      </c>
      <c r="O323" t="s">
        <v>407</v>
      </c>
      <c r="P323">
        <v>0</v>
      </c>
      <c r="Q323">
        <v>0</v>
      </c>
      <c r="R323">
        <v>0</v>
      </c>
      <c r="S323">
        <v>1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1</v>
      </c>
      <c r="AM323">
        <v>0</v>
      </c>
      <c r="AN323">
        <v>0</v>
      </c>
    </row>
    <row r="324" spans="1:40" x14ac:dyDescent="0.3">
      <c r="A324" t="s">
        <v>154</v>
      </c>
      <c r="B324" s="3">
        <v>2019</v>
      </c>
      <c r="C324" s="3">
        <v>1675894.75</v>
      </c>
      <c r="D324" s="3">
        <v>2741249</v>
      </c>
      <c r="E324" s="3">
        <v>26.086248397827202</v>
      </c>
      <c r="F324" s="3">
        <v>0.936958968639374</v>
      </c>
      <c r="G324" s="3">
        <v>0.29964882135391202</v>
      </c>
      <c r="H324" s="3">
        <v>5.2190016955137301E-2</v>
      </c>
      <c r="I324" s="3">
        <v>16.7705818428763</v>
      </c>
      <c r="J324" s="3">
        <v>2.67678642272949</v>
      </c>
      <c r="K324" s="3">
        <v>0.96929627656936701</v>
      </c>
      <c r="L324" s="3">
        <f t="shared" si="5"/>
        <v>5</v>
      </c>
      <c r="M324">
        <f>VLOOKUP(A324,Sheet2!$B$2:$E$186,2,FALSE)</f>
        <v>54</v>
      </c>
      <c r="N324" t="s">
        <v>387</v>
      </c>
      <c r="O324" t="s">
        <v>407</v>
      </c>
      <c r="P324">
        <v>0</v>
      </c>
      <c r="Q324">
        <v>0</v>
      </c>
      <c r="R324">
        <v>0</v>
      </c>
      <c r="S324">
        <v>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1</v>
      </c>
      <c r="AM324">
        <v>0</v>
      </c>
      <c r="AN324">
        <v>0</v>
      </c>
    </row>
    <row r="325" spans="1:40" x14ac:dyDescent="0.3">
      <c r="A325" t="s">
        <v>154</v>
      </c>
      <c r="B325" s="3">
        <v>2020</v>
      </c>
      <c r="C325" s="3">
        <v>1735807.875</v>
      </c>
      <c r="D325" s="3">
        <v>2839437.75</v>
      </c>
      <c r="E325" s="3">
        <v>26.202434539794901</v>
      </c>
      <c r="F325" s="3">
        <v>0.96995162963867199</v>
      </c>
      <c r="G325" s="3">
        <v>0.29840806126594499</v>
      </c>
      <c r="H325" s="3">
        <v>5.1974181085825001E-2</v>
      </c>
      <c r="I325" s="3">
        <v>15.759172916666699</v>
      </c>
      <c r="J325" s="3">
        <v>2.7068340778350799</v>
      </c>
      <c r="K325" s="3">
        <v>1.0051460266113299</v>
      </c>
      <c r="L325" s="3">
        <f t="shared" si="5"/>
        <v>6</v>
      </c>
      <c r="M325">
        <f>VLOOKUP(A325,Sheet2!$B$2:$E$186,2,FALSE)</f>
        <v>54</v>
      </c>
      <c r="N325" t="s">
        <v>387</v>
      </c>
      <c r="O325" t="s">
        <v>407</v>
      </c>
      <c r="P325">
        <v>0</v>
      </c>
      <c r="Q325">
        <v>0</v>
      </c>
      <c r="R325">
        <v>0</v>
      </c>
      <c r="S325">
        <v>1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1</v>
      </c>
      <c r="AM325">
        <v>0</v>
      </c>
      <c r="AN325">
        <v>0</v>
      </c>
    </row>
    <row r="326" spans="1:40" x14ac:dyDescent="0.3">
      <c r="A326" t="s">
        <v>156</v>
      </c>
      <c r="B326" s="3">
        <v>2015</v>
      </c>
      <c r="C326" s="3">
        <v>1908748.5</v>
      </c>
      <c r="D326" s="3">
        <v>12182141</v>
      </c>
      <c r="E326" s="3">
        <v>18.501655578613299</v>
      </c>
      <c r="F326" s="3">
        <v>0.90385162830352805</v>
      </c>
      <c r="G326" s="3">
        <v>7.1304753422737094E-2</v>
      </c>
      <c r="H326" s="3">
        <v>3.5277366638183601E-2</v>
      </c>
      <c r="I326" s="3">
        <v>0.90129642336709603</v>
      </c>
      <c r="J326" s="3">
        <v>2.9029395580291801</v>
      </c>
      <c r="K326" s="3">
        <v>1.0202430486679099</v>
      </c>
      <c r="L326" s="3">
        <f t="shared" si="5"/>
        <v>1</v>
      </c>
      <c r="M326">
        <f>VLOOKUP(A326,Sheet2!$B$2:$E$186,2,FALSE)</f>
        <v>55</v>
      </c>
      <c r="N326" t="s">
        <v>389</v>
      </c>
      <c r="O326" t="s">
        <v>390</v>
      </c>
      <c r="P326">
        <v>0</v>
      </c>
      <c r="Q326">
        <v>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</row>
    <row r="327" spans="1:40" x14ac:dyDescent="0.3">
      <c r="A327" t="s">
        <v>156</v>
      </c>
      <c r="B327" s="3">
        <v>2016</v>
      </c>
      <c r="C327" s="3">
        <v>1964391.375</v>
      </c>
      <c r="D327" s="3">
        <v>12303894</v>
      </c>
      <c r="E327" s="3">
        <v>18.899602890014702</v>
      </c>
      <c r="F327" s="3">
        <v>0.91689038276672397</v>
      </c>
      <c r="G327" s="3">
        <v>7.3924072086811093E-2</v>
      </c>
      <c r="H327" s="3">
        <v>3.5514958202838898E-2</v>
      </c>
      <c r="I327" s="3">
        <v>0.90342143625726301</v>
      </c>
      <c r="J327" s="3">
        <v>2.92333984375</v>
      </c>
      <c r="K327" s="3">
        <v>1.0149719715118399</v>
      </c>
      <c r="L327" s="3">
        <f t="shared" si="5"/>
        <v>2</v>
      </c>
      <c r="M327">
        <f>VLOOKUP(A327,Sheet2!$B$2:$E$186,2,FALSE)</f>
        <v>55</v>
      </c>
      <c r="N327" t="s">
        <v>389</v>
      </c>
      <c r="O327" t="s">
        <v>390</v>
      </c>
      <c r="P327">
        <v>0</v>
      </c>
      <c r="Q327">
        <v>1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</row>
    <row r="328" spans="1:40" x14ac:dyDescent="0.3">
      <c r="A328" t="s">
        <v>156</v>
      </c>
      <c r="B328" s="3">
        <v>2017</v>
      </c>
      <c r="C328" s="3">
        <v>2021281</v>
      </c>
      <c r="D328" s="3">
        <v>12455941</v>
      </c>
      <c r="E328" s="3">
        <v>19.417737960815401</v>
      </c>
      <c r="F328" s="3">
        <v>0.933038890361786</v>
      </c>
      <c r="G328" s="3">
        <v>7.4726976454258007E-2</v>
      </c>
      <c r="H328" s="3">
        <v>3.58178466558456E-2</v>
      </c>
      <c r="I328" s="3">
        <v>0.88520550826937205</v>
      </c>
      <c r="J328" s="3">
        <v>2.9438836574554399</v>
      </c>
      <c r="K328" s="3">
        <v>1.02153396606445</v>
      </c>
      <c r="L328" s="3">
        <f t="shared" si="5"/>
        <v>3</v>
      </c>
      <c r="M328">
        <f>VLOOKUP(A328,Sheet2!$B$2:$E$186,2,FALSE)</f>
        <v>55</v>
      </c>
      <c r="N328" t="s">
        <v>389</v>
      </c>
      <c r="O328" t="s">
        <v>390</v>
      </c>
      <c r="P328">
        <v>0</v>
      </c>
      <c r="Q328">
        <v>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</row>
    <row r="329" spans="1:40" x14ac:dyDescent="0.3">
      <c r="A329" t="s">
        <v>156</v>
      </c>
      <c r="B329" s="3">
        <v>2018</v>
      </c>
      <c r="C329" s="3">
        <v>2069698.875</v>
      </c>
      <c r="D329" s="3">
        <v>12638864</v>
      </c>
      <c r="E329" s="3">
        <v>19.849245071411101</v>
      </c>
      <c r="F329" s="3">
        <v>0.95172256231307995</v>
      </c>
      <c r="G329" s="3">
        <v>7.3857456445693997E-2</v>
      </c>
      <c r="H329" s="3">
        <v>3.6200694739818601E-2</v>
      </c>
      <c r="I329" s="3">
        <v>0.84677266710811105</v>
      </c>
      <c r="J329" s="3">
        <v>2.96457171440125</v>
      </c>
      <c r="K329" s="3">
        <v>1.025838971138</v>
      </c>
      <c r="L329" s="3">
        <f t="shared" si="5"/>
        <v>4</v>
      </c>
      <c r="M329">
        <f>VLOOKUP(A329,Sheet2!$B$2:$E$186,2,FALSE)</f>
        <v>55</v>
      </c>
      <c r="N329" t="s">
        <v>389</v>
      </c>
      <c r="O329" t="s">
        <v>390</v>
      </c>
      <c r="P329">
        <v>0</v>
      </c>
      <c r="Q329">
        <v>1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</row>
    <row r="330" spans="1:40" x14ac:dyDescent="0.3">
      <c r="A330" t="s">
        <v>156</v>
      </c>
      <c r="B330" s="3">
        <v>2019</v>
      </c>
      <c r="C330" s="3">
        <v>2110289.5</v>
      </c>
      <c r="D330" s="3">
        <v>12842038</v>
      </c>
      <c r="E330" s="3">
        <v>20.3613681793213</v>
      </c>
      <c r="F330" s="3">
        <v>0.97241598367690996</v>
      </c>
      <c r="G330" s="3">
        <v>6.9475874304771396E-2</v>
      </c>
      <c r="H330" s="3">
        <v>3.6630704998969997E-2</v>
      </c>
      <c r="I330" s="3">
        <v>0.89327625706740899</v>
      </c>
      <c r="J330" s="3">
        <v>2.9854052066803001</v>
      </c>
      <c r="K330" s="3">
        <v>1.01940846443176</v>
      </c>
      <c r="L330" s="3">
        <f t="shared" si="5"/>
        <v>5</v>
      </c>
      <c r="M330">
        <f>VLOOKUP(A330,Sheet2!$B$2:$E$186,2,FALSE)</f>
        <v>55</v>
      </c>
      <c r="N330" t="s">
        <v>389</v>
      </c>
      <c r="O330" t="s">
        <v>390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</row>
    <row r="331" spans="1:40" x14ac:dyDescent="0.3">
      <c r="A331" t="s">
        <v>156</v>
      </c>
      <c r="B331" s="3">
        <v>2020</v>
      </c>
      <c r="C331" s="3">
        <v>1879422.25</v>
      </c>
      <c r="D331" s="3">
        <v>12976737</v>
      </c>
      <c r="E331" s="3">
        <v>19.4599609375</v>
      </c>
      <c r="F331" s="3">
        <v>0.98401683568954501</v>
      </c>
      <c r="G331" s="3">
        <v>5.2605733275413499E-2</v>
      </c>
      <c r="H331" s="3">
        <v>3.6895062774419798E-2</v>
      </c>
      <c r="I331" s="3">
        <v>0.87550639698799804</v>
      </c>
      <c r="J331" s="3">
        <v>3.0063850879669198</v>
      </c>
      <c r="K331" s="3">
        <v>0.98628968000411998</v>
      </c>
      <c r="L331" s="3">
        <f t="shared" si="5"/>
        <v>6</v>
      </c>
      <c r="M331">
        <f>VLOOKUP(A331,Sheet2!$B$2:$E$186,2,FALSE)</f>
        <v>55</v>
      </c>
      <c r="N331" t="s">
        <v>389</v>
      </c>
      <c r="O331" t="s">
        <v>390</v>
      </c>
      <c r="P331">
        <v>0</v>
      </c>
      <c r="Q331">
        <v>1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</row>
    <row r="332" spans="1:40" x14ac:dyDescent="0.3">
      <c r="A332" t="s">
        <v>157</v>
      </c>
      <c r="B332" s="3">
        <v>2015</v>
      </c>
      <c r="C332" s="3">
        <v>45237.35546875</v>
      </c>
      <c r="D332" s="3">
        <v>226817.125</v>
      </c>
      <c r="E332" s="3">
        <v>0.62418961524963401</v>
      </c>
      <c r="F332" s="3">
        <v>0.78383660316467296</v>
      </c>
      <c r="G332" s="3">
        <v>6.8756841123104095E-2</v>
      </c>
      <c r="H332" s="3">
        <v>4.3609429150819799E-2</v>
      </c>
      <c r="I332" s="3">
        <v>0.90129642336709603</v>
      </c>
      <c r="J332" s="3">
        <v>3.5081806182861301</v>
      </c>
      <c r="K332" s="3">
        <v>0.83864349126815796</v>
      </c>
      <c r="L332" s="3">
        <f t="shared" si="5"/>
        <v>1</v>
      </c>
      <c r="M332">
        <f>VLOOKUP(A332,Sheet2!$B$2:$E$186,2,FALSE)</f>
        <v>56</v>
      </c>
      <c r="N332" t="s">
        <v>389</v>
      </c>
      <c r="O332" t="s">
        <v>406</v>
      </c>
      <c r="P332">
        <v>0</v>
      </c>
      <c r="Q332">
        <v>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1</v>
      </c>
      <c r="AL332">
        <v>0</v>
      </c>
      <c r="AM332">
        <v>0</v>
      </c>
      <c r="AN332">
        <v>0</v>
      </c>
    </row>
    <row r="333" spans="1:40" x14ac:dyDescent="0.3">
      <c r="A333" t="s">
        <v>157</v>
      </c>
      <c r="B333" s="3">
        <v>2016</v>
      </c>
      <c r="C333" s="3">
        <v>46636.5625</v>
      </c>
      <c r="D333" s="3">
        <v>232457.125</v>
      </c>
      <c r="E333" s="3">
        <v>0.62536489963531505</v>
      </c>
      <c r="F333" s="3">
        <v>0.80384016036987305</v>
      </c>
      <c r="G333" s="3">
        <v>7.1276351809501703E-2</v>
      </c>
      <c r="H333" s="3">
        <v>4.3505419045686701E-2</v>
      </c>
      <c r="I333" s="3">
        <v>0.90342143625726301</v>
      </c>
      <c r="J333" s="3">
        <v>3.5126519203186</v>
      </c>
      <c r="K333" s="3">
        <v>0.86291319131851196</v>
      </c>
      <c r="L333" s="3">
        <f t="shared" si="5"/>
        <v>2</v>
      </c>
      <c r="M333">
        <f>VLOOKUP(A333,Sheet2!$B$2:$E$186,2,FALSE)</f>
        <v>56</v>
      </c>
      <c r="N333" t="s">
        <v>389</v>
      </c>
      <c r="O333" t="s">
        <v>406</v>
      </c>
      <c r="P333">
        <v>0</v>
      </c>
      <c r="Q333">
        <v>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1</v>
      </c>
      <c r="AL333">
        <v>0</v>
      </c>
      <c r="AM333">
        <v>0</v>
      </c>
      <c r="AN333">
        <v>0</v>
      </c>
    </row>
    <row r="334" spans="1:40" x14ac:dyDescent="0.3">
      <c r="A334" t="s">
        <v>157</v>
      </c>
      <c r="B334" s="3">
        <v>2017</v>
      </c>
      <c r="C334" s="3">
        <v>49264.375</v>
      </c>
      <c r="D334" s="3">
        <v>239993.203125</v>
      </c>
      <c r="E334" s="3">
        <v>0.64309871196746804</v>
      </c>
      <c r="F334" s="3">
        <v>0.83377146720886197</v>
      </c>
      <c r="G334" s="3">
        <v>7.7227406203746796E-2</v>
      </c>
      <c r="H334" s="3">
        <v>4.3642010539770099E-2</v>
      </c>
      <c r="I334" s="3">
        <v>0.88520550826937205</v>
      </c>
      <c r="J334" s="3">
        <v>3.5238549709320099</v>
      </c>
      <c r="K334" s="3">
        <v>0.875832200050354</v>
      </c>
      <c r="L334" s="3">
        <f t="shared" si="5"/>
        <v>3</v>
      </c>
      <c r="M334">
        <f>VLOOKUP(A334,Sheet2!$B$2:$E$186,2,FALSE)</f>
        <v>56</v>
      </c>
      <c r="N334" t="s">
        <v>389</v>
      </c>
      <c r="O334" t="s">
        <v>406</v>
      </c>
      <c r="P334">
        <v>0</v>
      </c>
      <c r="Q334">
        <v>1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1</v>
      </c>
      <c r="AL334">
        <v>0</v>
      </c>
      <c r="AM334">
        <v>0</v>
      </c>
      <c r="AN334">
        <v>0</v>
      </c>
    </row>
    <row r="335" spans="1:40" x14ac:dyDescent="0.3">
      <c r="A335" t="s">
        <v>157</v>
      </c>
      <c r="B335" s="3">
        <v>2018</v>
      </c>
      <c r="C335" s="3">
        <v>51087.0078125</v>
      </c>
      <c r="D335" s="3">
        <v>248853.703125</v>
      </c>
      <c r="E335" s="3">
        <v>0.64946514368057295</v>
      </c>
      <c r="F335" s="3">
        <v>0.87218469381332397</v>
      </c>
      <c r="G335" s="3">
        <v>7.5743831694126101E-2</v>
      </c>
      <c r="H335" s="3">
        <v>4.4162347912788398E-2</v>
      </c>
      <c r="I335" s="3">
        <v>0.84677266710811105</v>
      </c>
      <c r="J335" s="3">
        <v>3.5463676452636701</v>
      </c>
      <c r="K335" s="3">
        <v>0.92434167861938499</v>
      </c>
      <c r="L335" s="3">
        <f t="shared" si="5"/>
        <v>4</v>
      </c>
      <c r="M335">
        <f>VLOOKUP(A335,Sheet2!$B$2:$E$186,2,FALSE)</f>
        <v>56</v>
      </c>
      <c r="N335" t="s">
        <v>389</v>
      </c>
      <c r="O335" t="s">
        <v>406</v>
      </c>
      <c r="P335">
        <v>0</v>
      </c>
      <c r="Q335">
        <v>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1</v>
      </c>
      <c r="AL335">
        <v>0</v>
      </c>
      <c r="AM335">
        <v>0</v>
      </c>
      <c r="AN335">
        <v>0</v>
      </c>
    </row>
    <row r="336" spans="1:40" x14ac:dyDescent="0.3">
      <c r="A336" t="s">
        <v>157</v>
      </c>
      <c r="B336" s="3">
        <v>2019</v>
      </c>
      <c r="C336" s="3">
        <v>52990.83984375</v>
      </c>
      <c r="D336" s="3">
        <v>258293.90625</v>
      </c>
      <c r="E336" s="3">
        <v>0.65735518932342496</v>
      </c>
      <c r="F336" s="3">
        <v>0.91272449493408203</v>
      </c>
      <c r="G336" s="3">
        <v>7.5198210775852203E-2</v>
      </c>
      <c r="H336" s="3">
        <v>4.4845975935459102E-2</v>
      </c>
      <c r="I336" s="3">
        <v>0.89327625706740899</v>
      </c>
      <c r="J336" s="3">
        <v>3.53396797180176</v>
      </c>
      <c r="K336" s="3">
        <v>0.93154615163803101</v>
      </c>
      <c r="L336" s="3">
        <f t="shared" si="5"/>
        <v>5</v>
      </c>
      <c r="M336">
        <f>VLOOKUP(A336,Sheet2!$B$2:$E$186,2,FALSE)</f>
        <v>56</v>
      </c>
      <c r="N336" t="s">
        <v>389</v>
      </c>
      <c r="O336" t="s">
        <v>406</v>
      </c>
      <c r="P336">
        <v>0</v>
      </c>
      <c r="Q336">
        <v>1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1</v>
      </c>
      <c r="AL336">
        <v>0</v>
      </c>
      <c r="AM336">
        <v>0</v>
      </c>
      <c r="AN336">
        <v>0</v>
      </c>
    </row>
    <row r="337" spans="1:40" x14ac:dyDescent="0.3">
      <c r="A337" t="s">
        <v>157</v>
      </c>
      <c r="B337" s="3">
        <v>2020</v>
      </c>
      <c r="C337" s="3">
        <v>51462.6875</v>
      </c>
      <c r="D337" s="3">
        <v>270750.5</v>
      </c>
      <c r="E337" s="3">
        <v>0.63894593715667702</v>
      </c>
      <c r="F337" s="3">
        <v>0.96398079395294201</v>
      </c>
      <c r="G337" s="3">
        <v>6.7100636661052704E-2</v>
      </c>
      <c r="H337" s="3">
        <v>4.5512564480304697E-2</v>
      </c>
      <c r="I337" s="3">
        <v>0.87550639698799804</v>
      </c>
      <c r="J337" s="3">
        <v>3.5216114521026598</v>
      </c>
      <c r="K337" s="3">
        <v>0.94162362813949596</v>
      </c>
      <c r="L337" s="3">
        <f t="shared" si="5"/>
        <v>6</v>
      </c>
      <c r="M337">
        <f>VLOOKUP(A337,Sheet2!$B$2:$E$186,2,FALSE)</f>
        <v>56</v>
      </c>
      <c r="N337" t="s">
        <v>389</v>
      </c>
      <c r="O337" t="s">
        <v>406</v>
      </c>
      <c r="P337">
        <v>0</v>
      </c>
      <c r="Q337">
        <v>1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1</v>
      </c>
      <c r="AL337">
        <v>0</v>
      </c>
      <c r="AM337">
        <v>0</v>
      </c>
      <c r="AN337">
        <v>0</v>
      </c>
    </row>
    <row r="338" spans="1:40" x14ac:dyDescent="0.3">
      <c r="A338" t="s">
        <v>158</v>
      </c>
      <c r="B338" s="3">
        <v>2015</v>
      </c>
      <c r="C338" s="3">
        <v>229277.953125</v>
      </c>
      <c r="D338" s="3">
        <v>392001.78125</v>
      </c>
      <c r="E338" s="3">
        <v>47.351211547851598</v>
      </c>
      <c r="F338" s="3"/>
      <c r="G338" s="3"/>
      <c r="H338" s="3">
        <v>5.32596632838249E-2</v>
      </c>
      <c r="I338" s="3">
        <v>20.57684875</v>
      </c>
      <c r="J338" s="3">
        <v>1.37527632713318</v>
      </c>
      <c r="K338" s="3"/>
      <c r="L338" s="3">
        <f t="shared" si="5"/>
        <v>1</v>
      </c>
      <c r="M338">
        <f>VLOOKUP(A338,Sheet2!$B$2:$E$186,2,FALSE)</f>
        <v>57</v>
      </c>
      <c r="N338" t="s">
        <v>387</v>
      </c>
      <c r="O338" t="s">
        <v>397</v>
      </c>
      <c r="P338">
        <v>0</v>
      </c>
      <c r="Q338">
        <v>0</v>
      </c>
      <c r="R338">
        <v>0</v>
      </c>
      <c r="S338">
        <v>1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</row>
    <row r="339" spans="1:40" x14ac:dyDescent="0.3">
      <c r="A339" t="s">
        <v>158</v>
      </c>
      <c r="B339" s="3">
        <v>2016</v>
      </c>
      <c r="C339" s="3">
        <v>246615.421875</v>
      </c>
      <c r="D339" s="3">
        <v>461277.84375</v>
      </c>
      <c r="E339" s="3">
        <v>49.057762145996101</v>
      </c>
      <c r="F339" s="3"/>
      <c r="G339" s="3"/>
      <c r="H339" s="3">
        <v>5.1245629787445103E-2</v>
      </c>
      <c r="I339" s="3">
        <v>21.731547222222201</v>
      </c>
      <c r="J339" s="3">
        <v>1.3948346376419101</v>
      </c>
      <c r="K339" s="3"/>
      <c r="L339" s="3">
        <f t="shared" si="5"/>
        <v>2</v>
      </c>
      <c r="M339">
        <f>VLOOKUP(A339,Sheet2!$B$2:$E$186,2,FALSE)</f>
        <v>57</v>
      </c>
      <c r="N339" t="s">
        <v>387</v>
      </c>
      <c r="O339" t="s">
        <v>397</v>
      </c>
      <c r="P339">
        <v>0</v>
      </c>
      <c r="Q339">
        <v>0</v>
      </c>
      <c r="R339">
        <v>0</v>
      </c>
      <c r="S339">
        <v>1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</row>
    <row r="340" spans="1:40" x14ac:dyDescent="0.3">
      <c r="A340" t="s">
        <v>158</v>
      </c>
      <c r="B340" s="3">
        <v>2017</v>
      </c>
      <c r="C340" s="3">
        <v>270202.1875</v>
      </c>
      <c r="D340" s="3">
        <v>533577.4375</v>
      </c>
      <c r="E340" s="3">
        <v>50.762298583984403</v>
      </c>
      <c r="F340" s="3"/>
      <c r="G340" s="3"/>
      <c r="H340" s="3">
        <v>4.9410779029130901E-2</v>
      </c>
      <c r="I340" s="3">
        <v>23.866104457412501</v>
      </c>
      <c r="J340" s="3">
        <v>1.4146710634231601</v>
      </c>
      <c r="K340" s="3"/>
      <c r="L340" s="3">
        <f t="shared" si="5"/>
        <v>3</v>
      </c>
      <c r="M340">
        <f>VLOOKUP(A340,Sheet2!$B$2:$E$186,2,FALSE)</f>
        <v>57</v>
      </c>
      <c r="N340" t="s">
        <v>387</v>
      </c>
      <c r="O340" t="s">
        <v>397</v>
      </c>
      <c r="P340">
        <v>0</v>
      </c>
      <c r="Q340">
        <v>0</v>
      </c>
      <c r="R340">
        <v>0</v>
      </c>
      <c r="S340">
        <v>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1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</row>
    <row r="341" spans="1:40" x14ac:dyDescent="0.3">
      <c r="A341" t="s">
        <v>158</v>
      </c>
      <c r="B341" s="3">
        <v>2018</v>
      </c>
      <c r="C341" s="3">
        <v>288619.65625</v>
      </c>
      <c r="D341" s="3">
        <v>600153.875</v>
      </c>
      <c r="E341" s="3">
        <v>52.562797546386697</v>
      </c>
      <c r="F341" s="3"/>
      <c r="G341" s="3"/>
      <c r="H341" s="3">
        <v>4.7928236424922901E-2</v>
      </c>
      <c r="I341" s="3">
        <v>27.429386594166701</v>
      </c>
      <c r="J341" s="3">
        <v>1.4347896575927701</v>
      </c>
      <c r="K341" s="3"/>
      <c r="L341" s="3">
        <f t="shared" si="5"/>
        <v>4</v>
      </c>
      <c r="M341">
        <f>VLOOKUP(A341,Sheet2!$B$2:$E$186,2,FALSE)</f>
        <v>57</v>
      </c>
      <c r="N341" t="s">
        <v>387</v>
      </c>
      <c r="O341" t="s">
        <v>397</v>
      </c>
      <c r="P341">
        <v>0</v>
      </c>
      <c r="Q341">
        <v>0</v>
      </c>
      <c r="R341">
        <v>0</v>
      </c>
      <c r="S341">
        <v>1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</row>
    <row r="342" spans="1:40" x14ac:dyDescent="0.3">
      <c r="A342" t="s">
        <v>158</v>
      </c>
      <c r="B342" s="3">
        <v>2019</v>
      </c>
      <c r="C342" s="3">
        <v>312760.65625</v>
      </c>
      <c r="D342" s="3">
        <v>664562.125</v>
      </c>
      <c r="E342" s="3">
        <v>52.805583953857401</v>
      </c>
      <c r="F342" s="3"/>
      <c r="G342" s="3"/>
      <c r="H342" s="3">
        <v>4.6366848051547997E-2</v>
      </c>
      <c r="I342" s="3">
        <v>29.069749999999999</v>
      </c>
      <c r="J342" s="3">
        <v>1.45519435405731</v>
      </c>
      <c r="K342" s="3"/>
      <c r="L342" s="3">
        <f t="shared" si="5"/>
        <v>5</v>
      </c>
      <c r="M342">
        <f>VLOOKUP(A342,Sheet2!$B$2:$E$186,2,FALSE)</f>
        <v>57</v>
      </c>
      <c r="N342" t="s">
        <v>387</v>
      </c>
      <c r="O342" t="s">
        <v>397</v>
      </c>
      <c r="P342">
        <v>0</v>
      </c>
      <c r="Q342">
        <v>0</v>
      </c>
      <c r="R342">
        <v>0</v>
      </c>
      <c r="S342">
        <v>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</row>
    <row r="343" spans="1:40" x14ac:dyDescent="0.3">
      <c r="A343" t="s">
        <v>158</v>
      </c>
      <c r="B343" s="3">
        <v>2020</v>
      </c>
      <c r="C343" s="3">
        <v>331711.75</v>
      </c>
      <c r="D343" s="3">
        <v>725443.75</v>
      </c>
      <c r="E343" s="3">
        <v>53.0328559875488</v>
      </c>
      <c r="F343" s="3"/>
      <c r="G343" s="3"/>
      <c r="H343" s="3">
        <v>4.5144066214561497E-2</v>
      </c>
      <c r="I343" s="3">
        <v>34.927165404040402</v>
      </c>
      <c r="J343" s="3">
        <v>1.4758892059326201</v>
      </c>
      <c r="K343" s="3"/>
      <c r="L343" s="3">
        <f t="shared" si="5"/>
        <v>6</v>
      </c>
      <c r="M343">
        <f>VLOOKUP(A343,Sheet2!$B$2:$E$186,2,FALSE)</f>
        <v>57</v>
      </c>
      <c r="N343" t="s">
        <v>387</v>
      </c>
      <c r="O343" t="s">
        <v>397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1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</row>
    <row r="344" spans="1:40" x14ac:dyDescent="0.3">
      <c r="A344" t="s">
        <v>160</v>
      </c>
      <c r="B344" s="3">
        <v>2015</v>
      </c>
      <c r="C344" s="3">
        <v>268326.90625</v>
      </c>
      <c r="D344" s="3">
        <v>1592210.125</v>
      </c>
      <c r="E344" s="3">
        <v>2.5176265239715598</v>
      </c>
      <c r="F344" s="3">
        <v>0.89510124921798695</v>
      </c>
      <c r="G344" s="3">
        <v>6.1188258230686202E-2</v>
      </c>
      <c r="H344" s="3">
        <v>3.6743070930242497E-2</v>
      </c>
      <c r="I344" s="3">
        <v>0.90129642336709603</v>
      </c>
      <c r="J344" s="3">
        <v>3.4284126758575399</v>
      </c>
      <c r="K344" s="3">
        <v>1.00482273101807</v>
      </c>
      <c r="L344" s="3">
        <f t="shared" si="5"/>
        <v>1</v>
      </c>
      <c r="M344">
        <f>VLOOKUP(A344,Sheet2!$B$2:$E$186,2,FALSE)</f>
        <v>58</v>
      </c>
      <c r="N344" t="s">
        <v>389</v>
      </c>
      <c r="O344" t="s">
        <v>406</v>
      </c>
      <c r="P344">
        <v>0</v>
      </c>
      <c r="Q344">
        <v>1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1</v>
      </c>
      <c r="AL344">
        <v>0</v>
      </c>
      <c r="AM344">
        <v>0</v>
      </c>
      <c r="AN344">
        <v>0</v>
      </c>
    </row>
    <row r="345" spans="1:40" x14ac:dyDescent="0.3">
      <c r="A345" t="s">
        <v>160</v>
      </c>
      <c r="B345" s="3">
        <v>2016</v>
      </c>
      <c r="C345" s="3">
        <v>275228.09375</v>
      </c>
      <c r="D345" s="3">
        <v>1620614.5</v>
      </c>
      <c r="E345" s="3">
        <v>2.5320639610290501</v>
      </c>
      <c r="F345" s="3">
        <v>0.90987086296081499</v>
      </c>
      <c r="G345" s="3">
        <v>6.1858963221311597E-2</v>
      </c>
      <c r="H345" s="3">
        <v>3.6488462239503902E-2</v>
      </c>
      <c r="I345" s="3">
        <v>0.90342143625726301</v>
      </c>
      <c r="J345" s="3">
        <v>3.44726634025574</v>
      </c>
      <c r="K345" s="3">
        <v>1.0235084295272801</v>
      </c>
      <c r="L345" s="3">
        <f t="shared" si="5"/>
        <v>2</v>
      </c>
      <c r="M345">
        <f>VLOOKUP(A345,Sheet2!$B$2:$E$186,2,FALSE)</f>
        <v>58</v>
      </c>
      <c r="N345" t="s">
        <v>389</v>
      </c>
      <c r="O345" t="s">
        <v>406</v>
      </c>
      <c r="P345">
        <v>0</v>
      </c>
      <c r="Q345">
        <v>1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1</v>
      </c>
      <c r="AL345">
        <v>0</v>
      </c>
      <c r="AM345">
        <v>0</v>
      </c>
      <c r="AN345">
        <v>0</v>
      </c>
    </row>
    <row r="346" spans="1:40" x14ac:dyDescent="0.3">
      <c r="A346" t="s">
        <v>160</v>
      </c>
      <c r="B346" s="3">
        <v>2017</v>
      </c>
      <c r="C346" s="3">
        <v>284319.90625</v>
      </c>
      <c r="D346" s="3">
        <v>1652962.5</v>
      </c>
      <c r="E346" s="3">
        <v>2.5473766326904301</v>
      </c>
      <c r="F346" s="3">
        <v>0.92726904153823897</v>
      </c>
      <c r="G346" s="3">
        <v>6.7347891628742204E-2</v>
      </c>
      <c r="H346" s="3">
        <v>3.6328643560409497E-2</v>
      </c>
      <c r="I346" s="3">
        <v>0.88520550826937205</v>
      </c>
      <c r="J346" s="3">
        <v>3.4662239551544198</v>
      </c>
      <c r="K346" s="3">
        <v>1.0262491703033401</v>
      </c>
      <c r="L346" s="3">
        <f t="shared" si="5"/>
        <v>3</v>
      </c>
      <c r="M346">
        <f>VLOOKUP(A346,Sheet2!$B$2:$E$186,2,FALSE)</f>
        <v>58</v>
      </c>
      <c r="N346" t="s">
        <v>389</v>
      </c>
      <c r="O346" t="s">
        <v>406</v>
      </c>
      <c r="P346">
        <v>0</v>
      </c>
      <c r="Q346">
        <v>1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1</v>
      </c>
      <c r="AL346">
        <v>0</v>
      </c>
      <c r="AM346">
        <v>0</v>
      </c>
      <c r="AN346">
        <v>0</v>
      </c>
    </row>
    <row r="347" spans="1:40" x14ac:dyDescent="0.3">
      <c r="A347" t="s">
        <v>160</v>
      </c>
      <c r="B347" s="3">
        <v>2018</v>
      </c>
      <c r="C347" s="3">
        <v>287711.78125</v>
      </c>
      <c r="D347" s="3">
        <v>1688566.375</v>
      </c>
      <c r="E347" s="3">
        <v>2.6133658885955802</v>
      </c>
      <c r="F347" s="3">
        <v>0.94804847240447998</v>
      </c>
      <c r="G347" s="3">
        <v>6.4204543828964206E-2</v>
      </c>
      <c r="H347" s="3">
        <v>3.6283537745475797E-2</v>
      </c>
      <c r="I347" s="3">
        <v>0.84677266710811105</v>
      </c>
      <c r="J347" s="3">
        <v>3.4852857589721702</v>
      </c>
      <c r="K347" s="3">
        <v>1.02557909488678</v>
      </c>
      <c r="L347" s="3">
        <f t="shared" si="5"/>
        <v>4</v>
      </c>
      <c r="M347">
        <f>VLOOKUP(A347,Sheet2!$B$2:$E$186,2,FALSE)</f>
        <v>58</v>
      </c>
      <c r="N347" t="s">
        <v>389</v>
      </c>
      <c r="O347" t="s">
        <v>406</v>
      </c>
      <c r="P347">
        <v>0</v>
      </c>
      <c r="Q347">
        <v>1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1</v>
      </c>
      <c r="AL347">
        <v>0</v>
      </c>
      <c r="AM347">
        <v>0</v>
      </c>
      <c r="AN347">
        <v>0</v>
      </c>
    </row>
    <row r="348" spans="1:40" x14ac:dyDescent="0.3">
      <c r="A348" t="s">
        <v>160</v>
      </c>
      <c r="B348" s="3">
        <v>2019</v>
      </c>
      <c r="C348" s="3">
        <v>291595.125</v>
      </c>
      <c r="D348" s="3">
        <v>1722112.5</v>
      </c>
      <c r="E348" s="3">
        <v>2.6521620750427202</v>
      </c>
      <c r="F348" s="3">
        <v>0.96703523397445701</v>
      </c>
      <c r="G348" s="3">
        <v>6.1465490609407397E-2</v>
      </c>
      <c r="H348" s="3">
        <v>3.6296553909778602E-2</v>
      </c>
      <c r="I348" s="3">
        <v>0.89327625706740899</v>
      </c>
      <c r="J348" s="3">
        <v>3.5044519901275599</v>
      </c>
      <c r="K348" s="3">
        <v>1.00495982170105</v>
      </c>
      <c r="L348" s="3">
        <f t="shared" si="5"/>
        <v>5</v>
      </c>
      <c r="M348">
        <f>VLOOKUP(A348,Sheet2!$B$2:$E$186,2,FALSE)</f>
        <v>58</v>
      </c>
      <c r="N348" t="s">
        <v>389</v>
      </c>
      <c r="O348" t="s">
        <v>406</v>
      </c>
      <c r="P348">
        <v>0</v>
      </c>
      <c r="Q348">
        <v>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1</v>
      </c>
      <c r="AL348">
        <v>0</v>
      </c>
      <c r="AM348">
        <v>0</v>
      </c>
      <c r="AN348">
        <v>0</v>
      </c>
    </row>
    <row r="349" spans="1:40" x14ac:dyDescent="0.3">
      <c r="A349" t="s">
        <v>160</v>
      </c>
      <c r="B349" s="3">
        <v>2020</v>
      </c>
      <c r="C349" s="3">
        <v>284331.40625</v>
      </c>
      <c r="D349" s="3">
        <v>1753664.25</v>
      </c>
      <c r="E349" s="3">
        <v>2.58947658538818</v>
      </c>
      <c r="F349" s="3">
        <v>0.98235118389129605</v>
      </c>
      <c r="G349" s="3">
        <v>5.9688393026590403E-2</v>
      </c>
      <c r="H349" s="3">
        <v>3.6186002194881398E-2</v>
      </c>
      <c r="I349" s="3">
        <v>0.87550639698799804</v>
      </c>
      <c r="J349" s="3">
        <v>3.5237240791320801</v>
      </c>
      <c r="K349" s="3">
        <v>0.99440860748291005</v>
      </c>
      <c r="L349" s="3">
        <f t="shared" si="5"/>
        <v>6</v>
      </c>
      <c r="M349">
        <f>VLOOKUP(A349,Sheet2!$B$2:$E$186,2,FALSE)</f>
        <v>58</v>
      </c>
      <c r="N349" t="s">
        <v>389</v>
      </c>
      <c r="O349" t="s">
        <v>406</v>
      </c>
      <c r="P349">
        <v>0</v>
      </c>
      <c r="Q349">
        <v>1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1</v>
      </c>
      <c r="AL349">
        <v>0</v>
      </c>
      <c r="AM349">
        <v>0</v>
      </c>
      <c r="AN349">
        <v>0</v>
      </c>
    </row>
    <row r="350" spans="1:40" x14ac:dyDescent="0.3">
      <c r="A350" t="s">
        <v>161</v>
      </c>
      <c r="B350" s="3">
        <v>2015</v>
      </c>
      <c r="C350" s="3">
        <v>11055.5244140625</v>
      </c>
      <c r="D350" s="3">
        <v>26442.48046875</v>
      </c>
      <c r="E350" s="3">
        <v>0.32126995921134999</v>
      </c>
      <c r="F350" s="3">
        <v>0.83355367183685303</v>
      </c>
      <c r="G350" s="3">
        <v>0.23739780485629999</v>
      </c>
      <c r="H350" s="3">
        <v>8.2349821925163297E-2</v>
      </c>
      <c r="I350" s="3">
        <v>2.0976298163310099</v>
      </c>
      <c r="J350" s="3">
        <v>2.6608049869537398</v>
      </c>
      <c r="K350" s="3">
        <v>0.98908537626266502</v>
      </c>
      <c r="L350" s="3">
        <f t="shared" si="5"/>
        <v>1</v>
      </c>
      <c r="M350">
        <f>VLOOKUP(A350,Sheet2!$B$2:$E$186,2,FALSE)</f>
        <v>59</v>
      </c>
      <c r="N350" t="s">
        <v>394</v>
      </c>
      <c r="O350" t="s">
        <v>408</v>
      </c>
      <c r="P350">
        <v>0</v>
      </c>
      <c r="Q350">
        <v>0</v>
      </c>
      <c r="R350">
        <v>0</v>
      </c>
      <c r="S350">
        <v>0</v>
      </c>
      <c r="T350">
        <v>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1</v>
      </c>
      <c r="AN350">
        <v>0</v>
      </c>
    </row>
    <row r="351" spans="1:40" x14ac:dyDescent="0.3">
      <c r="A351" t="s">
        <v>161</v>
      </c>
      <c r="B351" s="3">
        <v>2016</v>
      </c>
      <c r="C351" s="3">
        <v>11325.904296875</v>
      </c>
      <c r="D351" s="3">
        <v>27491.458984375</v>
      </c>
      <c r="E351" s="3">
        <v>0.31299996376037598</v>
      </c>
      <c r="F351" s="3">
        <v>0.86805051565170299</v>
      </c>
      <c r="G351" s="3">
        <v>0.23483258485794101</v>
      </c>
      <c r="H351" s="3">
        <v>8.2166612148284898E-2</v>
      </c>
      <c r="I351" s="3">
        <v>2.0946959391850801</v>
      </c>
      <c r="J351" s="3">
        <v>2.6709451675414999</v>
      </c>
      <c r="K351" s="3">
        <v>1.0085526704788199</v>
      </c>
      <c r="L351" s="3">
        <f t="shared" si="5"/>
        <v>2</v>
      </c>
      <c r="M351">
        <f>VLOOKUP(A351,Sheet2!$B$2:$E$186,2,FALSE)</f>
        <v>59</v>
      </c>
      <c r="N351" t="s">
        <v>394</v>
      </c>
      <c r="O351" t="s">
        <v>408</v>
      </c>
      <c r="P351">
        <v>0</v>
      </c>
      <c r="Q351">
        <v>0</v>
      </c>
      <c r="R351">
        <v>0</v>
      </c>
      <c r="S351">
        <v>0</v>
      </c>
      <c r="T351">
        <v>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1</v>
      </c>
      <c r="AN351">
        <v>0</v>
      </c>
    </row>
    <row r="352" spans="1:40" x14ac:dyDescent="0.3">
      <c r="A352" t="s">
        <v>161</v>
      </c>
      <c r="B352" s="3">
        <v>2017</v>
      </c>
      <c r="C352" s="3">
        <v>11932.2216796875</v>
      </c>
      <c r="D352" s="3">
        <v>28617.021484375</v>
      </c>
      <c r="E352" s="3">
        <v>0.31341943144798301</v>
      </c>
      <c r="F352" s="3">
        <v>0.90507680177688599</v>
      </c>
      <c r="G352" s="3">
        <v>0.23995725810527799</v>
      </c>
      <c r="H352" s="3">
        <v>8.1972762942314203E-2</v>
      </c>
      <c r="I352" s="3">
        <v>2.0668753038145402</v>
      </c>
      <c r="J352" s="3">
        <v>2.68112397193909</v>
      </c>
      <c r="K352" s="3">
        <v>1.0506716966628999</v>
      </c>
      <c r="L352" s="3">
        <f t="shared" si="5"/>
        <v>3</v>
      </c>
      <c r="M352">
        <f>VLOOKUP(A352,Sheet2!$B$2:$E$186,2,FALSE)</f>
        <v>59</v>
      </c>
      <c r="N352" t="s">
        <v>394</v>
      </c>
      <c r="O352" t="s">
        <v>408</v>
      </c>
      <c r="P352">
        <v>0</v>
      </c>
      <c r="Q352">
        <v>0</v>
      </c>
      <c r="R352">
        <v>0</v>
      </c>
      <c r="S352">
        <v>0</v>
      </c>
      <c r="T352">
        <v>1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1</v>
      </c>
      <c r="AN352">
        <v>0</v>
      </c>
    </row>
    <row r="353" spans="1:40" x14ac:dyDescent="0.3">
      <c r="A353" t="s">
        <v>161</v>
      </c>
      <c r="B353" s="3">
        <v>2018</v>
      </c>
      <c r="C353" s="3">
        <v>12387.119140625</v>
      </c>
      <c r="D353" s="3">
        <v>29721.080078125</v>
      </c>
      <c r="E353" s="3">
        <v>0.31399723887443498</v>
      </c>
      <c r="F353" s="3">
        <v>0.94474631547927901</v>
      </c>
      <c r="G353" s="3">
        <v>0.24060304462909701</v>
      </c>
      <c r="H353" s="3">
        <v>8.2148768007755293E-2</v>
      </c>
      <c r="I353" s="3">
        <v>2.0873797892499701</v>
      </c>
      <c r="J353" s="3">
        <v>2.6913414001464799</v>
      </c>
      <c r="K353" s="3">
        <v>1.0892815589904801</v>
      </c>
      <c r="L353" s="3">
        <f t="shared" si="5"/>
        <v>4</v>
      </c>
      <c r="M353">
        <f>VLOOKUP(A353,Sheet2!$B$2:$E$186,2,FALSE)</f>
        <v>59</v>
      </c>
      <c r="N353" t="s">
        <v>394</v>
      </c>
      <c r="O353" t="s">
        <v>408</v>
      </c>
      <c r="P353">
        <v>0</v>
      </c>
      <c r="Q353">
        <v>0</v>
      </c>
      <c r="R353">
        <v>0</v>
      </c>
      <c r="S353">
        <v>0</v>
      </c>
      <c r="T353">
        <v>1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1</v>
      </c>
      <c r="AN353">
        <v>0</v>
      </c>
    </row>
    <row r="354" spans="1:40" x14ac:dyDescent="0.3">
      <c r="A354" t="s">
        <v>161</v>
      </c>
      <c r="B354" s="3">
        <v>2019</v>
      </c>
      <c r="C354" s="3">
        <v>12315.2109375</v>
      </c>
      <c r="D354" s="3">
        <v>30620.41796875</v>
      </c>
      <c r="E354" s="3">
        <v>0.31495213508606001</v>
      </c>
      <c r="F354" s="3">
        <v>0.97493594884872403</v>
      </c>
      <c r="G354" s="3">
        <v>0.23099569976329801</v>
      </c>
      <c r="H354" s="3">
        <v>8.2158781588077601E-2</v>
      </c>
      <c r="I354" s="3">
        <v>2.1603931153146401</v>
      </c>
      <c r="J354" s="3">
        <v>2.7015976905822798</v>
      </c>
      <c r="K354" s="3">
        <v>1.0942699909210201</v>
      </c>
      <c r="L354" s="3">
        <f t="shared" si="5"/>
        <v>5</v>
      </c>
      <c r="M354">
        <f>VLOOKUP(A354,Sheet2!$B$2:$E$186,2,FALSE)</f>
        <v>59</v>
      </c>
      <c r="N354" t="s">
        <v>394</v>
      </c>
      <c r="O354" t="s">
        <v>408</v>
      </c>
      <c r="P354">
        <v>0</v>
      </c>
      <c r="Q354">
        <v>0</v>
      </c>
      <c r="R354">
        <v>0</v>
      </c>
      <c r="S354">
        <v>0</v>
      </c>
      <c r="T354">
        <v>1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1</v>
      </c>
      <c r="AN354">
        <v>0</v>
      </c>
    </row>
    <row r="355" spans="1:40" x14ac:dyDescent="0.3">
      <c r="A355" t="s">
        <v>161</v>
      </c>
      <c r="B355" s="3">
        <v>2020</v>
      </c>
      <c r="C355" s="3">
        <v>10216.71484375</v>
      </c>
      <c r="D355" s="3">
        <v>30929.390625</v>
      </c>
      <c r="E355" s="3">
        <v>0.30522215366363498</v>
      </c>
      <c r="F355" s="3">
        <v>0.984999239444733</v>
      </c>
      <c r="G355" s="3">
        <v>0.176417231559753</v>
      </c>
      <c r="H355" s="3">
        <v>8.1785336136817904E-2</v>
      </c>
      <c r="I355" s="3">
        <v>2.1688049242424201</v>
      </c>
      <c r="J355" s="3">
        <v>2.71189308166504</v>
      </c>
      <c r="K355" s="3">
        <v>0.97099047899246205</v>
      </c>
      <c r="L355" s="3">
        <f t="shared" si="5"/>
        <v>6</v>
      </c>
      <c r="M355">
        <f>VLOOKUP(A355,Sheet2!$B$2:$E$186,2,FALSE)</f>
        <v>59</v>
      </c>
      <c r="N355" t="s">
        <v>394</v>
      </c>
      <c r="O355" t="s">
        <v>408</v>
      </c>
      <c r="P355">
        <v>0</v>
      </c>
      <c r="Q355">
        <v>0</v>
      </c>
      <c r="R355">
        <v>0</v>
      </c>
      <c r="S355">
        <v>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1</v>
      </c>
      <c r="AN355">
        <v>0</v>
      </c>
    </row>
    <row r="356" spans="1:40" x14ac:dyDescent="0.3">
      <c r="A356" t="s">
        <v>163</v>
      </c>
      <c r="B356" s="3">
        <v>2015</v>
      </c>
      <c r="C356" s="3">
        <v>3245458.75</v>
      </c>
      <c r="D356" s="3">
        <v>18986968</v>
      </c>
      <c r="E356" s="3">
        <v>27.843126296997099</v>
      </c>
      <c r="F356" s="3">
        <v>0.88782793283462502</v>
      </c>
      <c r="G356" s="3">
        <v>5.05196191370487E-2</v>
      </c>
      <c r="H356" s="3">
        <v>3.4560628235340098E-2</v>
      </c>
      <c r="I356" s="3">
        <v>0.90129642336709603</v>
      </c>
      <c r="J356" s="3">
        <v>3.1517491340637198</v>
      </c>
      <c r="K356" s="3">
        <v>1.02453482151032</v>
      </c>
      <c r="L356" s="3">
        <f t="shared" si="5"/>
        <v>1</v>
      </c>
      <c r="M356">
        <f>VLOOKUP(A356,Sheet2!$B$2:$E$186,2,FALSE)</f>
        <v>60</v>
      </c>
      <c r="N356" t="s">
        <v>389</v>
      </c>
      <c r="O356" t="s">
        <v>396</v>
      </c>
      <c r="P356">
        <v>0</v>
      </c>
      <c r="Q356">
        <v>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1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</row>
    <row r="357" spans="1:40" x14ac:dyDescent="0.3">
      <c r="A357" t="s">
        <v>163</v>
      </c>
      <c r="B357" s="3">
        <v>2016</v>
      </c>
      <c r="C357" s="3">
        <v>3273370.75</v>
      </c>
      <c r="D357" s="3">
        <v>19230126</v>
      </c>
      <c r="E357" s="3">
        <v>28.014055252075199</v>
      </c>
      <c r="F357" s="3">
        <v>0.90333604812622104</v>
      </c>
      <c r="G357" s="3">
        <v>4.9087364226579701E-2</v>
      </c>
      <c r="H357" s="3">
        <v>3.4816503524780301E-2</v>
      </c>
      <c r="I357" s="3">
        <v>0.90342143625726301</v>
      </c>
      <c r="J357" s="3">
        <v>3.1711659431457502</v>
      </c>
      <c r="K357" s="3">
        <v>1.0230026245117201</v>
      </c>
      <c r="L357" s="3">
        <f t="shared" si="5"/>
        <v>2</v>
      </c>
      <c r="M357">
        <f>VLOOKUP(A357,Sheet2!$B$2:$E$186,2,FALSE)</f>
        <v>60</v>
      </c>
      <c r="N357" t="s">
        <v>389</v>
      </c>
      <c r="O357" t="s">
        <v>396</v>
      </c>
      <c r="P357">
        <v>0</v>
      </c>
      <c r="Q357">
        <v>1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1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</row>
    <row r="358" spans="1:40" x14ac:dyDescent="0.3">
      <c r="A358" t="s">
        <v>163</v>
      </c>
      <c r="B358" s="3">
        <v>2017</v>
      </c>
      <c r="C358" s="3">
        <v>3341575.25</v>
      </c>
      <c r="D358" s="3">
        <v>19494636</v>
      </c>
      <c r="E358" s="3">
        <v>28.3189086914063</v>
      </c>
      <c r="F358" s="3">
        <v>0.92081707715988204</v>
      </c>
      <c r="G358" s="3">
        <v>4.7595020383596399E-2</v>
      </c>
      <c r="H358" s="3">
        <v>3.5138800740241997E-2</v>
      </c>
      <c r="I358" s="3">
        <v>0.88520550826937205</v>
      </c>
      <c r="J358" s="3">
        <v>3.19070243835449</v>
      </c>
      <c r="K358" s="3">
        <v>1.0329959392547601</v>
      </c>
      <c r="L358" s="3">
        <f t="shared" si="5"/>
        <v>3</v>
      </c>
      <c r="M358">
        <f>VLOOKUP(A358,Sheet2!$B$2:$E$186,2,FALSE)</f>
        <v>60</v>
      </c>
      <c r="N358" t="s">
        <v>389</v>
      </c>
      <c r="O358" t="s">
        <v>396</v>
      </c>
      <c r="P358">
        <v>0</v>
      </c>
      <c r="Q358">
        <v>1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1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</row>
    <row r="359" spans="1:40" x14ac:dyDescent="0.3">
      <c r="A359" t="s">
        <v>163</v>
      </c>
      <c r="B359" s="3">
        <v>2018</v>
      </c>
      <c r="C359" s="3">
        <v>3396574.5</v>
      </c>
      <c r="D359" s="3">
        <v>19778842</v>
      </c>
      <c r="E359" s="3">
        <v>28.5732021331787</v>
      </c>
      <c r="F359" s="3">
        <v>0.94037365913391102</v>
      </c>
      <c r="G359" s="3">
        <v>4.6880424022674602E-2</v>
      </c>
      <c r="H359" s="3">
        <v>3.5533394664526E-2</v>
      </c>
      <c r="I359" s="3">
        <v>0.84677266710811105</v>
      </c>
      <c r="J359" s="3">
        <v>3.21035933494568</v>
      </c>
      <c r="K359" s="3">
        <v>1.02687287330627</v>
      </c>
      <c r="L359" s="3">
        <f t="shared" si="5"/>
        <v>4</v>
      </c>
      <c r="M359">
        <f>VLOOKUP(A359,Sheet2!$B$2:$E$186,2,FALSE)</f>
        <v>60</v>
      </c>
      <c r="N359" t="s">
        <v>389</v>
      </c>
      <c r="O359" t="s">
        <v>396</v>
      </c>
      <c r="P359">
        <v>0</v>
      </c>
      <c r="Q359">
        <v>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1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</row>
    <row r="360" spans="1:40" x14ac:dyDescent="0.3">
      <c r="A360" t="s">
        <v>163</v>
      </c>
      <c r="B360" s="3">
        <v>2019</v>
      </c>
      <c r="C360" s="3">
        <v>3465438.25</v>
      </c>
      <c r="D360" s="3">
        <v>20087500</v>
      </c>
      <c r="E360" s="3">
        <v>28.8874206542969</v>
      </c>
      <c r="F360" s="3">
        <v>0.96143889427185103</v>
      </c>
      <c r="G360" s="3">
        <v>4.8303667455911602E-2</v>
      </c>
      <c r="H360" s="3">
        <v>3.5990845412015901E-2</v>
      </c>
      <c r="I360" s="3">
        <v>0.89327625706740899</v>
      </c>
      <c r="J360" s="3">
        <v>3.2301373481750502</v>
      </c>
      <c r="K360" s="3">
        <v>1.0255433320999101</v>
      </c>
      <c r="L360" s="3">
        <f t="shared" si="5"/>
        <v>5</v>
      </c>
      <c r="M360">
        <f>VLOOKUP(A360,Sheet2!$B$2:$E$186,2,FALSE)</f>
        <v>60</v>
      </c>
      <c r="N360" t="s">
        <v>389</v>
      </c>
      <c r="O360" t="s">
        <v>396</v>
      </c>
      <c r="P360">
        <v>0</v>
      </c>
      <c r="Q360">
        <v>1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1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</row>
    <row r="361" spans="1:40" x14ac:dyDescent="0.3">
      <c r="A361" t="s">
        <v>163</v>
      </c>
      <c r="B361" s="3">
        <v>2020</v>
      </c>
      <c r="C361" s="3">
        <v>3207587.25</v>
      </c>
      <c r="D361" s="3">
        <v>20318816</v>
      </c>
      <c r="E361" s="3">
        <v>28.8509006500244</v>
      </c>
      <c r="F361" s="3">
        <v>0.97621345520019498</v>
      </c>
      <c r="G361" s="3">
        <v>4.2933396995067603E-2</v>
      </c>
      <c r="H361" s="3">
        <v>3.6356292665004702E-2</v>
      </c>
      <c r="I361" s="3">
        <v>0.87550639698799804</v>
      </c>
      <c r="J361" s="3">
        <v>3.2500369548797599</v>
      </c>
      <c r="K361" s="3">
        <v>1.00453400611877</v>
      </c>
      <c r="L361" s="3">
        <f t="shared" si="5"/>
        <v>6</v>
      </c>
      <c r="M361">
        <f>VLOOKUP(A361,Sheet2!$B$2:$E$186,2,FALSE)</f>
        <v>60</v>
      </c>
      <c r="N361" t="s">
        <v>389</v>
      </c>
      <c r="O361" t="s">
        <v>396</v>
      </c>
      <c r="P361">
        <v>0</v>
      </c>
      <c r="Q361">
        <v>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1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</row>
    <row r="362" spans="1:40" x14ac:dyDescent="0.3">
      <c r="A362" t="s">
        <v>164</v>
      </c>
      <c r="B362" s="3">
        <v>2015</v>
      </c>
      <c r="C362" s="3">
        <v>42854.76171875</v>
      </c>
      <c r="D362" s="3">
        <v>70139.1484375</v>
      </c>
      <c r="E362" s="3">
        <v>0.55501359701156605</v>
      </c>
      <c r="F362" s="3">
        <v>0.72878372669220004</v>
      </c>
      <c r="G362" s="3">
        <v>9.1443330049514798E-2</v>
      </c>
      <c r="H362" s="3">
        <v>5.2927047014236499E-2</v>
      </c>
      <c r="I362" s="3">
        <v>591.21169798260996</v>
      </c>
      <c r="J362" s="3">
        <v>2.69573998451233</v>
      </c>
      <c r="K362" s="3">
        <v>1.1555767059326201</v>
      </c>
      <c r="L362" s="3">
        <f t="shared" si="5"/>
        <v>1</v>
      </c>
      <c r="M362">
        <f>VLOOKUP(A362,Sheet2!$B$2:$E$186,2,FALSE)</f>
        <v>61</v>
      </c>
      <c r="N362" t="s">
        <v>387</v>
      </c>
      <c r="O362" t="s">
        <v>388</v>
      </c>
      <c r="P362">
        <v>0</v>
      </c>
      <c r="Q362">
        <v>0</v>
      </c>
      <c r="R362">
        <v>0</v>
      </c>
      <c r="S362">
        <v>1</v>
      </c>
      <c r="T362">
        <v>0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</row>
    <row r="363" spans="1:40" x14ac:dyDescent="0.3">
      <c r="A363" t="s">
        <v>164</v>
      </c>
      <c r="B363" s="3">
        <v>2016</v>
      </c>
      <c r="C363" s="3">
        <v>43750.79296875</v>
      </c>
      <c r="D363" s="3">
        <v>72358.3515625</v>
      </c>
      <c r="E363" s="3">
        <v>0.570623099803925</v>
      </c>
      <c r="F363" s="3">
        <v>0.75149595737457298</v>
      </c>
      <c r="G363" s="3">
        <v>0.103344023227692</v>
      </c>
      <c r="H363" s="3">
        <v>5.2714411169290501E-2</v>
      </c>
      <c r="I363" s="3">
        <v>592.60561506302201</v>
      </c>
      <c r="J363" s="3">
        <v>2.7397806644439702</v>
      </c>
      <c r="K363" s="3">
        <v>1.11661624908447</v>
      </c>
      <c r="L363" s="3">
        <f t="shared" si="5"/>
        <v>2</v>
      </c>
      <c r="M363">
        <f>VLOOKUP(A363,Sheet2!$B$2:$E$186,2,FALSE)</f>
        <v>61</v>
      </c>
      <c r="N363" t="s">
        <v>387</v>
      </c>
      <c r="O363" t="s">
        <v>388</v>
      </c>
      <c r="P363">
        <v>0</v>
      </c>
      <c r="Q363">
        <v>0</v>
      </c>
      <c r="R363">
        <v>0</v>
      </c>
      <c r="S363">
        <v>1</v>
      </c>
      <c r="T363">
        <v>0</v>
      </c>
      <c r="U363">
        <v>0</v>
      </c>
      <c r="V363">
        <v>1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</row>
    <row r="364" spans="1:40" x14ac:dyDescent="0.3">
      <c r="A364" t="s">
        <v>164</v>
      </c>
      <c r="B364" s="3">
        <v>2017</v>
      </c>
      <c r="C364" s="3">
        <v>43957.5703125</v>
      </c>
      <c r="D364" s="3">
        <v>73986.78125</v>
      </c>
      <c r="E364" s="3">
        <v>0.58467084169387795</v>
      </c>
      <c r="F364" s="3">
        <v>0.76571136713027999</v>
      </c>
      <c r="G364" s="3">
        <v>0.14868609607219699</v>
      </c>
      <c r="H364" s="3">
        <v>5.2189990878105198E-2</v>
      </c>
      <c r="I364" s="3">
        <v>580.65674958785803</v>
      </c>
      <c r="J364" s="3">
        <v>2.7845408916473402</v>
      </c>
      <c r="K364" s="3">
        <v>1.0479165315628101</v>
      </c>
      <c r="L364" s="3">
        <f t="shared" si="5"/>
        <v>3</v>
      </c>
      <c r="M364">
        <f>VLOOKUP(A364,Sheet2!$B$2:$E$186,2,FALSE)</f>
        <v>61</v>
      </c>
      <c r="N364" t="s">
        <v>387</v>
      </c>
      <c r="O364" t="s">
        <v>388</v>
      </c>
      <c r="P364">
        <v>0</v>
      </c>
      <c r="Q364">
        <v>0</v>
      </c>
      <c r="R364">
        <v>0</v>
      </c>
      <c r="S364">
        <v>1</v>
      </c>
      <c r="T364">
        <v>0</v>
      </c>
      <c r="U364">
        <v>0</v>
      </c>
      <c r="V364">
        <v>1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</row>
    <row r="365" spans="1:40" x14ac:dyDescent="0.3">
      <c r="A365" t="s">
        <v>164</v>
      </c>
      <c r="B365" s="3">
        <v>2018</v>
      </c>
      <c r="C365" s="3">
        <v>44325.44140625</v>
      </c>
      <c r="D365" s="3">
        <v>79139.390625</v>
      </c>
      <c r="E365" s="3">
        <v>0.59831833839416504</v>
      </c>
      <c r="F365" s="3">
        <v>0.82214474678039595</v>
      </c>
      <c r="G365" s="3">
        <v>0.27689194679260298</v>
      </c>
      <c r="H365" s="3">
        <v>5.2371218800544697E-2</v>
      </c>
      <c r="I365" s="3">
        <v>555.44645839822601</v>
      </c>
      <c r="J365" s="3">
        <v>2.8300321102142298</v>
      </c>
      <c r="K365" s="3">
        <v>1.11211669445038</v>
      </c>
      <c r="L365" s="3">
        <f t="shared" si="5"/>
        <v>4</v>
      </c>
      <c r="M365">
        <f>VLOOKUP(A365,Sheet2!$B$2:$E$186,2,FALSE)</f>
        <v>61</v>
      </c>
      <c r="N365" t="s">
        <v>387</v>
      </c>
      <c r="O365" t="s">
        <v>388</v>
      </c>
      <c r="P365">
        <v>0</v>
      </c>
      <c r="Q365">
        <v>0</v>
      </c>
      <c r="R365">
        <v>0</v>
      </c>
      <c r="S365">
        <v>1</v>
      </c>
      <c r="T365">
        <v>0</v>
      </c>
      <c r="U365">
        <v>0</v>
      </c>
      <c r="V365">
        <v>1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</row>
    <row r="366" spans="1:40" x14ac:dyDescent="0.3">
      <c r="A366" t="s">
        <v>164</v>
      </c>
      <c r="B366" s="3">
        <v>2019</v>
      </c>
      <c r="C366" s="3">
        <v>46063.80078125</v>
      </c>
      <c r="D366" s="3">
        <v>85904.8671875</v>
      </c>
      <c r="E366" s="3">
        <v>0.61406266689300504</v>
      </c>
      <c r="F366" s="3">
        <v>0.895715951919556</v>
      </c>
      <c r="G366" s="3">
        <v>0.28018811345100397</v>
      </c>
      <c r="H366" s="3">
        <v>5.38002252578735E-2</v>
      </c>
      <c r="I366" s="3">
        <v>585.91101318036897</v>
      </c>
      <c r="J366" s="3">
        <v>2.8762669563293501</v>
      </c>
      <c r="K366" s="3">
        <v>1.1108889579773</v>
      </c>
      <c r="L366" s="3">
        <f t="shared" si="5"/>
        <v>5</v>
      </c>
      <c r="M366">
        <f>VLOOKUP(A366,Sheet2!$B$2:$E$186,2,FALSE)</f>
        <v>61</v>
      </c>
      <c r="N366" t="s">
        <v>387</v>
      </c>
      <c r="O366" t="s">
        <v>388</v>
      </c>
      <c r="P366">
        <v>0</v>
      </c>
      <c r="Q366">
        <v>0</v>
      </c>
      <c r="R366">
        <v>0</v>
      </c>
      <c r="S366">
        <v>1</v>
      </c>
      <c r="T366">
        <v>0</v>
      </c>
      <c r="U366">
        <v>0</v>
      </c>
      <c r="V366">
        <v>1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</row>
    <row r="367" spans="1:40" x14ac:dyDescent="0.3">
      <c r="A367" t="s">
        <v>164</v>
      </c>
      <c r="B367" s="3">
        <v>2020</v>
      </c>
      <c r="C367" s="3">
        <v>45217.4609375</v>
      </c>
      <c r="D367" s="3">
        <v>90481.359375</v>
      </c>
      <c r="E367" s="3">
        <v>0.58316361904144298</v>
      </c>
      <c r="F367" s="3">
        <v>0.94399213790893599</v>
      </c>
      <c r="G367" s="3">
        <v>0.24710014462471</v>
      </c>
      <c r="H367" s="3">
        <v>5.4777570068836198E-2</v>
      </c>
      <c r="I367" s="3">
        <v>575.58600451094503</v>
      </c>
      <c r="J367" s="3">
        <v>2.92325663566589</v>
      </c>
      <c r="K367" s="3">
        <v>1.03071618080139</v>
      </c>
      <c r="L367" s="3">
        <f t="shared" si="5"/>
        <v>6</v>
      </c>
      <c r="M367">
        <f>VLOOKUP(A367,Sheet2!$B$2:$E$186,2,FALSE)</f>
        <v>61</v>
      </c>
      <c r="N367" t="s">
        <v>387</v>
      </c>
      <c r="O367" t="s">
        <v>388</v>
      </c>
      <c r="P367">
        <v>0</v>
      </c>
      <c r="Q367">
        <v>0</v>
      </c>
      <c r="R367">
        <v>0</v>
      </c>
      <c r="S367">
        <v>1</v>
      </c>
      <c r="T367">
        <v>0</v>
      </c>
      <c r="U367">
        <v>0</v>
      </c>
      <c r="V367">
        <v>1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</row>
    <row r="368" spans="1:40" x14ac:dyDescent="0.3">
      <c r="A368" t="s">
        <v>165</v>
      </c>
      <c r="B368" s="3">
        <v>2015</v>
      </c>
      <c r="C368" s="3">
        <v>3169671.75</v>
      </c>
      <c r="D368" s="3">
        <v>14790073</v>
      </c>
      <c r="E368" s="3">
        <v>31.3055820465088</v>
      </c>
      <c r="F368" s="3">
        <v>0.87902200222015403</v>
      </c>
      <c r="G368" s="3">
        <v>9.78876203298569E-2</v>
      </c>
      <c r="H368" s="3">
        <v>3.7475746124982799E-2</v>
      </c>
      <c r="I368" s="3">
        <v>0.65454547893142601</v>
      </c>
      <c r="J368" s="3">
        <v>3.7421143054962198</v>
      </c>
      <c r="K368" s="3">
        <v>1.02799928188324</v>
      </c>
      <c r="L368" s="3">
        <f t="shared" si="5"/>
        <v>1</v>
      </c>
      <c r="M368">
        <f>VLOOKUP(A368,Sheet2!$B$2:$E$186,2,FALSE)</f>
        <v>62</v>
      </c>
      <c r="N368" t="s">
        <v>389</v>
      </c>
      <c r="O368" t="s">
        <v>406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1</v>
      </c>
      <c r="AL368">
        <v>0</v>
      </c>
      <c r="AM368">
        <v>0</v>
      </c>
      <c r="AN368">
        <v>0</v>
      </c>
    </row>
    <row r="369" spans="1:47" x14ac:dyDescent="0.3">
      <c r="A369" t="s">
        <v>165</v>
      </c>
      <c r="B369" s="3">
        <v>2016</v>
      </c>
      <c r="C369" s="3">
        <v>3230583.5</v>
      </c>
      <c r="D369" s="3">
        <v>15111976</v>
      </c>
      <c r="E369" s="3">
        <v>31.752162933349599</v>
      </c>
      <c r="F369" s="3">
        <v>0.90227973461151101</v>
      </c>
      <c r="G369" s="3">
        <v>9.7619175910949693E-2</v>
      </c>
      <c r="H369" s="3">
        <v>3.7895262241363498E-2</v>
      </c>
      <c r="I369" s="3">
        <v>0.74063446369708397</v>
      </c>
      <c r="J369" s="3">
        <v>3.74996018409729</v>
      </c>
      <c r="K369" s="3">
        <v>1.03106689453125</v>
      </c>
      <c r="L369" s="3">
        <f t="shared" si="5"/>
        <v>2</v>
      </c>
      <c r="M369">
        <f>VLOOKUP(A369,Sheet2!$B$2:$E$186,2,FALSE)</f>
        <v>62</v>
      </c>
      <c r="N369" t="s">
        <v>389</v>
      </c>
      <c r="O369" t="s">
        <v>406</v>
      </c>
      <c r="P369">
        <v>0</v>
      </c>
      <c r="Q369">
        <v>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1</v>
      </c>
      <c r="AL369">
        <v>0</v>
      </c>
      <c r="AM369">
        <v>0</v>
      </c>
      <c r="AN369">
        <v>0</v>
      </c>
    </row>
    <row r="370" spans="1:47" x14ac:dyDescent="0.3">
      <c r="A370" t="s">
        <v>165</v>
      </c>
      <c r="B370" s="3">
        <v>2017</v>
      </c>
      <c r="C370" s="3">
        <v>3316404.25</v>
      </c>
      <c r="D370" s="3">
        <v>15446485</v>
      </c>
      <c r="E370" s="3">
        <v>32.096107482910199</v>
      </c>
      <c r="F370" s="3">
        <v>0.926197469234467</v>
      </c>
      <c r="G370" s="3">
        <v>9.5050372183322906E-2</v>
      </c>
      <c r="H370" s="3">
        <v>3.8367789238691302E-2</v>
      </c>
      <c r="I370" s="3">
        <v>0.77697668234412298</v>
      </c>
      <c r="J370" s="3">
        <v>3.7578222751617401</v>
      </c>
      <c r="K370" s="3">
        <v>1.02870392799377</v>
      </c>
      <c r="L370" s="3">
        <f t="shared" si="5"/>
        <v>3</v>
      </c>
      <c r="M370">
        <f>VLOOKUP(A370,Sheet2!$B$2:$E$186,2,FALSE)</f>
        <v>62</v>
      </c>
      <c r="N370" t="s">
        <v>389</v>
      </c>
      <c r="O370" t="s">
        <v>406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1</v>
      </c>
      <c r="AL370">
        <v>0</v>
      </c>
      <c r="AM370">
        <v>0</v>
      </c>
      <c r="AN370">
        <v>0</v>
      </c>
    </row>
    <row r="371" spans="1:47" x14ac:dyDescent="0.3">
      <c r="A371" t="s">
        <v>165</v>
      </c>
      <c r="B371" s="3">
        <v>2018</v>
      </c>
      <c r="C371" s="3">
        <v>3363006</v>
      </c>
      <c r="D371" s="3">
        <v>15760226</v>
      </c>
      <c r="E371" s="3">
        <v>32.468349456787102</v>
      </c>
      <c r="F371" s="3">
        <v>0.94805127382278398</v>
      </c>
      <c r="G371" s="3">
        <v>9.16925519704819E-2</v>
      </c>
      <c r="H371" s="3">
        <v>3.8757845759391799E-2</v>
      </c>
      <c r="I371" s="3">
        <v>0.74953154025984703</v>
      </c>
      <c r="J371" s="3">
        <v>3.7657008171081499</v>
      </c>
      <c r="K371" s="3">
        <v>1.02737617492676</v>
      </c>
      <c r="L371" s="3">
        <f t="shared" si="5"/>
        <v>4</v>
      </c>
      <c r="M371">
        <f>VLOOKUP(A371,Sheet2!$B$2:$E$186,2,FALSE)</f>
        <v>62</v>
      </c>
      <c r="N371" t="s">
        <v>389</v>
      </c>
      <c r="O371" t="s">
        <v>406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1</v>
      </c>
      <c r="AL371">
        <v>0</v>
      </c>
      <c r="AM371">
        <v>0</v>
      </c>
      <c r="AN371">
        <v>0</v>
      </c>
    </row>
    <row r="372" spans="1:47" x14ac:dyDescent="0.3">
      <c r="A372" t="s">
        <v>165</v>
      </c>
      <c r="B372" s="3">
        <v>2019</v>
      </c>
      <c r="C372" s="3">
        <v>3417637.5</v>
      </c>
      <c r="D372" s="3">
        <v>16078276</v>
      </c>
      <c r="E372" s="3">
        <v>32.830810546875</v>
      </c>
      <c r="F372" s="3">
        <v>0.96968299150466897</v>
      </c>
      <c r="G372" s="3">
        <v>8.8295139372348799E-2</v>
      </c>
      <c r="H372" s="3">
        <v>3.9043724536895801E-2</v>
      </c>
      <c r="I372" s="3">
        <v>0.78344511001192896</v>
      </c>
      <c r="J372" s="3">
        <v>3.7735960483550999</v>
      </c>
      <c r="K372" s="3">
        <v>1.0259928703308101</v>
      </c>
      <c r="L372" s="3">
        <f t="shared" si="5"/>
        <v>5</v>
      </c>
      <c r="M372">
        <f>VLOOKUP(A372,Sheet2!$B$2:$E$186,2,FALSE)</f>
        <v>62</v>
      </c>
      <c r="N372" t="s">
        <v>389</v>
      </c>
      <c r="O372" t="s">
        <v>406</v>
      </c>
      <c r="P372">
        <v>0</v>
      </c>
      <c r="Q372">
        <v>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1</v>
      </c>
      <c r="AL372">
        <v>0</v>
      </c>
      <c r="AM372">
        <v>0</v>
      </c>
      <c r="AN372">
        <v>0</v>
      </c>
    </row>
    <row r="373" spans="1:47" x14ac:dyDescent="0.3">
      <c r="A373" t="s">
        <v>165</v>
      </c>
      <c r="B373" s="3">
        <v>2020</v>
      </c>
      <c r="C373" s="3">
        <v>3065726</v>
      </c>
      <c r="D373" s="3">
        <v>16290162</v>
      </c>
      <c r="E373" s="3">
        <v>32.516555786132798</v>
      </c>
      <c r="F373" s="3">
        <v>0.98105913400650002</v>
      </c>
      <c r="G373" s="3">
        <v>8.1948108971118899E-2</v>
      </c>
      <c r="H373" s="3">
        <v>3.9053700864314998E-2</v>
      </c>
      <c r="I373" s="3">
        <v>0.77999957669715303</v>
      </c>
      <c r="J373" s="3">
        <v>3.7815077304840101</v>
      </c>
      <c r="K373" s="3">
        <v>0.96633595228195202</v>
      </c>
      <c r="L373" s="3">
        <f t="shared" si="5"/>
        <v>6</v>
      </c>
      <c r="M373">
        <f>VLOOKUP(A373,Sheet2!$B$2:$E$186,2,FALSE)</f>
        <v>62</v>
      </c>
      <c r="N373" t="s">
        <v>389</v>
      </c>
      <c r="O373" t="s">
        <v>406</v>
      </c>
      <c r="P373">
        <v>0</v>
      </c>
      <c r="Q373">
        <v>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1</v>
      </c>
      <c r="AL373">
        <v>0</v>
      </c>
      <c r="AM373">
        <v>0</v>
      </c>
      <c r="AN373">
        <v>0</v>
      </c>
    </row>
    <row r="374" spans="1:47" x14ac:dyDescent="0.3">
      <c r="A374" t="s">
        <v>167</v>
      </c>
      <c r="B374" s="3">
        <v>2015</v>
      </c>
      <c r="C374" s="3">
        <v>60819.7421875</v>
      </c>
      <c r="D374" s="3">
        <v>360259.8125</v>
      </c>
      <c r="E374" s="3">
        <v>0.99920970201492298</v>
      </c>
      <c r="F374" s="3">
        <v>0.84184986352920499</v>
      </c>
      <c r="G374" s="3">
        <v>0.124654151499271</v>
      </c>
      <c r="H374" s="3">
        <v>3.8326784968376201E-2</v>
      </c>
      <c r="I374" s="3">
        <v>2.2693416666666701</v>
      </c>
      <c r="J374" s="3"/>
      <c r="K374" s="3"/>
      <c r="L374" s="3">
        <f t="shared" si="5"/>
        <v>1</v>
      </c>
      <c r="M374">
        <f>VLOOKUP(A374,Sheet2!$B$2:$E$186,2,FALSE)</f>
        <v>63</v>
      </c>
      <c r="N374" t="s">
        <v>391</v>
      </c>
      <c r="O374" t="s">
        <v>392</v>
      </c>
      <c r="P374">
        <v>0</v>
      </c>
      <c r="Q374">
        <v>0</v>
      </c>
      <c r="R374">
        <v>1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1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</row>
    <row r="375" spans="1:47" x14ac:dyDescent="0.3">
      <c r="A375" t="s">
        <v>167</v>
      </c>
      <c r="B375" s="3">
        <v>2016</v>
      </c>
      <c r="C375" s="3">
        <v>62917.9765625</v>
      </c>
      <c r="D375" s="3">
        <v>370547.65625</v>
      </c>
      <c r="E375" s="3">
        <v>0.98735398054122903</v>
      </c>
      <c r="F375" s="3">
        <v>0.87528610229492199</v>
      </c>
      <c r="G375" s="3">
        <v>0.109288223087788</v>
      </c>
      <c r="H375" s="3">
        <v>3.9309911429882098E-2</v>
      </c>
      <c r="I375" s="3">
        <v>2.3667250000000002</v>
      </c>
      <c r="J375" s="3"/>
      <c r="K375" s="3"/>
      <c r="L375" s="3">
        <f t="shared" si="5"/>
        <v>2</v>
      </c>
      <c r="M375">
        <f>VLOOKUP(A375,Sheet2!$B$2:$E$186,2,FALSE)</f>
        <v>63</v>
      </c>
      <c r="N375" t="s">
        <v>391</v>
      </c>
      <c r="O375" t="s">
        <v>392</v>
      </c>
      <c r="P375">
        <v>0</v>
      </c>
      <c r="Q375">
        <v>0</v>
      </c>
      <c r="R375">
        <v>1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</row>
    <row r="376" spans="1:47" x14ac:dyDescent="0.3">
      <c r="A376" t="s">
        <v>167</v>
      </c>
      <c r="B376" s="3">
        <v>2017</v>
      </c>
      <c r="C376" s="3">
        <v>66165.234375</v>
      </c>
      <c r="D376" s="3">
        <v>380655.78125</v>
      </c>
      <c r="E376" s="3">
        <v>0.97996461391448997</v>
      </c>
      <c r="F376" s="3">
        <v>0.90983545780181896</v>
      </c>
      <c r="G376" s="3">
        <v>0.112738989293575</v>
      </c>
      <c r="H376" s="3">
        <v>4.0425285696983303E-2</v>
      </c>
      <c r="I376" s="3">
        <v>2.5095416666666699</v>
      </c>
      <c r="J376" s="3"/>
      <c r="K376" s="3"/>
      <c r="L376" s="3">
        <f t="shared" si="5"/>
        <v>3</v>
      </c>
      <c r="M376">
        <f>VLOOKUP(A376,Sheet2!$B$2:$E$186,2,FALSE)</f>
        <v>63</v>
      </c>
      <c r="N376" t="s">
        <v>391</v>
      </c>
      <c r="O376" t="s">
        <v>392</v>
      </c>
      <c r="P376">
        <v>0</v>
      </c>
      <c r="Q376">
        <v>0</v>
      </c>
      <c r="R376">
        <v>1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1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</row>
    <row r="377" spans="1:47" x14ac:dyDescent="0.3">
      <c r="A377" t="s">
        <v>167</v>
      </c>
      <c r="B377" s="3">
        <v>2018</v>
      </c>
      <c r="C377" s="3">
        <v>70176.296875</v>
      </c>
      <c r="D377" s="3">
        <v>390625.1875</v>
      </c>
      <c r="E377" s="3">
        <v>0.98634850978851296</v>
      </c>
      <c r="F377" s="3">
        <v>0.93884783983230602</v>
      </c>
      <c r="G377" s="3">
        <v>0.112193137407303</v>
      </c>
      <c r="H377" s="3">
        <v>4.1259020566940301E-2</v>
      </c>
      <c r="I377" s="3">
        <v>2.53411083333333</v>
      </c>
      <c r="J377" s="3"/>
      <c r="K377" s="3"/>
      <c r="L377" s="3">
        <f t="shared" si="5"/>
        <v>4</v>
      </c>
      <c r="M377">
        <f>VLOOKUP(A377,Sheet2!$B$2:$E$186,2,FALSE)</f>
        <v>63</v>
      </c>
      <c r="N377" t="s">
        <v>391</v>
      </c>
      <c r="O377" t="s">
        <v>392</v>
      </c>
      <c r="P377">
        <v>0</v>
      </c>
      <c r="Q377">
        <v>0</v>
      </c>
      <c r="R377">
        <v>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1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</row>
    <row r="378" spans="1:47" x14ac:dyDescent="0.3">
      <c r="A378" t="s">
        <v>167</v>
      </c>
      <c r="B378" s="3">
        <v>2019</v>
      </c>
      <c r="C378" s="3">
        <v>73951.9765625</v>
      </c>
      <c r="D378" s="3">
        <v>399934.28125</v>
      </c>
      <c r="E378" s="3">
        <v>0.98771828413009599</v>
      </c>
      <c r="F378" s="3">
        <v>0.97023409605026301</v>
      </c>
      <c r="G378" s="3">
        <v>0.10834052413702</v>
      </c>
      <c r="H378" s="3">
        <v>4.2062647640705102E-2</v>
      </c>
      <c r="I378" s="3">
        <v>2.8181449999999999</v>
      </c>
      <c r="J378" s="3"/>
      <c r="K378" s="3"/>
      <c r="L378" s="3">
        <f t="shared" si="5"/>
        <v>5</v>
      </c>
      <c r="M378">
        <f>VLOOKUP(A378,Sheet2!$B$2:$E$186,2,FALSE)</f>
        <v>63</v>
      </c>
      <c r="N378" t="s">
        <v>391</v>
      </c>
      <c r="O378" t="s">
        <v>392</v>
      </c>
      <c r="P378">
        <v>0</v>
      </c>
      <c r="Q378">
        <v>0</v>
      </c>
      <c r="R378">
        <v>1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1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</row>
    <row r="379" spans="1:47" x14ac:dyDescent="0.3">
      <c r="A379" t="s">
        <v>167</v>
      </c>
      <c r="B379" s="3">
        <v>2020</v>
      </c>
      <c r="C379" s="3">
        <v>69299.46875</v>
      </c>
      <c r="D379" s="3">
        <v>405156.15625</v>
      </c>
      <c r="E379" s="3">
        <v>0.94415497779846203</v>
      </c>
      <c r="F379" s="3">
        <v>0.98792481422424305</v>
      </c>
      <c r="G379" s="3">
        <v>9.8275348544120802E-2</v>
      </c>
      <c r="H379" s="3">
        <v>4.2959216982126201E-2</v>
      </c>
      <c r="I379" s="3">
        <v>3.1090166666666699</v>
      </c>
      <c r="J379" s="3"/>
      <c r="K379" s="3"/>
      <c r="L379" s="3">
        <f t="shared" si="5"/>
        <v>6</v>
      </c>
      <c r="M379">
        <f>VLOOKUP(A379,Sheet2!$B$2:$E$186,2,FALSE)</f>
        <v>63</v>
      </c>
      <c r="N379" t="s">
        <v>391</v>
      </c>
      <c r="O379" t="s">
        <v>392</v>
      </c>
      <c r="P379">
        <v>0</v>
      </c>
      <c r="Q379">
        <v>0</v>
      </c>
      <c r="R379">
        <v>1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1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</row>
    <row r="380" spans="1:47" s="2" customFormat="1" x14ac:dyDescent="0.3">
      <c r="A380" t="s">
        <v>169</v>
      </c>
      <c r="B380" s="3">
        <v>2015</v>
      </c>
      <c r="C380" s="3">
        <v>149486.4375</v>
      </c>
      <c r="D380" s="3">
        <v>455915.1875</v>
      </c>
      <c r="E380" s="3">
        <v>11.673225402831999</v>
      </c>
      <c r="F380" s="3"/>
      <c r="G380" s="3"/>
      <c r="H380" s="3">
        <v>4.78362701833248E-2</v>
      </c>
      <c r="I380" s="3">
        <v>3.7146416666666702</v>
      </c>
      <c r="J380" s="3">
        <v>2.4042155742645299</v>
      </c>
      <c r="K380" s="3"/>
      <c r="L380" s="3">
        <f t="shared" si="5"/>
        <v>1</v>
      </c>
      <c r="M380">
        <f>VLOOKUP(A380,Sheet2!$B$2:$E$186,2,FALSE)</f>
        <v>64</v>
      </c>
      <c r="N380" t="s">
        <v>387</v>
      </c>
      <c r="O380" t="s">
        <v>398</v>
      </c>
      <c r="P380">
        <v>0</v>
      </c>
      <c r="Q380">
        <v>0</v>
      </c>
      <c r="R380">
        <v>0</v>
      </c>
      <c r="S380">
        <v>1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1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/>
      <c r="AP380"/>
      <c r="AQ380"/>
      <c r="AR380"/>
      <c r="AS380"/>
      <c r="AT380"/>
      <c r="AU380"/>
    </row>
    <row r="381" spans="1:47" s="2" customFormat="1" x14ac:dyDescent="0.3">
      <c r="A381" t="s">
        <v>169</v>
      </c>
      <c r="B381" s="3">
        <v>2016</v>
      </c>
      <c r="C381" s="3">
        <v>154529.296875</v>
      </c>
      <c r="D381" s="3">
        <v>473029.21875</v>
      </c>
      <c r="E381" s="3">
        <v>12.0144290924072</v>
      </c>
      <c r="F381" s="3"/>
      <c r="G381" s="3"/>
      <c r="H381" s="3">
        <v>4.6953730285167701E-2</v>
      </c>
      <c r="I381" s="3">
        <v>3.90981666666667</v>
      </c>
      <c r="J381" s="3">
        <v>2.4343276023864702</v>
      </c>
      <c r="K381" s="3"/>
      <c r="L381" s="3">
        <f t="shared" si="5"/>
        <v>2</v>
      </c>
      <c r="M381">
        <f>VLOOKUP(A381,Sheet2!$B$2:$E$186,2,FALSE)</f>
        <v>64</v>
      </c>
      <c r="N381" t="s">
        <v>387</v>
      </c>
      <c r="O381" t="s">
        <v>398</v>
      </c>
      <c r="P381">
        <v>0</v>
      </c>
      <c r="Q381">
        <v>0</v>
      </c>
      <c r="R381">
        <v>0</v>
      </c>
      <c r="S381">
        <v>1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1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/>
      <c r="AP381"/>
      <c r="AQ381"/>
      <c r="AR381"/>
      <c r="AS381"/>
      <c r="AT381"/>
      <c r="AU381"/>
    </row>
    <row r="382" spans="1:47" s="2" customFormat="1" x14ac:dyDescent="0.3">
      <c r="A382" t="s">
        <v>169</v>
      </c>
      <c r="B382" s="3">
        <v>2017</v>
      </c>
      <c r="C382" s="3">
        <v>167090.828125</v>
      </c>
      <c r="D382" s="3">
        <v>489680.53125</v>
      </c>
      <c r="E382" s="3">
        <v>12.798204421997101</v>
      </c>
      <c r="F382" s="3"/>
      <c r="G382" s="3"/>
      <c r="H382" s="3">
        <v>4.61776815354824E-2</v>
      </c>
      <c r="I382" s="3">
        <v>4.3505333333333303</v>
      </c>
      <c r="J382" s="3">
        <v>2.4648165702819802</v>
      </c>
      <c r="K382" s="3"/>
      <c r="L382" s="3">
        <f t="shared" si="5"/>
        <v>3</v>
      </c>
      <c r="M382">
        <f>VLOOKUP(A382,Sheet2!$B$2:$E$186,2,FALSE)</f>
        <v>64</v>
      </c>
      <c r="N382" t="s">
        <v>387</v>
      </c>
      <c r="O382" t="s">
        <v>398</v>
      </c>
      <c r="P382">
        <v>0</v>
      </c>
      <c r="Q382">
        <v>0</v>
      </c>
      <c r="R382">
        <v>0</v>
      </c>
      <c r="S382">
        <v>1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1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/>
      <c r="AP382"/>
      <c r="AQ382"/>
      <c r="AR382"/>
      <c r="AS382"/>
      <c r="AT382"/>
      <c r="AU382"/>
    </row>
    <row r="383" spans="1:47" s="2" customFormat="1" x14ac:dyDescent="0.3">
      <c r="A383" t="s">
        <v>169</v>
      </c>
      <c r="B383" s="3">
        <v>2018</v>
      </c>
      <c r="C383" s="3">
        <v>177450.59375</v>
      </c>
      <c r="D383" s="3">
        <v>511304.25</v>
      </c>
      <c r="E383" s="3">
        <v>13.085506439209</v>
      </c>
      <c r="F383" s="3"/>
      <c r="G383" s="3"/>
      <c r="H383" s="3">
        <v>4.5718342065811199E-2</v>
      </c>
      <c r="I383" s="3">
        <v>4.5853250000000001</v>
      </c>
      <c r="J383" s="3">
        <v>2.49568748474121</v>
      </c>
      <c r="K383" s="3"/>
      <c r="L383" s="3">
        <f t="shared" si="5"/>
        <v>4</v>
      </c>
      <c r="M383">
        <f>VLOOKUP(A383,Sheet2!$B$2:$E$186,2,FALSE)</f>
        <v>64</v>
      </c>
      <c r="N383" t="s">
        <v>387</v>
      </c>
      <c r="O383" t="s">
        <v>398</v>
      </c>
      <c r="P383">
        <v>0</v>
      </c>
      <c r="Q383">
        <v>0</v>
      </c>
      <c r="R383">
        <v>0</v>
      </c>
      <c r="S383">
        <v>1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/>
      <c r="AP383"/>
      <c r="AQ383"/>
      <c r="AR383"/>
      <c r="AS383"/>
      <c r="AT383"/>
      <c r="AU383"/>
    </row>
    <row r="384" spans="1:47" s="2" customFormat="1" x14ac:dyDescent="0.3">
      <c r="A384" t="s">
        <v>169</v>
      </c>
      <c r="B384" s="3">
        <v>2019</v>
      </c>
      <c r="C384" s="3">
        <v>188998.6875</v>
      </c>
      <c r="D384" s="3">
        <v>527907.875</v>
      </c>
      <c r="E384" s="3">
        <v>12.995043754577599</v>
      </c>
      <c r="F384" s="3"/>
      <c r="G384" s="3"/>
      <c r="H384" s="3">
        <v>4.5414276421070099E-2</v>
      </c>
      <c r="I384" s="3">
        <v>5.2173666666666696</v>
      </c>
      <c r="J384" s="3">
        <v>2.52694487571716</v>
      </c>
      <c r="K384" s="3"/>
      <c r="L384" s="3">
        <f t="shared" si="5"/>
        <v>5</v>
      </c>
      <c r="M384">
        <f>VLOOKUP(A384,Sheet2!$B$2:$E$186,2,FALSE)</f>
        <v>64</v>
      </c>
      <c r="N384" t="s">
        <v>387</v>
      </c>
      <c r="O384" t="s">
        <v>398</v>
      </c>
      <c r="P384">
        <v>0</v>
      </c>
      <c r="Q384">
        <v>0</v>
      </c>
      <c r="R384">
        <v>0</v>
      </c>
      <c r="S384">
        <v>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1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/>
      <c r="AP384"/>
      <c r="AQ384"/>
      <c r="AR384"/>
      <c r="AS384"/>
      <c r="AT384"/>
      <c r="AU384"/>
    </row>
    <row r="385" spans="1:47" s="2" customFormat="1" x14ac:dyDescent="0.3">
      <c r="A385" t="s">
        <v>169</v>
      </c>
      <c r="B385" s="3">
        <v>2020</v>
      </c>
      <c r="C385" s="3">
        <v>189970.015625</v>
      </c>
      <c r="D385" s="3">
        <v>544850.3125</v>
      </c>
      <c r="E385" s="3">
        <v>12.8934679031372</v>
      </c>
      <c r="F385" s="3"/>
      <c r="G385" s="3"/>
      <c r="H385" s="3">
        <v>4.4768985360860797E-2</v>
      </c>
      <c r="I385" s="3">
        <v>5.59570833333333</v>
      </c>
      <c r="J385" s="3">
        <v>2.55859398841858</v>
      </c>
      <c r="K385" s="3"/>
      <c r="L385" s="3">
        <f t="shared" si="5"/>
        <v>6</v>
      </c>
      <c r="M385">
        <f>VLOOKUP(A385,Sheet2!$B$2:$E$186,2,FALSE)</f>
        <v>64</v>
      </c>
      <c r="N385" t="s">
        <v>387</v>
      </c>
      <c r="O385" t="s">
        <v>398</v>
      </c>
      <c r="P385">
        <v>0</v>
      </c>
      <c r="Q385">
        <v>0</v>
      </c>
      <c r="R385">
        <v>0</v>
      </c>
      <c r="S385">
        <v>1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1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/>
      <c r="AP385"/>
      <c r="AQ385"/>
      <c r="AR385"/>
      <c r="AS385"/>
      <c r="AT385"/>
      <c r="AU385"/>
    </row>
    <row r="386" spans="1:47" x14ac:dyDescent="0.3">
      <c r="A386" t="s">
        <v>171</v>
      </c>
      <c r="B386" s="3">
        <v>2015</v>
      </c>
      <c r="C386" s="3">
        <v>30195.314453125</v>
      </c>
      <c r="D386" s="3">
        <v>48508.34765625</v>
      </c>
      <c r="E386" s="3">
        <v>2.8792724609375</v>
      </c>
      <c r="F386" s="3">
        <v>0.61874270439148005</v>
      </c>
      <c r="G386" s="3">
        <v>0.201578989624977</v>
      </c>
      <c r="H386" s="3">
        <v>5.7511746883392299E-2</v>
      </c>
      <c r="I386" s="3">
        <v>7485.51674166667</v>
      </c>
      <c r="J386" s="3"/>
      <c r="K386" s="3"/>
      <c r="L386" s="3">
        <f t="shared" si="5"/>
        <v>1</v>
      </c>
      <c r="M386">
        <f>VLOOKUP(A386,Sheet2!$B$2:$E$186,2,FALSE)</f>
        <v>65</v>
      </c>
      <c r="N386" t="s">
        <v>387</v>
      </c>
      <c r="O386" t="s">
        <v>398</v>
      </c>
      <c r="P386">
        <v>0</v>
      </c>
      <c r="Q386">
        <v>0</v>
      </c>
      <c r="R386">
        <v>0</v>
      </c>
      <c r="S386">
        <v>1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1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</row>
    <row r="387" spans="1:47" x14ac:dyDescent="0.3">
      <c r="A387" t="s">
        <v>171</v>
      </c>
      <c r="B387" s="3">
        <v>2016</v>
      </c>
      <c r="C387" s="3">
        <v>33462.63671875</v>
      </c>
      <c r="D387" s="3">
        <v>60385.5078125</v>
      </c>
      <c r="E387" s="3">
        <v>2.9541375637054399</v>
      </c>
      <c r="F387" s="3">
        <v>0.78266626596450795</v>
      </c>
      <c r="G387" s="3">
        <v>0.195692643523216</v>
      </c>
      <c r="H387" s="3">
        <v>5.97064308822155E-2</v>
      </c>
      <c r="I387" s="3">
        <v>8967.9270795833309</v>
      </c>
      <c r="J387" s="3"/>
      <c r="K387" s="3"/>
      <c r="L387" s="3">
        <f t="shared" ref="L387:L450" si="6">B387-2014</f>
        <v>2</v>
      </c>
      <c r="M387">
        <f>VLOOKUP(A387,Sheet2!$B$2:$E$186,2,FALSE)</f>
        <v>65</v>
      </c>
      <c r="N387" t="s">
        <v>387</v>
      </c>
      <c r="O387" t="s">
        <v>398</v>
      </c>
      <c r="P387">
        <v>0</v>
      </c>
      <c r="Q387">
        <v>0</v>
      </c>
      <c r="R387">
        <v>0</v>
      </c>
      <c r="S387">
        <v>1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1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</row>
    <row r="388" spans="1:47" x14ac:dyDescent="0.3">
      <c r="A388" t="s">
        <v>171</v>
      </c>
      <c r="B388" s="3">
        <v>2017</v>
      </c>
      <c r="C388" s="3">
        <v>36909.28515625</v>
      </c>
      <c r="D388" s="3">
        <v>65048.09765625</v>
      </c>
      <c r="E388" s="3">
        <v>3.0306341648101802</v>
      </c>
      <c r="F388" s="3">
        <v>0.84010124206543002</v>
      </c>
      <c r="G388" s="3">
        <v>0.198129922151566</v>
      </c>
      <c r="H388" s="3">
        <v>6.09627552330494E-2</v>
      </c>
      <c r="I388" s="3">
        <v>9088.3194962316593</v>
      </c>
      <c r="J388" s="3"/>
      <c r="K388" s="3"/>
      <c r="L388" s="3">
        <f t="shared" si="6"/>
        <v>3</v>
      </c>
      <c r="M388">
        <f>VLOOKUP(A388,Sheet2!$B$2:$E$186,2,FALSE)</f>
        <v>65</v>
      </c>
      <c r="N388" t="s">
        <v>387</v>
      </c>
      <c r="O388" t="s">
        <v>398</v>
      </c>
      <c r="P388">
        <v>0</v>
      </c>
      <c r="Q388">
        <v>0</v>
      </c>
      <c r="R388">
        <v>0</v>
      </c>
      <c r="S388">
        <v>1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</row>
    <row r="389" spans="1:47" x14ac:dyDescent="0.3">
      <c r="A389" t="s">
        <v>171</v>
      </c>
      <c r="B389" s="3">
        <v>2018</v>
      </c>
      <c r="C389" s="3">
        <v>39256.16015625</v>
      </c>
      <c r="D389" s="3">
        <v>68180.96875</v>
      </c>
      <c r="E389" s="3">
        <v>3.1087181568145801</v>
      </c>
      <c r="F389" s="3">
        <v>0.87479543685913097</v>
      </c>
      <c r="G389" s="3">
        <v>0.22389312088489499</v>
      </c>
      <c r="H389" s="3">
        <v>5.95321618020535E-2</v>
      </c>
      <c r="I389" s="3">
        <v>9011.1341772519409</v>
      </c>
      <c r="J389" s="3"/>
      <c r="K389" s="3"/>
      <c r="L389" s="3">
        <f t="shared" si="6"/>
        <v>4</v>
      </c>
      <c r="M389">
        <f>VLOOKUP(A389,Sheet2!$B$2:$E$186,2,FALSE)</f>
        <v>65</v>
      </c>
      <c r="N389" t="s">
        <v>387</v>
      </c>
      <c r="O389" t="s">
        <v>398</v>
      </c>
      <c r="P389">
        <v>0</v>
      </c>
      <c r="Q389">
        <v>0</v>
      </c>
      <c r="R389">
        <v>0</v>
      </c>
      <c r="S389">
        <v>1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1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</row>
    <row r="390" spans="1:47" x14ac:dyDescent="0.3">
      <c r="A390" t="s">
        <v>171</v>
      </c>
      <c r="B390" s="3">
        <v>2019</v>
      </c>
      <c r="C390" s="3">
        <v>41461.171875</v>
      </c>
      <c r="D390" s="3">
        <v>71020.0390625</v>
      </c>
      <c r="E390" s="3">
        <v>3.1893610954284699</v>
      </c>
      <c r="F390" s="3">
        <v>0.91625517606735196</v>
      </c>
      <c r="G390" s="3">
        <v>0.213249981403351</v>
      </c>
      <c r="H390" s="3">
        <v>5.9403982013464002E-2</v>
      </c>
      <c r="I390" s="3">
        <v>9183.8758639098396</v>
      </c>
      <c r="J390" s="3"/>
      <c r="K390" s="3"/>
      <c r="L390" s="3">
        <f t="shared" si="6"/>
        <v>5</v>
      </c>
      <c r="M390">
        <f>VLOOKUP(A390,Sheet2!$B$2:$E$186,2,FALSE)</f>
        <v>65</v>
      </c>
      <c r="N390" t="s">
        <v>387</v>
      </c>
      <c r="O390" t="s">
        <v>398</v>
      </c>
      <c r="P390">
        <v>0</v>
      </c>
      <c r="Q390">
        <v>0</v>
      </c>
      <c r="R390">
        <v>0</v>
      </c>
      <c r="S390">
        <v>1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1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</row>
    <row r="391" spans="1:47" x14ac:dyDescent="0.3">
      <c r="A391" t="s">
        <v>171</v>
      </c>
      <c r="B391" s="3">
        <v>2020</v>
      </c>
      <c r="C391" s="3">
        <v>43411.72265625</v>
      </c>
      <c r="D391" s="3">
        <v>73479.078125</v>
      </c>
      <c r="E391" s="3">
        <v>3.2191452980041499</v>
      </c>
      <c r="F391" s="3">
        <v>0.960674047470093</v>
      </c>
      <c r="G391" s="3">
        <v>0.22884804010391199</v>
      </c>
      <c r="H391" s="3">
        <v>6.2107764184474903E-2</v>
      </c>
      <c r="I391" s="3">
        <v>9565.0821834383296</v>
      </c>
      <c r="J391" s="3"/>
      <c r="K391" s="3"/>
      <c r="L391" s="3">
        <f t="shared" si="6"/>
        <v>6</v>
      </c>
      <c r="M391">
        <f>VLOOKUP(A391,Sheet2!$B$2:$E$186,2,FALSE)</f>
        <v>65</v>
      </c>
      <c r="N391" t="s">
        <v>387</v>
      </c>
      <c r="O391" t="s">
        <v>398</v>
      </c>
      <c r="P391">
        <v>0</v>
      </c>
      <c r="Q391">
        <v>0</v>
      </c>
      <c r="R391">
        <v>0</v>
      </c>
      <c r="S391">
        <v>1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</row>
    <row r="392" spans="1:47" s="2" customFormat="1" x14ac:dyDescent="0.3">
      <c r="A392" t="s">
        <v>173</v>
      </c>
      <c r="B392" s="3">
        <v>2015</v>
      </c>
      <c r="C392" s="3">
        <v>5464.06103515625</v>
      </c>
      <c r="D392" s="3">
        <v>11581.3759765625</v>
      </c>
      <c r="E392" s="3">
        <v>0.626303911209106</v>
      </c>
      <c r="F392" s="3"/>
      <c r="G392" s="3"/>
      <c r="H392" s="3">
        <v>4.4837888330221197E-2</v>
      </c>
      <c r="I392" s="3">
        <v>42.506208092372503</v>
      </c>
      <c r="J392" s="3">
        <v>1.5266413688659699</v>
      </c>
      <c r="K392" s="3"/>
      <c r="L392" s="3">
        <f t="shared" si="6"/>
        <v>1</v>
      </c>
      <c r="M392">
        <f>VLOOKUP(A392,Sheet2!$B$2:$E$186,2,FALSE)</f>
        <v>66</v>
      </c>
      <c r="N392" t="s">
        <v>387</v>
      </c>
      <c r="O392" t="s">
        <v>398</v>
      </c>
      <c r="P392">
        <v>0</v>
      </c>
      <c r="Q392">
        <v>0</v>
      </c>
      <c r="R392">
        <v>0</v>
      </c>
      <c r="S392">
        <v>1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1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/>
      <c r="AP392"/>
      <c r="AQ392"/>
      <c r="AR392"/>
      <c r="AS392"/>
      <c r="AT392"/>
      <c r="AU392"/>
    </row>
    <row r="393" spans="1:47" s="2" customFormat="1" x14ac:dyDescent="0.3">
      <c r="A393" t="s">
        <v>173</v>
      </c>
      <c r="B393" s="3">
        <v>2016</v>
      </c>
      <c r="C393" s="3">
        <v>5570.24853515625</v>
      </c>
      <c r="D393" s="3">
        <v>12161.7421875</v>
      </c>
      <c r="E393" s="3">
        <v>0.65535539388656605</v>
      </c>
      <c r="F393" s="3"/>
      <c r="G393" s="3"/>
      <c r="H393" s="3">
        <v>4.6893764287233401E-2</v>
      </c>
      <c r="I393" s="3">
        <v>43.372527673181899</v>
      </c>
      <c r="J393" s="3">
        <v>1.47896468639374</v>
      </c>
      <c r="K393" s="3"/>
      <c r="L393" s="3">
        <f t="shared" si="6"/>
        <v>2</v>
      </c>
      <c r="M393">
        <f>VLOOKUP(A393,Sheet2!$B$2:$E$186,2,FALSE)</f>
        <v>66</v>
      </c>
      <c r="N393" t="s">
        <v>387</v>
      </c>
      <c r="O393" t="s">
        <v>398</v>
      </c>
      <c r="P393">
        <v>0</v>
      </c>
      <c r="Q393">
        <v>0</v>
      </c>
      <c r="R393">
        <v>0</v>
      </c>
      <c r="S393">
        <v>1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/>
      <c r="AP393"/>
      <c r="AQ393"/>
      <c r="AR393"/>
      <c r="AS393"/>
      <c r="AT393"/>
      <c r="AU393"/>
    </row>
    <row r="394" spans="1:47" s="2" customFormat="1" x14ac:dyDescent="0.3">
      <c r="A394" t="s">
        <v>173</v>
      </c>
      <c r="B394" s="3">
        <v>2017</v>
      </c>
      <c r="C394" s="3">
        <v>5838.873046875</v>
      </c>
      <c r="D394" s="3">
        <v>12669.564453125</v>
      </c>
      <c r="E394" s="3">
        <v>0.68723940849304199</v>
      </c>
      <c r="F394" s="3"/>
      <c r="G394" s="3"/>
      <c r="H394" s="3">
        <v>4.9451500177383402E-2</v>
      </c>
      <c r="I394" s="3">
        <v>46.608909462110098</v>
      </c>
      <c r="J394" s="3">
        <v>1.432776927948</v>
      </c>
      <c r="K394" s="3"/>
      <c r="L394" s="3">
        <f t="shared" si="6"/>
        <v>3</v>
      </c>
      <c r="M394">
        <f>VLOOKUP(A394,Sheet2!$B$2:$E$186,2,FALSE)</f>
        <v>66</v>
      </c>
      <c r="N394" t="s">
        <v>387</v>
      </c>
      <c r="O394" t="s">
        <v>398</v>
      </c>
      <c r="P394">
        <v>0</v>
      </c>
      <c r="Q394">
        <v>0</v>
      </c>
      <c r="R394">
        <v>0</v>
      </c>
      <c r="S394">
        <v>1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1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/>
      <c r="AP394"/>
      <c r="AQ394"/>
      <c r="AR394"/>
      <c r="AS394"/>
      <c r="AT394"/>
      <c r="AU394"/>
    </row>
    <row r="395" spans="1:47" s="2" customFormat="1" x14ac:dyDescent="0.3">
      <c r="A395" t="s">
        <v>173</v>
      </c>
      <c r="B395" s="3">
        <v>2018</v>
      </c>
      <c r="C395" s="3">
        <v>6261.30908203125</v>
      </c>
      <c r="D395" s="3">
        <v>13149.6904296875</v>
      </c>
      <c r="E395" s="3">
        <v>0.71958148479461703</v>
      </c>
      <c r="F395" s="3"/>
      <c r="G395" s="3"/>
      <c r="H395" s="3">
        <v>5.1352791488170603E-2</v>
      </c>
      <c r="I395" s="3">
        <v>48.151780637907301</v>
      </c>
      <c r="J395" s="3">
        <v>1.3880314826965301</v>
      </c>
      <c r="K395" s="3"/>
      <c r="L395" s="3">
        <f t="shared" si="6"/>
        <v>4</v>
      </c>
      <c r="M395">
        <f>VLOOKUP(A395,Sheet2!$B$2:$E$186,2,FALSE)</f>
        <v>66</v>
      </c>
      <c r="N395" t="s">
        <v>387</v>
      </c>
      <c r="O395" t="s">
        <v>398</v>
      </c>
      <c r="P395">
        <v>0</v>
      </c>
      <c r="Q395">
        <v>0</v>
      </c>
      <c r="R395">
        <v>0</v>
      </c>
      <c r="S395">
        <v>1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1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/>
      <c r="AP395"/>
      <c r="AQ395"/>
      <c r="AR395"/>
      <c r="AS395"/>
      <c r="AT395"/>
      <c r="AU395"/>
    </row>
    <row r="396" spans="1:47" s="2" customFormat="1" x14ac:dyDescent="0.3">
      <c r="A396" t="s">
        <v>173</v>
      </c>
      <c r="B396" s="3">
        <v>2019</v>
      </c>
      <c r="C396" s="3">
        <v>6650.8935546875</v>
      </c>
      <c r="D396" s="3">
        <v>13898.2099609375</v>
      </c>
      <c r="E396" s="3">
        <v>0.74302631616592396</v>
      </c>
      <c r="F396" s="3"/>
      <c r="G396" s="3"/>
      <c r="H396" s="3">
        <v>5.3834639489650699E-2</v>
      </c>
      <c r="I396" s="3">
        <v>50.062461368422198</v>
      </c>
      <c r="J396" s="3">
        <v>1.4111213684082</v>
      </c>
      <c r="K396" s="3"/>
      <c r="L396" s="3">
        <f t="shared" si="6"/>
        <v>5</v>
      </c>
      <c r="M396">
        <f>VLOOKUP(A396,Sheet2!$B$2:$E$186,2,FALSE)</f>
        <v>66</v>
      </c>
      <c r="N396" t="s">
        <v>387</v>
      </c>
      <c r="O396" t="s">
        <v>398</v>
      </c>
      <c r="P396">
        <v>0</v>
      </c>
      <c r="Q396">
        <v>0</v>
      </c>
      <c r="R396">
        <v>0</v>
      </c>
      <c r="S396">
        <v>1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1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/>
      <c r="AP396"/>
      <c r="AQ396"/>
      <c r="AR396"/>
      <c r="AS396"/>
      <c r="AT396"/>
      <c r="AU396"/>
    </row>
    <row r="397" spans="1:47" s="2" customFormat="1" x14ac:dyDescent="0.3">
      <c r="A397" t="s">
        <v>173</v>
      </c>
      <c r="B397" s="3">
        <v>2020</v>
      </c>
      <c r="C397" s="3">
        <v>6690.23779296875</v>
      </c>
      <c r="D397" s="3">
        <v>15172.3603515625</v>
      </c>
      <c r="E397" s="3">
        <v>0.75451922416687001</v>
      </c>
      <c r="F397" s="3"/>
      <c r="G397" s="3"/>
      <c r="H397" s="3">
        <v>5.8678377419710201E-2</v>
      </c>
      <c r="I397" s="3">
        <v>51.501660366172302</v>
      </c>
      <c r="J397" s="3">
        <v>1.4345953464508101</v>
      </c>
      <c r="K397" s="3"/>
      <c r="L397" s="3">
        <f t="shared" si="6"/>
        <v>6</v>
      </c>
      <c r="M397">
        <f>VLOOKUP(A397,Sheet2!$B$2:$E$186,2,FALSE)</f>
        <v>66</v>
      </c>
      <c r="N397" t="s">
        <v>387</v>
      </c>
      <c r="O397" t="s">
        <v>398</v>
      </c>
      <c r="P397">
        <v>0</v>
      </c>
      <c r="Q397">
        <v>0</v>
      </c>
      <c r="R397">
        <v>0</v>
      </c>
      <c r="S397">
        <v>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1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/>
      <c r="AP397"/>
      <c r="AQ397"/>
      <c r="AR397"/>
      <c r="AS397"/>
      <c r="AT397"/>
      <c r="AU397"/>
    </row>
    <row r="398" spans="1:47" s="2" customFormat="1" x14ac:dyDescent="0.3">
      <c r="A398" t="s">
        <v>175</v>
      </c>
      <c r="B398" s="3">
        <v>2015</v>
      </c>
      <c r="C398" s="3">
        <v>3528.89428710938</v>
      </c>
      <c r="D398" s="3">
        <v>6612.80419921875</v>
      </c>
      <c r="E398" s="3">
        <v>0.48297560214996299</v>
      </c>
      <c r="F398" s="3"/>
      <c r="G398" s="3"/>
      <c r="H398" s="3">
        <v>2.55367439240217E-2</v>
      </c>
      <c r="I398" s="3">
        <v>591.21169798260996</v>
      </c>
      <c r="J398" s="3"/>
      <c r="K398" s="3"/>
      <c r="L398" s="3">
        <f t="shared" si="6"/>
        <v>1</v>
      </c>
      <c r="M398">
        <f>VLOOKUP(A398,Sheet2!$B$2:$E$186,2,FALSE)</f>
        <v>67</v>
      </c>
      <c r="N398" t="s">
        <v>387</v>
      </c>
      <c r="O398" t="s">
        <v>398</v>
      </c>
      <c r="P398">
        <v>0</v>
      </c>
      <c r="Q398">
        <v>0</v>
      </c>
      <c r="R398">
        <v>0</v>
      </c>
      <c r="S398">
        <v>1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/>
      <c r="AP398"/>
      <c r="AQ398"/>
      <c r="AR398"/>
      <c r="AS398"/>
      <c r="AT398"/>
      <c r="AU398"/>
    </row>
    <row r="399" spans="1:47" s="2" customFormat="1" x14ac:dyDescent="0.3">
      <c r="A399" t="s">
        <v>175</v>
      </c>
      <c r="B399" s="3">
        <v>2016</v>
      </c>
      <c r="C399" s="3">
        <v>3749.90991210938</v>
      </c>
      <c r="D399" s="3">
        <v>6651.16064453125</v>
      </c>
      <c r="E399" s="3">
        <v>0.497512847185135</v>
      </c>
      <c r="F399" s="3"/>
      <c r="G399" s="3"/>
      <c r="H399" s="3">
        <v>2.5957968086004299E-2</v>
      </c>
      <c r="I399" s="3">
        <v>592.60561506302201</v>
      </c>
      <c r="J399" s="3"/>
      <c r="K399" s="3"/>
      <c r="L399" s="3">
        <f t="shared" si="6"/>
        <v>2</v>
      </c>
      <c r="M399">
        <f>VLOOKUP(A399,Sheet2!$B$2:$E$186,2,FALSE)</f>
        <v>67</v>
      </c>
      <c r="N399" t="s">
        <v>387</v>
      </c>
      <c r="O399" t="s">
        <v>398</v>
      </c>
      <c r="P399">
        <v>0</v>
      </c>
      <c r="Q399">
        <v>0</v>
      </c>
      <c r="R399">
        <v>0</v>
      </c>
      <c r="S399">
        <v>1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1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/>
      <c r="AP399"/>
      <c r="AQ399"/>
      <c r="AR399"/>
      <c r="AS399"/>
      <c r="AT399"/>
      <c r="AU399"/>
    </row>
    <row r="400" spans="1:47" s="2" customFormat="1" x14ac:dyDescent="0.3">
      <c r="A400" t="s">
        <v>175</v>
      </c>
      <c r="B400" s="3">
        <v>2017</v>
      </c>
      <c r="C400" s="3">
        <v>3971.8671875</v>
      </c>
      <c r="D400" s="3">
        <v>6764.349609375</v>
      </c>
      <c r="E400" s="3">
        <v>0.51266735792160001</v>
      </c>
      <c r="F400" s="3"/>
      <c r="G400" s="3"/>
      <c r="H400" s="3">
        <v>2.66735404729843E-2</v>
      </c>
      <c r="I400" s="3">
        <v>580.65674958785803</v>
      </c>
      <c r="J400" s="3"/>
      <c r="K400" s="3"/>
      <c r="L400" s="3">
        <f t="shared" si="6"/>
        <v>3</v>
      </c>
      <c r="M400">
        <f>VLOOKUP(A400,Sheet2!$B$2:$E$186,2,FALSE)</f>
        <v>67</v>
      </c>
      <c r="N400" t="s">
        <v>387</v>
      </c>
      <c r="O400" t="s">
        <v>398</v>
      </c>
      <c r="P400">
        <v>0</v>
      </c>
      <c r="Q400">
        <v>0</v>
      </c>
      <c r="R400">
        <v>0</v>
      </c>
      <c r="S400">
        <v>1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1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/>
      <c r="AP400"/>
      <c r="AQ400"/>
      <c r="AR400"/>
      <c r="AS400"/>
      <c r="AT400"/>
      <c r="AU400"/>
    </row>
    <row r="401" spans="1:47" s="2" customFormat="1" x14ac:dyDescent="0.3">
      <c r="A401" t="s">
        <v>175</v>
      </c>
      <c r="B401" s="3">
        <v>2018</v>
      </c>
      <c r="C401" s="3">
        <v>4121.26904296875</v>
      </c>
      <c r="D401" s="3">
        <v>6893.27392578125</v>
      </c>
      <c r="E401" s="3">
        <v>0.52747899293899503</v>
      </c>
      <c r="F401" s="3"/>
      <c r="G401" s="3"/>
      <c r="H401" s="3">
        <v>2.7570353820920001E-2</v>
      </c>
      <c r="I401" s="3">
        <v>555.44645839822601</v>
      </c>
      <c r="J401" s="3"/>
      <c r="K401" s="3"/>
      <c r="L401" s="3">
        <f t="shared" si="6"/>
        <v>4</v>
      </c>
      <c r="M401">
        <f>VLOOKUP(A401,Sheet2!$B$2:$E$186,2,FALSE)</f>
        <v>67</v>
      </c>
      <c r="N401" t="s">
        <v>387</v>
      </c>
      <c r="O401" t="s">
        <v>398</v>
      </c>
      <c r="P401">
        <v>0</v>
      </c>
      <c r="Q401">
        <v>0</v>
      </c>
      <c r="R401">
        <v>0</v>
      </c>
      <c r="S401">
        <v>1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1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/>
      <c r="AP401"/>
      <c r="AQ401"/>
      <c r="AR401"/>
      <c r="AS401"/>
      <c r="AT401"/>
      <c r="AU401"/>
    </row>
    <row r="402" spans="1:47" s="2" customFormat="1" x14ac:dyDescent="0.3">
      <c r="A402" t="s">
        <v>175</v>
      </c>
      <c r="B402" s="3">
        <v>2019</v>
      </c>
      <c r="C402" s="3">
        <v>4306.72607421875</v>
      </c>
      <c r="D402" s="3">
        <v>6963.400390625</v>
      </c>
      <c r="E402" s="3">
        <v>0.53997266292571999</v>
      </c>
      <c r="F402" s="3"/>
      <c r="G402" s="3"/>
      <c r="H402" s="3">
        <v>2.8001274913549399E-2</v>
      </c>
      <c r="I402" s="3">
        <v>585.91101318036897</v>
      </c>
      <c r="J402" s="3"/>
      <c r="K402" s="3"/>
      <c r="L402" s="3">
        <f t="shared" si="6"/>
        <v>5</v>
      </c>
      <c r="M402">
        <f>VLOOKUP(A402,Sheet2!$B$2:$E$186,2,FALSE)</f>
        <v>67</v>
      </c>
      <c r="N402" t="s">
        <v>387</v>
      </c>
      <c r="O402" t="s">
        <v>398</v>
      </c>
      <c r="P402">
        <v>0</v>
      </c>
      <c r="Q402">
        <v>0</v>
      </c>
      <c r="R402">
        <v>0</v>
      </c>
      <c r="S402">
        <v>1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/>
      <c r="AP402"/>
      <c r="AQ402"/>
      <c r="AR402"/>
      <c r="AS402"/>
      <c r="AT402"/>
      <c r="AU402"/>
    </row>
    <row r="403" spans="1:47" s="2" customFormat="1" x14ac:dyDescent="0.3">
      <c r="A403" t="s">
        <v>175</v>
      </c>
      <c r="B403" s="3">
        <v>2020</v>
      </c>
      <c r="C403" s="3">
        <v>4371.3271484375</v>
      </c>
      <c r="D403" s="3">
        <v>7078.14111328125</v>
      </c>
      <c r="E403" s="3">
        <v>0.55703270435333296</v>
      </c>
      <c r="F403" s="3"/>
      <c r="G403" s="3"/>
      <c r="H403" s="3">
        <v>2.8299232944846198E-2</v>
      </c>
      <c r="I403" s="3">
        <v>575.58600451094503</v>
      </c>
      <c r="J403" s="3"/>
      <c r="K403" s="3"/>
      <c r="L403" s="3">
        <f t="shared" si="6"/>
        <v>6</v>
      </c>
      <c r="M403">
        <f>VLOOKUP(A403,Sheet2!$B$2:$E$186,2,FALSE)</f>
        <v>67</v>
      </c>
      <c r="N403" t="s">
        <v>387</v>
      </c>
      <c r="O403" t="s">
        <v>398</v>
      </c>
      <c r="P403">
        <v>0</v>
      </c>
      <c r="Q403">
        <v>0</v>
      </c>
      <c r="R403">
        <v>0</v>
      </c>
      <c r="S403">
        <v>1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/>
      <c r="AP403"/>
      <c r="AQ403"/>
      <c r="AR403"/>
      <c r="AS403"/>
      <c r="AT403"/>
      <c r="AU403"/>
    </row>
    <row r="404" spans="1:47" x14ac:dyDescent="0.3">
      <c r="A404" t="s">
        <v>176</v>
      </c>
      <c r="B404" s="3">
        <v>2015</v>
      </c>
      <c r="C404" s="3">
        <v>48218.37890625</v>
      </c>
      <c r="D404" s="3">
        <v>152409.375</v>
      </c>
      <c r="E404" s="3">
        <v>0.45662021636962902</v>
      </c>
      <c r="F404" s="3"/>
      <c r="G404" s="3"/>
      <c r="H404" s="3">
        <v>7.81845822930336E-2</v>
      </c>
      <c r="I404" s="3">
        <v>591.21169798260996</v>
      </c>
      <c r="J404" s="3"/>
      <c r="K404" s="3"/>
      <c r="L404" s="3">
        <f t="shared" si="6"/>
        <v>1</v>
      </c>
      <c r="M404">
        <f>VLOOKUP(A404,Sheet2!$B$2:$E$186,2,FALSE)</f>
        <v>68</v>
      </c>
      <c r="N404" t="s">
        <v>387</v>
      </c>
      <c r="O404" t="s">
        <v>388</v>
      </c>
      <c r="P404">
        <v>0</v>
      </c>
      <c r="Q404">
        <v>0</v>
      </c>
      <c r="R404">
        <v>0</v>
      </c>
      <c r="S404">
        <v>1</v>
      </c>
      <c r="T404">
        <v>0</v>
      </c>
      <c r="U404">
        <v>0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</row>
    <row r="405" spans="1:47" x14ac:dyDescent="0.3">
      <c r="A405" t="s">
        <v>176</v>
      </c>
      <c r="B405" s="3">
        <v>2016</v>
      </c>
      <c r="C405" s="3">
        <v>43967.234375</v>
      </c>
      <c r="D405" s="3">
        <v>146862.3125</v>
      </c>
      <c r="E405" s="3">
        <v>0.47235593199729897</v>
      </c>
      <c r="F405" s="3"/>
      <c r="G405" s="3"/>
      <c r="H405" s="3">
        <v>7.5650051236152704E-2</v>
      </c>
      <c r="I405" s="3">
        <v>592.60561506302201</v>
      </c>
      <c r="J405" s="3"/>
      <c r="K405" s="3"/>
      <c r="L405" s="3">
        <f t="shared" si="6"/>
        <v>2</v>
      </c>
      <c r="M405">
        <f>VLOOKUP(A405,Sheet2!$B$2:$E$186,2,FALSE)</f>
        <v>68</v>
      </c>
      <c r="N405" t="s">
        <v>387</v>
      </c>
      <c r="O405" t="s">
        <v>388</v>
      </c>
      <c r="P405">
        <v>0</v>
      </c>
      <c r="Q405">
        <v>0</v>
      </c>
      <c r="R405">
        <v>0</v>
      </c>
      <c r="S405">
        <v>1</v>
      </c>
      <c r="T405">
        <v>0</v>
      </c>
      <c r="U405">
        <v>0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</row>
    <row r="406" spans="1:47" x14ac:dyDescent="0.3">
      <c r="A406" t="s">
        <v>176</v>
      </c>
      <c r="B406" s="3">
        <v>2017</v>
      </c>
      <c r="C406" s="3">
        <v>41475.421875</v>
      </c>
      <c r="D406" s="3">
        <v>141435.875</v>
      </c>
      <c r="E406" s="3">
        <v>0.48762461543083202</v>
      </c>
      <c r="F406" s="3"/>
      <c r="G406" s="3"/>
      <c r="H406" s="3">
        <v>7.3001049458980602E-2</v>
      </c>
      <c r="I406" s="3">
        <v>580.65674958785803</v>
      </c>
      <c r="J406" s="3"/>
      <c r="K406" s="3"/>
      <c r="L406" s="3">
        <f t="shared" si="6"/>
        <v>3</v>
      </c>
      <c r="M406">
        <f>VLOOKUP(A406,Sheet2!$B$2:$E$186,2,FALSE)</f>
        <v>68</v>
      </c>
      <c r="N406" t="s">
        <v>387</v>
      </c>
      <c r="O406" t="s">
        <v>388</v>
      </c>
      <c r="P406">
        <v>0</v>
      </c>
      <c r="Q406">
        <v>0</v>
      </c>
      <c r="R406">
        <v>0</v>
      </c>
      <c r="S406">
        <v>1</v>
      </c>
      <c r="T406">
        <v>0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</row>
    <row r="407" spans="1:47" x14ac:dyDescent="0.3">
      <c r="A407" t="s">
        <v>176</v>
      </c>
      <c r="B407" s="3">
        <v>2018</v>
      </c>
      <c r="C407" s="3">
        <v>38888.73828125</v>
      </c>
      <c r="D407" s="3">
        <v>136235.515625</v>
      </c>
      <c r="E407" s="3">
        <v>0.50401031970977805</v>
      </c>
      <c r="F407" s="3"/>
      <c r="G407" s="3"/>
      <c r="H407" s="3">
        <v>7.0481099188327803E-2</v>
      </c>
      <c r="I407" s="3">
        <v>555.44645839822601</v>
      </c>
      <c r="J407" s="3"/>
      <c r="K407" s="3"/>
      <c r="L407" s="3">
        <f t="shared" si="6"/>
        <v>4</v>
      </c>
      <c r="M407">
        <f>VLOOKUP(A407,Sheet2!$B$2:$E$186,2,FALSE)</f>
        <v>68</v>
      </c>
      <c r="N407" t="s">
        <v>387</v>
      </c>
      <c r="O407" t="s">
        <v>388</v>
      </c>
      <c r="P407">
        <v>0</v>
      </c>
      <c r="Q407">
        <v>0</v>
      </c>
      <c r="R407">
        <v>0</v>
      </c>
      <c r="S407">
        <v>1</v>
      </c>
      <c r="T407">
        <v>0</v>
      </c>
      <c r="U407">
        <v>0</v>
      </c>
      <c r="V407">
        <v>1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</row>
    <row r="408" spans="1:47" x14ac:dyDescent="0.3">
      <c r="A408" t="s">
        <v>176</v>
      </c>
      <c r="B408" s="3">
        <v>2019</v>
      </c>
      <c r="C408" s="3">
        <v>36756.953125</v>
      </c>
      <c r="D408" s="3">
        <v>130876.953125</v>
      </c>
      <c r="E408" s="3">
        <v>0.52009612321853604</v>
      </c>
      <c r="F408" s="3"/>
      <c r="G408" s="3"/>
      <c r="H408" s="3">
        <v>6.8068981170654297E-2</v>
      </c>
      <c r="I408" s="3">
        <v>585.91101318036897</v>
      </c>
      <c r="J408" s="3"/>
      <c r="K408" s="3"/>
      <c r="L408" s="3">
        <f t="shared" si="6"/>
        <v>5</v>
      </c>
      <c r="M408">
        <f>VLOOKUP(A408,Sheet2!$B$2:$E$186,2,FALSE)</f>
        <v>68</v>
      </c>
      <c r="N408" t="s">
        <v>387</v>
      </c>
      <c r="O408" t="s">
        <v>388</v>
      </c>
      <c r="P408">
        <v>0</v>
      </c>
      <c r="Q408">
        <v>0</v>
      </c>
      <c r="R408">
        <v>0</v>
      </c>
      <c r="S408">
        <v>1</v>
      </c>
      <c r="T408">
        <v>0</v>
      </c>
      <c r="U408">
        <v>0</v>
      </c>
      <c r="V408">
        <v>1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</row>
    <row r="409" spans="1:47" x14ac:dyDescent="0.3">
      <c r="A409" t="s">
        <v>176</v>
      </c>
      <c r="B409" s="3">
        <v>2020</v>
      </c>
      <c r="C409" s="3">
        <v>34995.8984375</v>
      </c>
      <c r="D409" s="3">
        <v>124785.015625</v>
      </c>
      <c r="E409" s="3">
        <v>0.50532287359237704</v>
      </c>
      <c r="F409" s="3"/>
      <c r="G409" s="3"/>
      <c r="H409" s="3">
        <v>6.5531566739082295E-2</v>
      </c>
      <c r="I409" s="3">
        <v>575.58600451094503</v>
      </c>
      <c r="J409" s="3"/>
      <c r="K409" s="3"/>
      <c r="L409" s="3">
        <f t="shared" si="6"/>
        <v>6</v>
      </c>
      <c r="M409">
        <f>VLOOKUP(A409,Sheet2!$B$2:$E$186,2,FALSE)</f>
        <v>68</v>
      </c>
      <c r="N409" t="s">
        <v>387</v>
      </c>
      <c r="O409" t="s">
        <v>388</v>
      </c>
      <c r="P409">
        <v>0</v>
      </c>
      <c r="Q409">
        <v>0</v>
      </c>
      <c r="R409">
        <v>0</v>
      </c>
      <c r="S409">
        <v>1</v>
      </c>
      <c r="T409">
        <v>0</v>
      </c>
      <c r="U409">
        <v>0</v>
      </c>
      <c r="V409">
        <v>1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</row>
    <row r="410" spans="1:47" x14ac:dyDescent="0.3">
      <c r="A410" t="s">
        <v>177</v>
      </c>
      <c r="B410" s="3">
        <v>2015</v>
      </c>
      <c r="C410" s="3">
        <v>305377.65625</v>
      </c>
      <c r="D410" s="3">
        <v>2653729.75</v>
      </c>
      <c r="E410" s="3">
        <v>4.3512420654296902</v>
      </c>
      <c r="F410" s="3">
        <v>1.0233229398727399</v>
      </c>
      <c r="G410" s="3">
        <v>5.7065133005380603E-2</v>
      </c>
      <c r="H410" s="3">
        <v>3.0075242742896101E-2</v>
      </c>
      <c r="I410" s="3">
        <v>0.90129642336709603</v>
      </c>
      <c r="J410" s="3">
        <v>3.0478103160858199</v>
      </c>
      <c r="K410" s="3">
        <v>0.96845716238021895</v>
      </c>
      <c r="L410" s="3">
        <f t="shared" si="6"/>
        <v>1</v>
      </c>
      <c r="M410">
        <f>VLOOKUP(A410,Sheet2!$B$2:$E$186,2,FALSE)</f>
        <v>69</v>
      </c>
      <c r="N410" t="s">
        <v>389</v>
      </c>
      <c r="O410" t="s">
        <v>390</v>
      </c>
      <c r="P410">
        <v>0</v>
      </c>
      <c r="Q410">
        <v>1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</row>
    <row r="411" spans="1:47" x14ac:dyDescent="0.3">
      <c r="A411" t="s">
        <v>177</v>
      </c>
      <c r="B411" s="3">
        <v>2016</v>
      </c>
      <c r="C411" s="3">
        <v>305280.59375</v>
      </c>
      <c r="D411" s="3">
        <v>2632788.75</v>
      </c>
      <c r="E411" s="3">
        <v>4.4989590644836399</v>
      </c>
      <c r="F411" s="3">
        <v>1.0122817754745499</v>
      </c>
      <c r="G411" s="3">
        <v>5.6016635149717303E-2</v>
      </c>
      <c r="H411" s="3">
        <v>2.97336168587208E-2</v>
      </c>
      <c r="I411" s="3">
        <v>0.90342143625726301</v>
      </c>
      <c r="J411" s="3">
        <v>3.0694553852081299</v>
      </c>
      <c r="K411" s="3">
        <v>0.95667302608490001</v>
      </c>
      <c r="L411" s="3">
        <f t="shared" si="6"/>
        <v>2</v>
      </c>
      <c r="M411">
        <f>VLOOKUP(A411,Sheet2!$B$2:$E$186,2,FALSE)</f>
        <v>69</v>
      </c>
      <c r="N411" t="s">
        <v>389</v>
      </c>
      <c r="O411" t="s">
        <v>390</v>
      </c>
      <c r="P411">
        <v>0</v>
      </c>
      <c r="Q411">
        <v>1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</row>
    <row r="412" spans="1:47" x14ac:dyDescent="0.3">
      <c r="A412" t="s">
        <v>177</v>
      </c>
      <c r="B412" s="3">
        <v>2017</v>
      </c>
      <c r="C412" s="3">
        <v>309777.75</v>
      </c>
      <c r="D412" s="3">
        <v>2617706.25</v>
      </c>
      <c r="E412" s="3">
        <v>4.4756445884704599</v>
      </c>
      <c r="F412" s="3">
        <v>1.00705766677856</v>
      </c>
      <c r="G412" s="3">
        <v>5.7745918631553698E-2</v>
      </c>
      <c r="H412" s="3">
        <v>2.95059643685818E-2</v>
      </c>
      <c r="I412" s="3">
        <v>0.88520550826937205</v>
      </c>
      <c r="J412" s="3">
        <v>3.0912542343139702</v>
      </c>
      <c r="K412" s="3">
        <v>0.96762490272521995</v>
      </c>
      <c r="L412" s="3">
        <f t="shared" si="6"/>
        <v>3</v>
      </c>
      <c r="M412">
        <f>VLOOKUP(A412,Sheet2!$B$2:$E$186,2,FALSE)</f>
        <v>69</v>
      </c>
      <c r="N412" t="s">
        <v>389</v>
      </c>
      <c r="O412" t="s">
        <v>390</v>
      </c>
      <c r="P412">
        <v>0</v>
      </c>
      <c r="Q412">
        <v>1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</row>
    <row r="413" spans="1:47" x14ac:dyDescent="0.3">
      <c r="A413" t="s">
        <v>177</v>
      </c>
      <c r="B413" s="3">
        <v>2018</v>
      </c>
      <c r="C413" s="3">
        <v>316173.625</v>
      </c>
      <c r="D413" s="3">
        <v>2600724</v>
      </c>
      <c r="E413" s="3">
        <v>4.68029689788818</v>
      </c>
      <c r="F413" s="3">
        <v>1.00125515460968</v>
      </c>
      <c r="G413" s="3">
        <v>6.0839321464300197E-2</v>
      </c>
      <c r="H413" s="3">
        <v>2.9449297115206701E-2</v>
      </c>
      <c r="I413" s="3">
        <v>0.84677266710811105</v>
      </c>
      <c r="J413" s="3">
        <v>3.1132078170776398</v>
      </c>
      <c r="K413" s="3">
        <v>0.95482319593429599</v>
      </c>
      <c r="L413" s="3">
        <f t="shared" si="6"/>
        <v>4</v>
      </c>
      <c r="M413">
        <f>VLOOKUP(A413,Sheet2!$B$2:$E$186,2,FALSE)</f>
        <v>69</v>
      </c>
      <c r="N413" t="s">
        <v>389</v>
      </c>
      <c r="O413" t="s">
        <v>390</v>
      </c>
      <c r="P413">
        <v>0</v>
      </c>
      <c r="Q413">
        <v>1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</row>
    <row r="414" spans="1:47" x14ac:dyDescent="0.3">
      <c r="A414" t="s">
        <v>177</v>
      </c>
      <c r="B414" s="3">
        <v>2019</v>
      </c>
      <c r="C414" s="3">
        <v>323373.5</v>
      </c>
      <c r="D414" s="3">
        <v>2583970</v>
      </c>
      <c r="E414" s="3">
        <v>4.7821493148803702</v>
      </c>
      <c r="F414" s="3">
        <v>0.996473908424377</v>
      </c>
      <c r="G414" s="3">
        <v>6.0441683977842303E-2</v>
      </c>
      <c r="H414" s="3">
        <v>2.94394958764315E-2</v>
      </c>
      <c r="I414" s="3">
        <v>0.89327625706740899</v>
      </c>
      <c r="J414" s="3">
        <v>3.1353175640106201</v>
      </c>
      <c r="K414" s="3">
        <v>0.96784305572509799</v>
      </c>
      <c r="L414" s="3">
        <f t="shared" si="6"/>
        <v>5</v>
      </c>
      <c r="M414">
        <f>VLOOKUP(A414,Sheet2!$B$2:$E$186,2,FALSE)</f>
        <v>69</v>
      </c>
      <c r="N414" t="s">
        <v>389</v>
      </c>
      <c r="O414" t="s">
        <v>390</v>
      </c>
      <c r="P414">
        <v>0</v>
      </c>
      <c r="Q414">
        <v>1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</row>
    <row r="415" spans="1:47" x14ac:dyDescent="0.3">
      <c r="A415" t="s">
        <v>177</v>
      </c>
      <c r="B415" s="3">
        <v>2020</v>
      </c>
      <c r="C415" s="3">
        <v>293635.3125</v>
      </c>
      <c r="D415" s="3">
        <v>2568725.75</v>
      </c>
      <c r="E415" s="3">
        <v>4.6608405113220197</v>
      </c>
      <c r="F415" s="3">
        <v>0.99254906177520796</v>
      </c>
      <c r="G415" s="3">
        <v>5.3946681320667302E-2</v>
      </c>
      <c r="H415" s="3">
        <v>2.9518429189920401E-2</v>
      </c>
      <c r="I415" s="3">
        <v>0.87550639698799804</v>
      </c>
      <c r="J415" s="3">
        <v>3.1575839519500701</v>
      </c>
      <c r="K415" s="3">
        <v>1.0011351108551001</v>
      </c>
      <c r="L415" s="3">
        <f t="shared" si="6"/>
        <v>6</v>
      </c>
      <c r="M415">
        <f>VLOOKUP(A415,Sheet2!$B$2:$E$186,2,FALSE)</f>
        <v>69</v>
      </c>
      <c r="N415" t="s">
        <v>389</v>
      </c>
      <c r="O415" t="s">
        <v>390</v>
      </c>
      <c r="P415">
        <v>0</v>
      </c>
      <c r="Q415">
        <v>1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</row>
    <row r="416" spans="1:47" x14ac:dyDescent="0.3">
      <c r="A416" t="s">
        <v>178</v>
      </c>
      <c r="B416" s="3">
        <v>2015</v>
      </c>
      <c r="C416" s="3">
        <v>1593.70581054688</v>
      </c>
      <c r="D416" s="3">
        <v>7158.427734375</v>
      </c>
      <c r="E416" s="3">
        <v>3.8248017430305502E-2</v>
      </c>
      <c r="F416" s="3"/>
      <c r="G416" s="3"/>
      <c r="H416" s="3">
        <v>4.1237205266952501E-2</v>
      </c>
      <c r="I416" s="3">
        <v>2.7</v>
      </c>
      <c r="J416" s="3"/>
      <c r="K416" s="3"/>
      <c r="L416" s="3">
        <f t="shared" si="6"/>
        <v>1</v>
      </c>
      <c r="M416">
        <f>VLOOKUP(A416,Sheet2!$B$2:$E$186,2,FALSE)</f>
        <v>70</v>
      </c>
      <c r="N416" t="s">
        <v>385</v>
      </c>
      <c r="O416" t="s">
        <v>386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</row>
    <row r="417" spans="1:47" x14ac:dyDescent="0.3">
      <c r="A417" t="s">
        <v>178</v>
      </c>
      <c r="B417" s="3">
        <v>2016</v>
      </c>
      <c r="C417" s="3">
        <v>1653.30480957031</v>
      </c>
      <c r="D417" s="3">
        <v>7270.99658203125</v>
      </c>
      <c r="E417" s="3">
        <v>3.84357459843159E-2</v>
      </c>
      <c r="F417" s="3"/>
      <c r="G417" s="3"/>
      <c r="H417" s="3">
        <v>4.0849145501852001E-2</v>
      </c>
      <c r="I417" s="3">
        <v>2.7</v>
      </c>
      <c r="J417" s="3"/>
      <c r="K417" s="3"/>
      <c r="L417" s="3">
        <f t="shared" si="6"/>
        <v>2</v>
      </c>
      <c r="M417">
        <f>VLOOKUP(A417,Sheet2!$B$2:$E$186,2,FALSE)</f>
        <v>70</v>
      </c>
      <c r="N417" t="s">
        <v>385</v>
      </c>
      <c r="O417" t="s">
        <v>386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</row>
    <row r="418" spans="1:47" x14ac:dyDescent="0.3">
      <c r="A418" t="s">
        <v>178</v>
      </c>
      <c r="B418" s="3">
        <v>2017</v>
      </c>
      <c r="C418" s="3">
        <v>1726.6875</v>
      </c>
      <c r="D418" s="3">
        <v>7480.0380859375</v>
      </c>
      <c r="E418" s="3">
        <v>3.8574974983930602E-2</v>
      </c>
      <c r="F418" s="3"/>
      <c r="G418" s="3"/>
      <c r="H418" s="3">
        <v>4.0569055825471899E-2</v>
      </c>
      <c r="I418" s="3">
        <v>2.7</v>
      </c>
      <c r="J418" s="3"/>
      <c r="K418" s="3"/>
      <c r="L418" s="3">
        <f t="shared" si="6"/>
        <v>3</v>
      </c>
      <c r="M418">
        <f>VLOOKUP(A418,Sheet2!$B$2:$E$186,2,FALSE)</f>
        <v>70</v>
      </c>
      <c r="N418" t="s">
        <v>385</v>
      </c>
      <c r="O418" t="s">
        <v>386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</row>
    <row r="419" spans="1:47" x14ac:dyDescent="0.3">
      <c r="A419" t="s">
        <v>178</v>
      </c>
      <c r="B419" s="3">
        <v>2018</v>
      </c>
      <c r="C419" s="3">
        <v>1801.99682617188</v>
      </c>
      <c r="D419" s="3">
        <v>7742.2744140625</v>
      </c>
      <c r="E419" s="3">
        <v>3.8695998489856699E-2</v>
      </c>
      <c r="F419" s="3"/>
      <c r="G419" s="3"/>
      <c r="H419" s="3">
        <v>4.0558490902185398E-2</v>
      </c>
      <c r="I419" s="3">
        <v>2.7</v>
      </c>
      <c r="J419" s="3"/>
      <c r="K419" s="3"/>
      <c r="L419" s="3">
        <f t="shared" si="6"/>
        <v>4</v>
      </c>
      <c r="M419">
        <f>VLOOKUP(A419,Sheet2!$B$2:$E$186,2,FALSE)</f>
        <v>70</v>
      </c>
      <c r="N419" t="s">
        <v>385</v>
      </c>
      <c r="O419" t="s">
        <v>386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</row>
    <row r="420" spans="1:47" x14ac:dyDescent="0.3">
      <c r="A420" t="s">
        <v>178</v>
      </c>
      <c r="B420" s="3">
        <v>2019</v>
      </c>
      <c r="C420" s="3">
        <v>1814.18762207031</v>
      </c>
      <c r="D420" s="3">
        <v>8013.24658203125</v>
      </c>
      <c r="E420" s="3">
        <v>4.0196999907493598E-2</v>
      </c>
      <c r="F420" s="3"/>
      <c r="G420" s="3"/>
      <c r="H420" s="3">
        <v>4.0715198963880497E-2</v>
      </c>
      <c r="I420" s="3">
        <v>2.7</v>
      </c>
      <c r="J420" s="3"/>
      <c r="K420" s="3"/>
      <c r="L420" s="3">
        <f t="shared" si="6"/>
        <v>5</v>
      </c>
      <c r="M420">
        <f>VLOOKUP(A420,Sheet2!$B$2:$E$186,2,FALSE)</f>
        <v>70</v>
      </c>
      <c r="N420" t="s">
        <v>385</v>
      </c>
      <c r="O420" t="s">
        <v>386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</row>
    <row r="421" spans="1:47" x14ac:dyDescent="0.3">
      <c r="A421" t="s">
        <v>178</v>
      </c>
      <c r="B421" s="3">
        <v>2020</v>
      </c>
      <c r="C421" s="3">
        <v>1564.63854980469</v>
      </c>
      <c r="D421" s="3">
        <v>8339.5576171875</v>
      </c>
      <c r="E421" s="3">
        <v>3.3762000501155902E-2</v>
      </c>
      <c r="F421" s="3"/>
      <c r="G421" s="3"/>
      <c r="H421" s="3">
        <v>4.1597243398427998E-2</v>
      </c>
      <c r="I421" s="3">
        <v>2.7</v>
      </c>
      <c r="J421" s="3"/>
      <c r="K421" s="3"/>
      <c r="L421" s="3">
        <f t="shared" si="6"/>
        <v>6</v>
      </c>
      <c r="M421">
        <f>VLOOKUP(A421,Sheet2!$B$2:$E$186,2,FALSE)</f>
        <v>70</v>
      </c>
      <c r="N421" t="s">
        <v>385</v>
      </c>
      <c r="O421" t="s">
        <v>386</v>
      </c>
      <c r="P421">
        <v>1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</row>
    <row r="422" spans="1:47" x14ac:dyDescent="0.3">
      <c r="A422" t="s">
        <v>179</v>
      </c>
      <c r="B422" s="3">
        <v>2015</v>
      </c>
      <c r="C422" s="3">
        <v>169343.78125</v>
      </c>
      <c r="D422" s="3">
        <v>692583.6875</v>
      </c>
      <c r="E422" s="3">
        <v>6.2169060707092303</v>
      </c>
      <c r="F422" s="3">
        <v>0.856164991855621</v>
      </c>
      <c r="G422" s="3">
        <v>0.181387469172478</v>
      </c>
      <c r="H422" s="3">
        <v>3.8816880434751497E-2</v>
      </c>
      <c r="I422" s="3">
        <v>7.6548150000000001</v>
      </c>
      <c r="J422" s="3">
        <v>1.86642253398895</v>
      </c>
      <c r="K422" s="3">
        <v>0.956110119819641</v>
      </c>
      <c r="L422" s="3">
        <f t="shared" si="6"/>
        <v>1</v>
      </c>
      <c r="M422">
        <f>VLOOKUP(A422,Sheet2!$B$2:$E$186,2,FALSE)</f>
        <v>71</v>
      </c>
      <c r="N422" t="s">
        <v>385</v>
      </c>
      <c r="O422" t="s">
        <v>401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1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U422" s="3"/>
    </row>
    <row r="423" spans="1:47" x14ac:dyDescent="0.3">
      <c r="A423" t="s">
        <v>179</v>
      </c>
      <c r="B423" s="3">
        <v>2016</v>
      </c>
      <c r="C423" s="3">
        <v>173878.46875</v>
      </c>
      <c r="D423" s="3">
        <v>707692.1875</v>
      </c>
      <c r="E423" s="3">
        <v>6.4989376068115199</v>
      </c>
      <c r="F423" s="3">
        <v>0.87402576208114602</v>
      </c>
      <c r="G423" s="3">
        <v>0.18161067366600001</v>
      </c>
      <c r="H423" s="3">
        <v>3.86965647339821E-2</v>
      </c>
      <c r="I423" s="3">
        <v>7.5999370833333302</v>
      </c>
      <c r="J423" s="3">
        <v>1.8880295753478999</v>
      </c>
      <c r="K423" s="3">
        <v>0.93750959634780895</v>
      </c>
      <c r="L423" s="3">
        <f t="shared" si="6"/>
        <v>2</v>
      </c>
      <c r="M423">
        <f>VLOOKUP(A423,Sheet2!$B$2:$E$186,2,FALSE)</f>
        <v>71</v>
      </c>
      <c r="N423" t="s">
        <v>385</v>
      </c>
      <c r="O423" t="s">
        <v>401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1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U423" s="3"/>
    </row>
    <row r="424" spans="1:47" x14ac:dyDescent="0.3">
      <c r="A424" t="s">
        <v>179</v>
      </c>
      <c r="B424" s="3">
        <v>2017</v>
      </c>
      <c r="C424" s="3">
        <v>179233.671875</v>
      </c>
      <c r="D424" s="3">
        <v>724097.25</v>
      </c>
      <c r="E424" s="3">
        <v>6.8252882957458496</v>
      </c>
      <c r="F424" s="3">
        <v>0.89393651485443104</v>
      </c>
      <c r="G424" s="3">
        <v>0.18765175342559801</v>
      </c>
      <c r="H424" s="3">
        <v>3.8553550839424099E-2</v>
      </c>
      <c r="I424" s="3">
        <v>7.34793875</v>
      </c>
      <c r="J424" s="3">
        <v>1.9098865985870399</v>
      </c>
      <c r="K424" s="3">
        <v>0.93986260890960704</v>
      </c>
      <c r="L424" s="3">
        <f t="shared" si="6"/>
        <v>3</v>
      </c>
      <c r="M424">
        <f>VLOOKUP(A424,Sheet2!$B$2:$E$186,2,FALSE)</f>
        <v>71</v>
      </c>
      <c r="N424" t="s">
        <v>385</v>
      </c>
      <c r="O424" t="s">
        <v>401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1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U424" s="3"/>
    </row>
    <row r="425" spans="1:47" x14ac:dyDescent="0.3">
      <c r="A425" t="s">
        <v>179</v>
      </c>
      <c r="B425" s="3">
        <v>2018</v>
      </c>
      <c r="C425" s="3">
        <v>185339.9375</v>
      </c>
      <c r="D425" s="3">
        <v>742007.6875</v>
      </c>
      <c r="E425" s="3">
        <v>6.8500280380248997</v>
      </c>
      <c r="F425" s="3">
        <v>0.91539311408996604</v>
      </c>
      <c r="G425" s="3">
        <v>0.18888941407203699</v>
      </c>
      <c r="H425" s="3">
        <v>3.8415804505348199E-2</v>
      </c>
      <c r="I425" s="3">
        <v>7.51916458333333</v>
      </c>
      <c r="J425" s="3">
        <v>1.93199682235718</v>
      </c>
      <c r="K425" s="3">
        <v>0.96010911464691195</v>
      </c>
      <c r="L425" s="3">
        <f t="shared" si="6"/>
        <v>4</v>
      </c>
      <c r="M425">
        <f>VLOOKUP(A425,Sheet2!$B$2:$E$186,2,FALSE)</f>
        <v>71</v>
      </c>
      <c r="N425" t="s">
        <v>385</v>
      </c>
      <c r="O425" t="s">
        <v>401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1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U425" s="3"/>
    </row>
    <row r="426" spans="1:47" x14ac:dyDescent="0.3">
      <c r="A426" t="s">
        <v>179</v>
      </c>
      <c r="B426" s="3">
        <v>2019</v>
      </c>
      <c r="C426" s="3">
        <v>192786.703125</v>
      </c>
      <c r="D426" s="3">
        <v>763462.3125</v>
      </c>
      <c r="E426" s="3">
        <v>7.1022906303405797</v>
      </c>
      <c r="F426" s="3">
        <v>0.94137364625930797</v>
      </c>
      <c r="G426" s="3">
        <v>0.19240191578865101</v>
      </c>
      <c r="H426" s="3">
        <v>3.8256451487541199E-2</v>
      </c>
      <c r="I426" s="3">
        <v>7.6966983333333303</v>
      </c>
      <c r="J426" s="3">
        <v>1.9543628692627</v>
      </c>
      <c r="K426" s="3">
        <v>0.96286541223526001</v>
      </c>
      <c r="L426" s="3">
        <f t="shared" si="6"/>
        <v>5</v>
      </c>
      <c r="M426">
        <f>VLOOKUP(A426,Sheet2!$B$2:$E$186,2,FALSE)</f>
        <v>71</v>
      </c>
      <c r="N426" t="s">
        <v>385</v>
      </c>
      <c r="O426" t="s">
        <v>401</v>
      </c>
      <c r="P426">
        <v>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1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U426" s="3"/>
    </row>
    <row r="427" spans="1:47" x14ac:dyDescent="0.3">
      <c r="A427" t="s">
        <v>179</v>
      </c>
      <c r="B427" s="3">
        <v>2020</v>
      </c>
      <c r="C427" s="3">
        <v>189344.390625</v>
      </c>
      <c r="D427" s="3">
        <v>782002.5</v>
      </c>
      <c r="E427" s="3">
        <v>6.9208292961120597</v>
      </c>
      <c r="F427" s="3">
        <v>0.963692367076874</v>
      </c>
      <c r="G427" s="3">
        <v>0.19133633375167799</v>
      </c>
      <c r="H427" s="3">
        <v>3.8109201937913902E-2</v>
      </c>
      <c r="I427" s="3">
        <v>7.7216500000000003</v>
      </c>
      <c r="J427" s="3">
        <v>1.9769878387451201</v>
      </c>
      <c r="K427" s="3">
        <v>0.95068532228469904</v>
      </c>
      <c r="L427" s="3">
        <f t="shared" si="6"/>
        <v>6</v>
      </c>
      <c r="M427">
        <f>VLOOKUP(A427,Sheet2!$B$2:$E$186,2,FALSE)</f>
        <v>71</v>
      </c>
      <c r="N427" t="s">
        <v>385</v>
      </c>
      <c r="O427" t="s">
        <v>401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1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U427" s="3"/>
    </row>
    <row r="428" spans="1:47" s="2" customFormat="1" x14ac:dyDescent="0.3">
      <c r="A428" t="s">
        <v>181</v>
      </c>
      <c r="B428" s="3">
        <v>2015</v>
      </c>
      <c r="C428" s="3">
        <v>8350.642578125</v>
      </c>
      <c r="D428" s="3"/>
      <c r="E428" s="3">
        <v>0.242683500051498</v>
      </c>
      <c r="F428" s="3"/>
      <c r="G428" s="3"/>
      <c r="H428" s="3"/>
      <c r="I428" s="3">
        <v>206.5</v>
      </c>
      <c r="J428" s="3">
        <v>2.6540341377258301</v>
      </c>
      <c r="K428" s="3"/>
      <c r="L428" s="3">
        <f t="shared" si="6"/>
        <v>1</v>
      </c>
      <c r="M428">
        <f>VLOOKUP(A428,Sheet2!$B$2:$E$186,2,FALSE)</f>
        <v>72</v>
      </c>
      <c r="N428" t="s">
        <v>385</v>
      </c>
      <c r="O428" t="s">
        <v>393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/>
      <c r="AP428"/>
      <c r="AQ428"/>
      <c r="AR428"/>
      <c r="AS428"/>
      <c r="AT428"/>
      <c r="AU428"/>
    </row>
    <row r="429" spans="1:47" s="2" customFormat="1" x14ac:dyDescent="0.3">
      <c r="A429" t="s">
        <v>181</v>
      </c>
      <c r="B429" s="3">
        <v>2016</v>
      </c>
      <c r="C429" s="3">
        <v>8668.5888671875</v>
      </c>
      <c r="D429" s="3"/>
      <c r="E429" s="3">
        <v>0.244564354419708</v>
      </c>
      <c r="F429" s="3"/>
      <c r="G429" s="3"/>
      <c r="H429" s="3"/>
      <c r="I429" s="3">
        <v>206.5</v>
      </c>
      <c r="J429" s="3">
        <v>2.6663112640380899</v>
      </c>
      <c r="K429" s="3"/>
      <c r="L429" s="3">
        <f t="shared" si="6"/>
        <v>2</v>
      </c>
      <c r="M429">
        <f>VLOOKUP(A429,Sheet2!$B$2:$E$186,2,FALSE)</f>
        <v>72</v>
      </c>
      <c r="N429" t="s">
        <v>385</v>
      </c>
      <c r="O429" t="s">
        <v>393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/>
      <c r="AP429"/>
      <c r="AQ429"/>
      <c r="AR429"/>
      <c r="AS429"/>
      <c r="AT429"/>
      <c r="AU429"/>
    </row>
    <row r="430" spans="1:47" s="2" customFormat="1" x14ac:dyDescent="0.3">
      <c r="A430" t="s">
        <v>181</v>
      </c>
      <c r="B430" s="3">
        <v>2017</v>
      </c>
      <c r="C430" s="3">
        <v>8992.31640625</v>
      </c>
      <c r="D430" s="3"/>
      <c r="E430" s="3">
        <v>0.246502280235291</v>
      </c>
      <c r="F430" s="3"/>
      <c r="G430" s="3"/>
      <c r="H430" s="3"/>
      <c r="I430" s="3">
        <v>206.5</v>
      </c>
      <c r="J430" s="3">
        <v>2.6786451339721702</v>
      </c>
      <c r="K430" s="3"/>
      <c r="L430" s="3">
        <f t="shared" si="6"/>
        <v>3</v>
      </c>
      <c r="M430">
        <f>VLOOKUP(A430,Sheet2!$B$2:$E$186,2,FALSE)</f>
        <v>72</v>
      </c>
      <c r="N430" t="s">
        <v>385</v>
      </c>
      <c r="O430" t="s">
        <v>393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1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/>
      <c r="AP430"/>
      <c r="AQ430"/>
      <c r="AR430"/>
      <c r="AS430"/>
      <c r="AT430"/>
      <c r="AU430"/>
    </row>
    <row r="431" spans="1:47" s="2" customFormat="1" x14ac:dyDescent="0.3">
      <c r="A431" t="s">
        <v>181</v>
      </c>
      <c r="B431" s="3">
        <v>2018</v>
      </c>
      <c r="C431" s="3">
        <v>9391.6572265625</v>
      </c>
      <c r="D431" s="3"/>
      <c r="E431" s="3">
        <v>0.254273891448975</v>
      </c>
      <c r="F431" s="3"/>
      <c r="G431" s="3"/>
      <c r="H431" s="3"/>
      <c r="I431" s="3">
        <v>207.71666666666701</v>
      </c>
      <c r="J431" s="3">
        <v>2.6910359859466602</v>
      </c>
      <c r="K431" s="3"/>
      <c r="L431" s="3">
        <f t="shared" si="6"/>
        <v>4</v>
      </c>
      <c r="M431">
        <f>VLOOKUP(A431,Sheet2!$B$2:$E$186,2,FALSE)</f>
        <v>72</v>
      </c>
      <c r="N431" t="s">
        <v>385</v>
      </c>
      <c r="O431" t="s">
        <v>393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1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/>
      <c r="AP431"/>
      <c r="AQ431"/>
      <c r="AR431"/>
      <c r="AS431"/>
      <c r="AT431"/>
      <c r="AU431"/>
    </row>
    <row r="432" spans="1:47" s="2" customFormat="1" x14ac:dyDescent="0.3">
      <c r="A432" t="s">
        <v>181</v>
      </c>
      <c r="B432" s="3">
        <v>2019</v>
      </c>
      <c r="C432" s="3">
        <v>9894.380859375</v>
      </c>
      <c r="D432" s="3"/>
      <c r="E432" s="3">
        <v>0.24340930581092801</v>
      </c>
      <c r="F432" s="3"/>
      <c r="G432" s="3"/>
      <c r="H432" s="3"/>
      <c r="I432" s="3">
        <v>208.5</v>
      </c>
      <c r="J432" s="3">
        <v>2.7034842967987101</v>
      </c>
      <c r="K432" s="3"/>
      <c r="L432" s="3">
        <f t="shared" si="6"/>
        <v>5</v>
      </c>
      <c r="M432">
        <f>VLOOKUP(A432,Sheet2!$B$2:$E$186,2,FALSE)</f>
        <v>72</v>
      </c>
      <c r="N432" t="s">
        <v>385</v>
      </c>
      <c r="O432" t="s">
        <v>393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1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/>
      <c r="AP432"/>
      <c r="AQ432"/>
      <c r="AR432"/>
      <c r="AS432"/>
      <c r="AT432"/>
      <c r="AU432"/>
    </row>
    <row r="433" spans="1:47" s="2" customFormat="1" x14ac:dyDescent="0.3">
      <c r="A433" t="s">
        <v>181</v>
      </c>
      <c r="B433" s="3">
        <v>2020</v>
      </c>
      <c r="C433" s="3">
        <v>14196.41015625</v>
      </c>
      <c r="D433" s="3"/>
      <c r="E433" s="3">
        <v>0.23428745567798601</v>
      </c>
      <c r="F433" s="3"/>
      <c r="G433" s="3"/>
      <c r="H433" s="3"/>
      <c r="I433" s="3">
        <v>208.5</v>
      </c>
      <c r="J433" s="3">
        <v>2.7159903049468999</v>
      </c>
      <c r="K433" s="3"/>
      <c r="L433" s="3">
        <f t="shared" si="6"/>
        <v>6</v>
      </c>
      <c r="M433">
        <f>VLOOKUP(A433,Sheet2!$B$2:$E$186,2,FALSE)</f>
        <v>72</v>
      </c>
      <c r="N433" t="s">
        <v>385</v>
      </c>
      <c r="O433" t="s">
        <v>393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1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/>
      <c r="AP433"/>
      <c r="AQ433"/>
      <c r="AR433"/>
      <c r="AS433"/>
      <c r="AT433"/>
      <c r="AU433"/>
    </row>
    <row r="434" spans="1:47" x14ac:dyDescent="0.3">
      <c r="A434" t="s">
        <v>183</v>
      </c>
      <c r="B434" s="3">
        <v>2015</v>
      </c>
      <c r="C434" s="3">
        <v>412431.625</v>
      </c>
      <c r="D434" s="3">
        <v>2304144.25</v>
      </c>
      <c r="E434" s="3">
        <v>3.89204072952271</v>
      </c>
      <c r="F434" s="3">
        <v>0.92647421360015902</v>
      </c>
      <c r="G434" s="3">
        <v>8.29594731330872E-2</v>
      </c>
      <c r="H434" s="3">
        <v>3.46894003450871E-2</v>
      </c>
      <c r="I434" s="3">
        <v>7.7517500000000004</v>
      </c>
      <c r="J434" s="3">
        <v>3.2731947898864702</v>
      </c>
      <c r="K434" s="3">
        <v>0.96508711576461803</v>
      </c>
      <c r="L434" s="3">
        <f t="shared" si="6"/>
        <v>1</v>
      </c>
      <c r="M434">
        <f>VLOOKUP(A434,Sheet2!$B$2:$E$186,2,FALSE)</f>
        <v>73</v>
      </c>
      <c r="N434" t="s">
        <v>391</v>
      </c>
      <c r="O434" t="s">
        <v>405</v>
      </c>
      <c r="P434">
        <v>0</v>
      </c>
      <c r="Q434">
        <v>0</v>
      </c>
      <c r="R434">
        <v>1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1</v>
      </c>
      <c r="AK434">
        <v>0</v>
      </c>
      <c r="AL434">
        <v>0</v>
      </c>
      <c r="AM434">
        <v>0</v>
      </c>
      <c r="AN434">
        <v>0</v>
      </c>
    </row>
    <row r="435" spans="1:47" x14ac:dyDescent="0.3">
      <c r="A435" t="s">
        <v>183</v>
      </c>
      <c r="B435" s="3">
        <v>2016</v>
      </c>
      <c r="C435" s="3">
        <v>421403.78125</v>
      </c>
      <c r="D435" s="3">
        <v>2343239</v>
      </c>
      <c r="E435" s="3">
        <v>3.9092111587524401</v>
      </c>
      <c r="F435" s="3">
        <v>0.94350528717041005</v>
      </c>
      <c r="G435" s="3">
        <v>8.3990521728992504E-2</v>
      </c>
      <c r="H435" s="3">
        <v>3.4631885588169098E-2</v>
      </c>
      <c r="I435" s="3">
        <v>7.7622499999999999</v>
      </c>
      <c r="J435" s="3">
        <v>3.2893643379211399</v>
      </c>
      <c r="K435" s="3">
        <v>0.98816418647766102</v>
      </c>
      <c r="L435" s="3">
        <f t="shared" si="6"/>
        <v>2</v>
      </c>
      <c r="M435">
        <f>VLOOKUP(A435,Sheet2!$B$2:$E$186,2,FALSE)</f>
        <v>73</v>
      </c>
      <c r="N435" t="s">
        <v>391</v>
      </c>
      <c r="O435" t="s">
        <v>405</v>
      </c>
      <c r="P435">
        <v>0</v>
      </c>
      <c r="Q435">
        <v>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1</v>
      </c>
      <c r="AK435">
        <v>0</v>
      </c>
      <c r="AL435">
        <v>0</v>
      </c>
      <c r="AM435">
        <v>0</v>
      </c>
      <c r="AN435">
        <v>0</v>
      </c>
    </row>
    <row r="436" spans="1:47" x14ac:dyDescent="0.3">
      <c r="A436" t="s">
        <v>183</v>
      </c>
      <c r="B436" s="3">
        <v>2017</v>
      </c>
      <c r="C436" s="3">
        <v>437400.71875</v>
      </c>
      <c r="D436" s="3">
        <v>2385236</v>
      </c>
      <c r="E436" s="3">
        <v>3.9551742076873802</v>
      </c>
      <c r="F436" s="3">
        <v>0.96245718002319303</v>
      </c>
      <c r="G436" s="3">
        <v>8.39370787143707E-2</v>
      </c>
      <c r="H436" s="3">
        <v>3.4496337175369297E-2</v>
      </c>
      <c r="I436" s="3">
        <v>7.7932499999999996</v>
      </c>
      <c r="J436" s="3">
        <v>3.30561375617981</v>
      </c>
      <c r="K436" s="3">
        <v>1.0209846496582</v>
      </c>
      <c r="L436" s="3">
        <f t="shared" si="6"/>
        <v>3</v>
      </c>
      <c r="M436">
        <f>VLOOKUP(A436,Sheet2!$B$2:$E$186,2,FALSE)</f>
        <v>73</v>
      </c>
      <c r="N436" t="s">
        <v>391</v>
      </c>
      <c r="O436" t="s">
        <v>405</v>
      </c>
      <c r="P436">
        <v>0</v>
      </c>
      <c r="Q436">
        <v>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1</v>
      </c>
      <c r="AK436">
        <v>0</v>
      </c>
      <c r="AL436">
        <v>0</v>
      </c>
      <c r="AM436">
        <v>0</v>
      </c>
      <c r="AN436">
        <v>0</v>
      </c>
    </row>
    <row r="437" spans="1:47" x14ac:dyDescent="0.3">
      <c r="A437" t="s">
        <v>183</v>
      </c>
      <c r="B437" s="3">
        <v>2018</v>
      </c>
      <c r="C437" s="3">
        <v>449853.1875</v>
      </c>
      <c r="D437" s="3">
        <v>2428556.5</v>
      </c>
      <c r="E437" s="3">
        <v>4.0158944129943901</v>
      </c>
      <c r="F437" s="3">
        <v>0.98369503021240201</v>
      </c>
      <c r="G437" s="3">
        <v>8.6221866309642806E-2</v>
      </c>
      <c r="H437" s="3">
        <v>3.4526273608207703E-2</v>
      </c>
      <c r="I437" s="3">
        <v>7.8384999999999998</v>
      </c>
      <c r="J437" s="3">
        <v>3.3121359348297101</v>
      </c>
      <c r="K437" s="3">
        <v>1.04577684402466</v>
      </c>
      <c r="L437" s="3">
        <f t="shared" si="6"/>
        <v>4</v>
      </c>
      <c r="M437">
        <f>VLOOKUP(A437,Sheet2!$B$2:$E$186,2,FALSE)</f>
        <v>73</v>
      </c>
      <c r="N437" t="s">
        <v>391</v>
      </c>
      <c r="O437" t="s">
        <v>405</v>
      </c>
      <c r="P437">
        <v>0</v>
      </c>
      <c r="Q437">
        <v>0</v>
      </c>
      <c r="R437">
        <v>1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1</v>
      </c>
      <c r="AK437">
        <v>0</v>
      </c>
      <c r="AL437">
        <v>0</v>
      </c>
      <c r="AM437">
        <v>0</v>
      </c>
      <c r="AN437">
        <v>0</v>
      </c>
    </row>
    <row r="438" spans="1:47" x14ac:dyDescent="0.3">
      <c r="A438" t="s">
        <v>183</v>
      </c>
      <c r="B438" s="3">
        <v>2019</v>
      </c>
      <c r="C438" s="3">
        <v>442329.875</v>
      </c>
      <c r="D438" s="3">
        <v>2453306.25</v>
      </c>
      <c r="E438" s="3">
        <v>4.0080232620239302</v>
      </c>
      <c r="F438" s="3">
        <v>0.99116951227188099</v>
      </c>
      <c r="G438" s="3">
        <v>8.7049983441829695E-2</v>
      </c>
      <c r="H438" s="3">
        <v>3.4450478851795197E-2</v>
      </c>
      <c r="I438" s="3">
        <v>7.8359166666666704</v>
      </c>
      <c r="J438" s="3">
        <v>3.3186709880828902</v>
      </c>
      <c r="K438" s="3">
        <v>1.0040379762649501</v>
      </c>
      <c r="L438" s="3">
        <f t="shared" si="6"/>
        <v>5</v>
      </c>
      <c r="M438">
        <f>VLOOKUP(A438,Sheet2!$B$2:$E$186,2,FALSE)</f>
        <v>73</v>
      </c>
      <c r="N438" t="s">
        <v>391</v>
      </c>
      <c r="O438" t="s">
        <v>405</v>
      </c>
      <c r="P438">
        <v>0</v>
      </c>
      <c r="Q438">
        <v>0</v>
      </c>
      <c r="R438">
        <v>1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1</v>
      </c>
      <c r="AK438">
        <v>0</v>
      </c>
      <c r="AL438">
        <v>0</v>
      </c>
      <c r="AM438">
        <v>0</v>
      </c>
      <c r="AN438">
        <v>0</v>
      </c>
    </row>
    <row r="439" spans="1:47" x14ac:dyDescent="0.3">
      <c r="A439" t="s">
        <v>183</v>
      </c>
      <c r="B439" s="3">
        <v>2020</v>
      </c>
      <c r="C439" s="3">
        <v>413380.4375</v>
      </c>
      <c r="D439" s="3">
        <v>2466079.5</v>
      </c>
      <c r="E439" s="3">
        <v>3.8206014633178702</v>
      </c>
      <c r="F439" s="3">
        <v>0.99261152744293202</v>
      </c>
      <c r="G439" s="3">
        <v>7.6556026935577406E-2</v>
      </c>
      <c r="H439" s="3">
        <v>3.4170020371675498E-2</v>
      </c>
      <c r="I439" s="3">
        <v>7.75725</v>
      </c>
      <c r="J439" s="3">
        <v>3.32740449905396</v>
      </c>
      <c r="K439" s="3">
        <v>0.97143620252609297</v>
      </c>
      <c r="L439" s="3">
        <f t="shared" si="6"/>
        <v>6</v>
      </c>
      <c r="M439">
        <f>VLOOKUP(A439,Sheet2!$B$2:$E$186,2,FALSE)</f>
        <v>73</v>
      </c>
      <c r="N439" t="s">
        <v>391</v>
      </c>
      <c r="O439" t="s">
        <v>405</v>
      </c>
      <c r="P439">
        <v>0</v>
      </c>
      <c r="Q439">
        <v>0</v>
      </c>
      <c r="R439">
        <v>1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1</v>
      </c>
      <c r="AK439">
        <v>0</v>
      </c>
      <c r="AL439">
        <v>0</v>
      </c>
      <c r="AM439">
        <v>0</v>
      </c>
      <c r="AN439">
        <v>0</v>
      </c>
    </row>
    <row r="440" spans="1:47" x14ac:dyDescent="0.3">
      <c r="A440" t="s">
        <v>185</v>
      </c>
      <c r="B440" s="3">
        <v>2015</v>
      </c>
      <c r="C440" s="3">
        <v>53745.609375</v>
      </c>
      <c r="D440" s="3">
        <v>227368.109375</v>
      </c>
      <c r="E440" s="3">
        <v>3.4762828350067099</v>
      </c>
      <c r="F440" s="3">
        <v>0.82638466358184803</v>
      </c>
      <c r="G440" s="3">
        <v>0.10830634832382199</v>
      </c>
      <c r="H440" s="3">
        <v>5.2838288247585297E-2</v>
      </c>
      <c r="I440" s="3">
        <v>21.945174999999999</v>
      </c>
      <c r="J440" s="3">
        <v>2.2647633552551301</v>
      </c>
      <c r="K440" s="3">
        <v>0.94754034280777</v>
      </c>
      <c r="L440" s="3">
        <f t="shared" si="6"/>
        <v>1</v>
      </c>
      <c r="M440">
        <f>VLOOKUP(A440,Sheet2!$B$2:$E$186,2,FALSE)</f>
        <v>74</v>
      </c>
      <c r="N440" t="s">
        <v>385</v>
      </c>
      <c r="O440" t="s">
        <v>401</v>
      </c>
      <c r="P440">
        <v>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1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</row>
    <row r="441" spans="1:47" x14ac:dyDescent="0.3">
      <c r="A441" t="s">
        <v>185</v>
      </c>
      <c r="B441" s="3">
        <v>2016</v>
      </c>
      <c r="C441" s="3">
        <v>55838.08984375</v>
      </c>
      <c r="D441" s="3">
        <v>234614.015625</v>
      </c>
      <c r="E441" s="3">
        <v>3.5138790607452401</v>
      </c>
      <c r="F441" s="3">
        <v>0.84961593151092496</v>
      </c>
      <c r="G441" s="3">
        <v>0.106019899249077</v>
      </c>
      <c r="H441" s="3">
        <v>5.1848214119672803E-2</v>
      </c>
      <c r="I441" s="3">
        <v>22.835018390426001</v>
      </c>
      <c r="J441" s="3">
        <v>2.3067541122436501</v>
      </c>
      <c r="K441" s="3">
        <v>0.94155824184417702</v>
      </c>
      <c r="L441" s="3">
        <f t="shared" si="6"/>
        <v>2</v>
      </c>
      <c r="M441">
        <f>VLOOKUP(A441,Sheet2!$B$2:$E$186,2,FALSE)</f>
        <v>74</v>
      </c>
      <c r="N441" t="s">
        <v>385</v>
      </c>
      <c r="O441" t="s">
        <v>401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1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</row>
    <row r="442" spans="1:47" x14ac:dyDescent="0.3">
      <c r="A442" t="s">
        <v>185</v>
      </c>
      <c r="B442" s="3">
        <v>2017</v>
      </c>
      <c r="C442" s="3">
        <v>58542.10546875</v>
      </c>
      <c r="D442" s="3">
        <v>243930.703125</v>
      </c>
      <c r="E442" s="3">
        <v>3.6672849655151398</v>
      </c>
      <c r="F442" s="3">
        <v>0.88157367706298795</v>
      </c>
      <c r="G442" s="3">
        <v>0.112471878528595</v>
      </c>
      <c r="H442" s="3">
        <v>5.0856724381446797E-2</v>
      </c>
      <c r="I442" s="3">
        <v>23.4870839434552</v>
      </c>
      <c r="J442" s="3">
        <v>2.3495230674743701</v>
      </c>
      <c r="K442" s="3">
        <v>0.95303779840469405</v>
      </c>
      <c r="L442" s="3">
        <f t="shared" si="6"/>
        <v>3</v>
      </c>
      <c r="M442">
        <f>VLOOKUP(A442,Sheet2!$B$2:$E$186,2,FALSE)</f>
        <v>74</v>
      </c>
      <c r="N442" t="s">
        <v>385</v>
      </c>
      <c r="O442" t="s">
        <v>401</v>
      </c>
      <c r="P442">
        <v>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1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</row>
    <row r="443" spans="1:47" x14ac:dyDescent="0.3">
      <c r="A443" t="s">
        <v>185</v>
      </c>
      <c r="B443" s="3">
        <v>2018</v>
      </c>
      <c r="C443" s="3">
        <v>60793.1953125</v>
      </c>
      <c r="D443" s="3">
        <v>254666.25</v>
      </c>
      <c r="E443" s="3">
        <v>3.91877388954163</v>
      </c>
      <c r="F443" s="3">
        <v>0.91973984241485596</v>
      </c>
      <c r="G443" s="3">
        <v>0.110901117324829</v>
      </c>
      <c r="H443" s="3">
        <v>5.0082456320524202E-2</v>
      </c>
      <c r="I443" s="3">
        <v>23.902728292543198</v>
      </c>
      <c r="J443" s="3">
        <v>2.3930850028991699</v>
      </c>
      <c r="K443" s="3">
        <v>0.93866121768951405</v>
      </c>
      <c r="L443" s="3">
        <f t="shared" si="6"/>
        <v>4</v>
      </c>
      <c r="M443">
        <f>VLOOKUP(A443,Sheet2!$B$2:$E$186,2,FALSE)</f>
        <v>74</v>
      </c>
      <c r="N443" t="s">
        <v>385</v>
      </c>
      <c r="O443" t="s">
        <v>401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1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</row>
    <row r="444" spans="1:47" x14ac:dyDescent="0.3">
      <c r="A444" t="s">
        <v>185</v>
      </c>
      <c r="B444" s="3">
        <v>2019</v>
      </c>
      <c r="C444" s="3">
        <v>62349.25</v>
      </c>
      <c r="D444" s="3">
        <v>264401.34375</v>
      </c>
      <c r="E444" s="3">
        <v>3.8334040641784699</v>
      </c>
      <c r="F444" s="3">
        <v>0.953233301639557</v>
      </c>
      <c r="G444" s="3">
        <v>0.11537815630435901</v>
      </c>
      <c r="H444" s="3">
        <v>4.9373585730791099E-2</v>
      </c>
      <c r="I444" s="3">
        <v>24.508538914892601</v>
      </c>
      <c r="J444" s="3">
        <v>2.4374547004699698</v>
      </c>
      <c r="K444" s="3">
        <v>0.935838282108307</v>
      </c>
      <c r="L444" s="3">
        <f t="shared" si="6"/>
        <v>5</v>
      </c>
      <c r="M444">
        <f>VLOOKUP(A444,Sheet2!$B$2:$E$186,2,FALSE)</f>
        <v>74</v>
      </c>
      <c r="N444" t="s">
        <v>385</v>
      </c>
      <c r="O444" t="s">
        <v>401</v>
      </c>
      <c r="P444">
        <v>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1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</row>
    <row r="445" spans="1:47" x14ac:dyDescent="0.3">
      <c r="A445" t="s">
        <v>185</v>
      </c>
      <c r="B445" s="3">
        <v>2020</v>
      </c>
      <c r="C445" s="3">
        <v>56759.58984375</v>
      </c>
      <c r="D445" s="3">
        <v>268000.34375</v>
      </c>
      <c r="E445" s="3">
        <v>3.65887498855591</v>
      </c>
      <c r="F445" s="3">
        <v>0.95983070135116599</v>
      </c>
      <c r="G445" s="3">
        <v>9.8841816186904893E-2</v>
      </c>
      <c r="H445" s="3">
        <v>4.8407979309558903E-2</v>
      </c>
      <c r="I445" s="3">
        <v>24.581880517284599</v>
      </c>
      <c r="J445" s="3">
        <v>2.4826469421386701</v>
      </c>
      <c r="K445" s="3">
        <v>0.87591052055358898</v>
      </c>
      <c r="L445" s="3">
        <f t="shared" si="6"/>
        <v>6</v>
      </c>
      <c r="M445">
        <f>VLOOKUP(A445,Sheet2!$B$2:$E$186,2,FALSE)</f>
        <v>74</v>
      </c>
      <c r="N445" t="s">
        <v>385</v>
      </c>
      <c r="O445" t="s">
        <v>401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1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</row>
    <row r="446" spans="1:47" x14ac:dyDescent="0.3">
      <c r="A446" t="s">
        <v>187</v>
      </c>
      <c r="B446" s="3">
        <v>2015</v>
      </c>
      <c r="C446" s="3">
        <v>111821.3671875</v>
      </c>
      <c r="D446" s="3">
        <v>650078.1875</v>
      </c>
      <c r="E446" s="3">
        <v>1.60093522071838</v>
      </c>
      <c r="F446" s="3">
        <v>0.87910425662994396</v>
      </c>
      <c r="G446" s="3">
        <v>7.2905637323856395E-2</v>
      </c>
      <c r="H446" s="3">
        <v>4.4982254505157498E-2</v>
      </c>
      <c r="I446" s="3">
        <v>0.91025333466056102</v>
      </c>
      <c r="J446" s="3">
        <v>3.4213917255401598</v>
      </c>
      <c r="K446" s="3">
        <v>0.99077606201171897</v>
      </c>
      <c r="L446" s="3">
        <f t="shared" si="6"/>
        <v>1</v>
      </c>
      <c r="M446">
        <f>VLOOKUP(A446,Sheet2!$B$2:$E$186,2,FALSE)</f>
        <v>75</v>
      </c>
      <c r="N446" t="s">
        <v>389</v>
      </c>
      <c r="O446" t="s">
        <v>390</v>
      </c>
      <c r="P446">
        <v>0</v>
      </c>
      <c r="Q446">
        <v>1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</row>
    <row r="447" spans="1:47" x14ac:dyDescent="0.3">
      <c r="A447" t="s">
        <v>187</v>
      </c>
      <c r="B447" s="3">
        <v>2016</v>
      </c>
      <c r="C447" s="3">
        <v>115691.6484375</v>
      </c>
      <c r="D447" s="3">
        <v>659296.6875</v>
      </c>
      <c r="E447" s="3">
        <v>1.6001912355423</v>
      </c>
      <c r="F447" s="3">
        <v>0.89721655845642101</v>
      </c>
      <c r="G447" s="3">
        <v>7.44350031018257E-2</v>
      </c>
      <c r="H447" s="3">
        <v>4.5407984405755997E-2</v>
      </c>
      <c r="I447" s="3">
        <v>0.90331012896232898</v>
      </c>
      <c r="J447" s="3">
        <v>3.46540403366089</v>
      </c>
      <c r="K447" s="3">
        <v>1.00426650047302</v>
      </c>
      <c r="L447" s="3">
        <f t="shared" si="6"/>
        <v>2</v>
      </c>
      <c r="M447">
        <f>VLOOKUP(A447,Sheet2!$B$2:$E$186,2,FALSE)</f>
        <v>75</v>
      </c>
      <c r="N447" t="s">
        <v>389</v>
      </c>
      <c r="O447" t="s">
        <v>390</v>
      </c>
      <c r="P447">
        <v>0</v>
      </c>
      <c r="Q447">
        <v>1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</row>
    <row r="448" spans="1:47" x14ac:dyDescent="0.3">
      <c r="A448" t="s">
        <v>187</v>
      </c>
      <c r="B448" s="3">
        <v>2017</v>
      </c>
      <c r="C448" s="3">
        <v>119487.4375</v>
      </c>
      <c r="D448" s="3">
        <v>668390.5</v>
      </c>
      <c r="E448" s="3">
        <v>1.6333765983581501</v>
      </c>
      <c r="F448" s="3">
        <v>0.91529327630996704</v>
      </c>
      <c r="G448" s="3">
        <v>7.3364123702049297E-2</v>
      </c>
      <c r="H448" s="3">
        <v>4.5948378741741201E-2</v>
      </c>
      <c r="I448" s="3">
        <v>0.87913345278386101</v>
      </c>
      <c r="J448" s="3">
        <v>3.51066994667053</v>
      </c>
      <c r="K448" s="3">
        <v>1.0185286998748799</v>
      </c>
      <c r="L448" s="3">
        <f t="shared" si="6"/>
        <v>3</v>
      </c>
      <c r="M448">
        <f>VLOOKUP(A448,Sheet2!$B$2:$E$186,2,FALSE)</f>
        <v>75</v>
      </c>
      <c r="N448" t="s">
        <v>389</v>
      </c>
      <c r="O448" t="s">
        <v>390</v>
      </c>
      <c r="P448">
        <v>0</v>
      </c>
      <c r="Q448">
        <v>1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</row>
    <row r="449" spans="1:47" x14ac:dyDescent="0.3">
      <c r="A449" t="s">
        <v>187</v>
      </c>
      <c r="B449" s="3">
        <v>2018</v>
      </c>
      <c r="C449" s="3">
        <v>122958.171875</v>
      </c>
      <c r="D449" s="3">
        <v>678664.5625</v>
      </c>
      <c r="E449" s="3">
        <v>1.6690524816513099</v>
      </c>
      <c r="F449" s="3">
        <v>0.93426048755645796</v>
      </c>
      <c r="G449" s="3">
        <v>6.9718919694423703E-2</v>
      </c>
      <c r="H449" s="3">
        <v>4.6423982828855501E-2</v>
      </c>
      <c r="I449" s="3">
        <v>0.83336986528634904</v>
      </c>
      <c r="J449" s="3">
        <v>3.5572347640991202</v>
      </c>
      <c r="K449" s="3">
        <v>1.04051530361176</v>
      </c>
      <c r="L449" s="3">
        <f t="shared" si="6"/>
        <v>4</v>
      </c>
      <c r="M449">
        <f>VLOOKUP(A449,Sheet2!$B$2:$E$186,2,FALSE)</f>
        <v>75</v>
      </c>
      <c r="N449" t="s">
        <v>389</v>
      </c>
      <c r="O449" t="s">
        <v>390</v>
      </c>
      <c r="P449">
        <v>0</v>
      </c>
      <c r="Q449">
        <v>1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</row>
    <row r="450" spans="1:47" x14ac:dyDescent="0.3">
      <c r="A450" t="s">
        <v>187</v>
      </c>
      <c r="B450" s="3">
        <v>2019</v>
      </c>
      <c r="C450" s="3">
        <v>126770.421875</v>
      </c>
      <c r="D450" s="3">
        <v>693609.6875</v>
      </c>
      <c r="E450" s="3">
        <v>1.6774265766143801</v>
      </c>
      <c r="F450" s="3">
        <v>0.96122616529464699</v>
      </c>
      <c r="G450" s="3">
        <v>7.3530964553356198E-2</v>
      </c>
      <c r="H450" s="3">
        <v>4.6942196786403698E-2</v>
      </c>
      <c r="I450" s="3">
        <v>0.878962793372708</v>
      </c>
      <c r="J450" s="3">
        <v>3.6051454544067401</v>
      </c>
      <c r="K450" s="3">
        <v>0.98733735084533703</v>
      </c>
      <c r="L450" s="3">
        <f t="shared" si="6"/>
        <v>5</v>
      </c>
      <c r="M450">
        <f>VLOOKUP(A450,Sheet2!$B$2:$E$186,2,FALSE)</f>
        <v>75</v>
      </c>
      <c r="N450" t="s">
        <v>389</v>
      </c>
      <c r="O450" t="s">
        <v>390</v>
      </c>
      <c r="P450">
        <v>0</v>
      </c>
      <c r="Q450">
        <v>1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</row>
    <row r="451" spans="1:47" x14ac:dyDescent="0.3">
      <c r="A451" t="s">
        <v>187</v>
      </c>
      <c r="B451" s="3">
        <v>2020</v>
      </c>
      <c r="C451" s="3">
        <v>116233.71875</v>
      </c>
      <c r="D451" s="3">
        <v>704732.8125</v>
      </c>
      <c r="E451" s="3">
        <v>1.6625329256057699</v>
      </c>
      <c r="F451" s="3">
        <v>0.97988468408584595</v>
      </c>
      <c r="G451" s="3">
        <v>5.6226953864097602E-2</v>
      </c>
      <c r="H451" s="3">
        <v>4.73519489169121E-2</v>
      </c>
      <c r="I451" s="3">
        <v>0.87783602097020397</v>
      </c>
      <c r="J451" s="3">
        <v>3.6544499397277801</v>
      </c>
      <c r="K451" s="3">
        <v>0.95566761493682895</v>
      </c>
      <c r="L451" s="3">
        <f t="shared" ref="L451:L514" si="7">B451-2014</f>
        <v>6</v>
      </c>
      <c r="M451">
        <f>VLOOKUP(A451,Sheet2!$B$2:$E$186,2,FALSE)</f>
        <v>75</v>
      </c>
      <c r="N451" t="s">
        <v>389</v>
      </c>
      <c r="O451" t="s">
        <v>390</v>
      </c>
      <c r="P451">
        <v>0</v>
      </c>
      <c r="Q451">
        <v>1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1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</row>
    <row r="452" spans="1:47" s="2" customFormat="1" x14ac:dyDescent="0.3">
      <c r="A452" t="s">
        <v>188</v>
      </c>
      <c r="B452" s="3">
        <v>2015</v>
      </c>
      <c r="C452" s="3">
        <v>35982.98046875</v>
      </c>
      <c r="D452" s="3">
        <v>411295.75</v>
      </c>
      <c r="E452" s="3">
        <v>4.1364884376525897</v>
      </c>
      <c r="F452" s="3"/>
      <c r="G452" s="3"/>
      <c r="H452" s="3">
        <v>1.2261669151484999E-2</v>
      </c>
      <c r="I452" s="3">
        <v>50.706426673943902</v>
      </c>
      <c r="J452" s="3">
        <v>1.7001698017120399</v>
      </c>
      <c r="K452" s="3"/>
      <c r="L452" s="3">
        <f t="shared" si="7"/>
        <v>1</v>
      </c>
      <c r="M452">
        <f>VLOOKUP(A452,Sheet2!$B$2:$E$186,2,FALSE)</f>
        <v>76</v>
      </c>
      <c r="N452" t="s">
        <v>385</v>
      </c>
      <c r="O452" t="s">
        <v>386</v>
      </c>
      <c r="P452">
        <v>1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/>
      <c r="AP452"/>
      <c r="AQ452"/>
      <c r="AR452"/>
      <c r="AS452"/>
      <c r="AT452"/>
      <c r="AU452"/>
    </row>
    <row r="453" spans="1:47" s="2" customFormat="1" x14ac:dyDescent="0.3">
      <c r="A453" t="s">
        <v>188</v>
      </c>
      <c r="B453" s="3">
        <v>2016</v>
      </c>
      <c r="C453" s="3">
        <v>36635.1640625</v>
      </c>
      <c r="D453" s="3">
        <v>419049.75</v>
      </c>
      <c r="E453" s="3">
        <v>4.2114229202270499</v>
      </c>
      <c r="F453" s="3"/>
      <c r="G453" s="3"/>
      <c r="H453" s="3">
        <v>1.2244796380400699E-2</v>
      </c>
      <c r="I453" s="3">
        <v>63.335818369892401</v>
      </c>
      <c r="J453" s="3">
        <v>1.7158912420272801</v>
      </c>
      <c r="K453" s="3"/>
      <c r="L453" s="3">
        <f t="shared" si="7"/>
        <v>2</v>
      </c>
      <c r="M453">
        <f>VLOOKUP(A453,Sheet2!$B$2:$E$186,2,FALSE)</f>
        <v>76</v>
      </c>
      <c r="N453" t="s">
        <v>385</v>
      </c>
      <c r="O453" t="s">
        <v>386</v>
      </c>
      <c r="P453">
        <v>1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/>
      <c r="AP453"/>
      <c r="AQ453"/>
      <c r="AR453"/>
      <c r="AS453"/>
      <c r="AT453"/>
      <c r="AU453"/>
    </row>
    <row r="454" spans="1:47" s="2" customFormat="1" x14ac:dyDescent="0.3">
      <c r="A454" t="s">
        <v>188</v>
      </c>
      <c r="B454" s="3">
        <v>2017</v>
      </c>
      <c r="C454" s="3">
        <v>37554.80078125</v>
      </c>
      <c r="D454" s="3">
        <v>428025</v>
      </c>
      <c r="E454" s="3">
        <v>4.2942309379577601</v>
      </c>
      <c r="F454" s="3"/>
      <c r="G454" s="3"/>
      <c r="H454" s="3">
        <v>1.2233226560056199E-2</v>
      </c>
      <c r="I454" s="3">
        <v>64.769680284992802</v>
      </c>
      <c r="J454" s="3">
        <v>1.7295112609863299</v>
      </c>
      <c r="K454" s="3"/>
      <c r="L454" s="3">
        <f t="shared" si="7"/>
        <v>3</v>
      </c>
      <c r="M454">
        <f>VLOOKUP(A454,Sheet2!$B$2:$E$186,2,FALSE)</f>
        <v>76</v>
      </c>
      <c r="N454" t="s">
        <v>385</v>
      </c>
      <c r="O454" t="s">
        <v>386</v>
      </c>
      <c r="P454">
        <v>1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/>
      <c r="AP454"/>
      <c r="AQ454"/>
      <c r="AR454"/>
      <c r="AS454"/>
      <c r="AT454"/>
      <c r="AU454"/>
    </row>
    <row r="455" spans="1:47" s="2" customFormat="1" x14ac:dyDescent="0.3">
      <c r="A455" t="s">
        <v>188</v>
      </c>
      <c r="B455" s="3">
        <v>2018</v>
      </c>
      <c r="C455" s="3">
        <v>38181.1484375</v>
      </c>
      <c r="D455" s="3">
        <v>436151.53125</v>
      </c>
      <c r="E455" s="3">
        <v>4.3706393241882298</v>
      </c>
      <c r="F455" s="3"/>
      <c r="G455" s="3"/>
      <c r="H455" s="3">
        <v>1.22181847691536E-2</v>
      </c>
      <c r="I455" s="3">
        <v>68.031753981281199</v>
      </c>
      <c r="J455" s="3">
        <v>1.74072194099426</v>
      </c>
      <c r="K455" s="3"/>
      <c r="L455" s="3">
        <f t="shared" si="7"/>
        <v>4</v>
      </c>
      <c r="M455">
        <f>VLOOKUP(A455,Sheet2!$B$2:$E$186,2,FALSE)</f>
        <v>76</v>
      </c>
      <c r="N455" t="s">
        <v>385</v>
      </c>
      <c r="O455" t="s">
        <v>386</v>
      </c>
      <c r="P455">
        <v>1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/>
      <c r="AP455"/>
      <c r="AQ455"/>
      <c r="AR455"/>
      <c r="AS455"/>
      <c r="AT455"/>
      <c r="AU455"/>
    </row>
    <row r="456" spans="1:47" s="2" customFormat="1" x14ac:dyDescent="0.3">
      <c r="A456" t="s">
        <v>188</v>
      </c>
      <c r="B456" s="3">
        <v>2019</v>
      </c>
      <c r="C456" s="3">
        <v>37523.25</v>
      </c>
      <c r="D456" s="3">
        <v>445967.125</v>
      </c>
      <c r="E456" s="3">
        <v>4.43102931976318</v>
      </c>
      <c r="F456" s="3"/>
      <c r="G456" s="3"/>
      <c r="H456" s="3">
        <v>1.2215599417686501E-2</v>
      </c>
      <c r="I456" s="3">
        <v>88.814966176919299</v>
      </c>
      <c r="J456" s="3">
        <v>1.75218117237091</v>
      </c>
      <c r="K456" s="3"/>
      <c r="L456" s="3">
        <f t="shared" si="7"/>
        <v>5</v>
      </c>
      <c r="M456">
        <f>VLOOKUP(A456,Sheet2!$B$2:$E$186,2,FALSE)</f>
        <v>76</v>
      </c>
      <c r="N456" t="s">
        <v>385</v>
      </c>
      <c r="O456" t="s">
        <v>386</v>
      </c>
      <c r="P456">
        <v>1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/>
      <c r="AP456"/>
      <c r="AQ456"/>
      <c r="AR456"/>
      <c r="AS456"/>
      <c r="AT456"/>
      <c r="AU456"/>
    </row>
    <row r="457" spans="1:47" s="2" customFormat="1" x14ac:dyDescent="0.3">
      <c r="A457" t="s">
        <v>188</v>
      </c>
      <c r="B457" s="3">
        <v>2020</v>
      </c>
      <c r="C457" s="3">
        <v>36297.81640625</v>
      </c>
      <c r="D457" s="3">
        <v>452145.46875</v>
      </c>
      <c r="E457" s="3">
        <v>4.3847107887268102</v>
      </c>
      <c r="F457" s="3"/>
      <c r="G457" s="3"/>
      <c r="H457" s="3">
        <v>1.22402226552367E-2</v>
      </c>
      <c r="I457" s="3">
        <v>93.509807213621301</v>
      </c>
      <c r="J457" s="3">
        <v>1.7638955116271999</v>
      </c>
      <c r="K457" s="3"/>
      <c r="L457" s="3">
        <f t="shared" si="7"/>
        <v>6</v>
      </c>
      <c r="M457">
        <f>VLOOKUP(A457,Sheet2!$B$2:$E$186,2,FALSE)</f>
        <v>76</v>
      </c>
      <c r="N457" t="s">
        <v>385</v>
      </c>
      <c r="O457" t="s">
        <v>386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/>
      <c r="AP457"/>
      <c r="AQ457"/>
      <c r="AR457"/>
      <c r="AS457"/>
      <c r="AT457"/>
      <c r="AU457"/>
    </row>
    <row r="458" spans="1:47" x14ac:dyDescent="0.3">
      <c r="A458" t="s">
        <v>190</v>
      </c>
      <c r="B458" s="3">
        <v>2015</v>
      </c>
      <c r="C458" s="3">
        <v>273377.84375</v>
      </c>
      <c r="D458" s="3">
        <v>1714534.375</v>
      </c>
      <c r="E458" s="3">
        <v>4.3182353973388699</v>
      </c>
      <c r="F458" s="3">
        <v>0.84035813808441195</v>
      </c>
      <c r="G458" s="3">
        <v>7.6602421700954396E-2</v>
      </c>
      <c r="H458" s="3">
        <v>4.0199365466833101E-2</v>
      </c>
      <c r="I458" s="3">
        <v>279.33249999999998</v>
      </c>
      <c r="J458" s="3">
        <v>3.3530654907226598</v>
      </c>
      <c r="K458" s="3">
        <v>0.880912125110626</v>
      </c>
      <c r="L458" s="3">
        <f t="shared" si="7"/>
        <v>1</v>
      </c>
      <c r="M458">
        <f>VLOOKUP(A458,Sheet2!$B$2:$E$186,2,FALSE)</f>
        <v>77</v>
      </c>
      <c r="N458" t="s">
        <v>389</v>
      </c>
      <c r="O458" t="s">
        <v>400</v>
      </c>
      <c r="P458">
        <v>0</v>
      </c>
      <c r="Q458">
        <v>1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</row>
    <row r="459" spans="1:47" x14ac:dyDescent="0.3">
      <c r="A459" t="s">
        <v>190</v>
      </c>
      <c r="B459" s="3">
        <v>2016</v>
      </c>
      <c r="C459" s="3">
        <v>280044.5625</v>
      </c>
      <c r="D459" s="3">
        <v>1730363.875</v>
      </c>
      <c r="E459" s="3">
        <v>4.4655966758728001</v>
      </c>
      <c r="F459" s="3">
        <v>0.85366749763488803</v>
      </c>
      <c r="G459" s="3">
        <v>7.3341973125934601E-2</v>
      </c>
      <c r="H459" s="3">
        <v>4.0801074355840697E-2</v>
      </c>
      <c r="I459" s="3">
        <v>281.52333333333303</v>
      </c>
      <c r="J459" s="3">
        <v>3.3689701557159402</v>
      </c>
      <c r="K459" s="3">
        <v>0.86935764551162698</v>
      </c>
      <c r="L459" s="3">
        <f t="shared" si="7"/>
        <v>2</v>
      </c>
      <c r="M459">
        <f>VLOOKUP(A459,Sheet2!$B$2:$E$186,2,FALSE)</f>
        <v>77</v>
      </c>
      <c r="N459" t="s">
        <v>389</v>
      </c>
      <c r="O459" t="s">
        <v>400</v>
      </c>
      <c r="P459">
        <v>0</v>
      </c>
      <c r="Q459">
        <v>1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</row>
    <row r="460" spans="1:47" x14ac:dyDescent="0.3">
      <c r="A460" t="s">
        <v>190</v>
      </c>
      <c r="B460" s="3">
        <v>2017</v>
      </c>
      <c r="C460" s="3">
        <v>291594.09375</v>
      </c>
      <c r="D460" s="3">
        <v>1761735.875</v>
      </c>
      <c r="E460" s="3">
        <v>4.5477976799011204</v>
      </c>
      <c r="F460" s="3">
        <v>0.87724405527114901</v>
      </c>
      <c r="G460" s="3">
        <v>7.4603356420993805E-2</v>
      </c>
      <c r="H460" s="3">
        <v>4.1443143039941802E-2</v>
      </c>
      <c r="I460" s="3">
        <v>274.433333333333</v>
      </c>
      <c r="J460" s="3">
        <v>3.3849503993988002</v>
      </c>
      <c r="K460" s="3">
        <v>0.89938700199127197</v>
      </c>
      <c r="L460" s="3">
        <f t="shared" si="7"/>
        <v>3</v>
      </c>
      <c r="M460">
        <f>VLOOKUP(A460,Sheet2!$B$2:$E$186,2,FALSE)</f>
        <v>77</v>
      </c>
      <c r="N460" t="s">
        <v>389</v>
      </c>
      <c r="O460" t="s">
        <v>400</v>
      </c>
      <c r="P460">
        <v>0</v>
      </c>
      <c r="Q460">
        <v>1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</row>
    <row r="461" spans="1:47" x14ac:dyDescent="0.3">
      <c r="A461" t="s">
        <v>190</v>
      </c>
      <c r="B461" s="3">
        <v>2018</v>
      </c>
      <c r="C461" s="3">
        <v>307941.28125</v>
      </c>
      <c r="D461" s="3">
        <v>1807027.625</v>
      </c>
      <c r="E461" s="3">
        <v>4.6388735771179199</v>
      </c>
      <c r="F461" s="3">
        <v>0.90868222713470503</v>
      </c>
      <c r="G461" s="3">
        <v>7.6326668262481703E-2</v>
      </c>
      <c r="H461" s="3">
        <v>4.2216286063194303E-2</v>
      </c>
      <c r="I461" s="3">
        <v>270.21166666666699</v>
      </c>
      <c r="J461" s="3">
        <v>3.4010062217712398</v>
      </c>
      <c r="K461" s="3">
        <v>0.943575739860535</v>
      </c>
      <c r="L461" s="3">
        <f t="shared" si="7"/>
        <v>4</v>
      </c>
      <c r="M461">
        <f>VLOOKUP(A461,Sheet2!$B$2:$E$186,2,FALSE)</f>
        <v>77</v>
      </c>
      <c r="N461" t="s">
        <v>389</v>
      </c>
      <c r="O461" t="s">
        <v>400</v>
      </c>
      <c r="P461">
        <v>0</v>
      </c>
      <c r="Q461">
        <v>1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</row>
    <row r="462" spans="1:47" x14ac:dyDescent="0.3">
      <c r="A462" t="s">
        <v>190</v>
      </c>
      <c r="B462" s="3">
        <v>2019</v>
      </c>
      <c r="C462" s="3">
        <v>323576</v>
      </c>
      <c r="D462" s="3">
        <v>1863526.625</v>
      </c>
      <c r="E462" s="3">
        <v>4.6888608932495099</v>
      </c>
      <c r="F462" s="3">
        <v>0.94672548770904497</v>
      </c>
      <c r="G462" s="3">
        <v>7.3349609971046503E-2</v>
      </c>
      <c r="H462" s="3">
        <v>4.3046835809946102E-2</v>
      </c>
      <c r="I462" s="3">
        <v>290.66000000000003</v>
      </c>
      <c r="J462" s="3">
        <v>3.4171385765075701</v>
      </c>
      <c r="K462" s="3">
        <v>0.98870736360549905</v>
      </c>
      <c r="L462" s="3">
        <f t="shared" si="7"/>
        <v>5</v>
      </c>
      <c r="M462">
        <f>VLOOKUP(A462,Sheet2!$B$2:$E$186,2,FALSE)</f>
        <v>77</v>
      </c>
      <c r="N462" t="s">
        <v>389</v>
      </c>
      <c r="O462" t="s">
        <v>400</v>
      </c>
      <c r="P462">
        <v>0</v>
      </c>
      <c r="Q462">
        <v>1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</row>
    <row r="463" spans="1:47" x14ac:dyDescent="0.3">
      <c r="A463" t="s">
        <v>190</v>
      </c>
      <c r="B463" s="3">
        <v>2020</v>
      </c>
      <c r="C463" s="3">
        <v>309536.9375</v>
      </c>
      <c r="D463" s="3">
        <v>1906472.125</v>
      </c>
      <c r="E463" s="3">
        <v>4.6544733047485396</v>
      </c>
      <c r="F463" s="3">
        <v>0.97115659713745095</v>
      </c>
      <c r="G463" s="3">
        <v>6.6063717007636996E-2</v>
      </c>
      <c r="H463" s="3">
        <v>4.35984432697296E-2</v>
      </c>
      <c r="I463" s="3">
        <v>307.99666666666701</v>
      </c>
      <c r="J463" s="3">
        <v>3.4333469867706299</v>
      </c>
      <c r="K463" s="3">
        <v>0.97555786371231101</v>
      </c>
      <c r="L463" s="3">
        <f t="shared" si="7"/>
        <v>6</v>
      </c>
      <c r="M463">
        <f>VLOOKUP(A463,Sheet2!$B$2:$E$186,2,FALSE)</f>
        <v>77</v>
      </c>
      <c r="N463" t="s">
        <v>389</v>
      </c>
      <c r="O463" t="s">
        <v>400</v>
      </c>
      <c r="P463">
        <v>0</v>
      </c>
      <c r="Q463">
        <v>1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</row>
    <row r="464" spans="1:47" x14ac:dyDescent="0.3">
      <c r="A464" t="s">
        <v>192</v>
      </c>
      <c r="B464" s="3">
        <v>2015</v>
      </c>
      <c r="C464" s="3">
        <v>2774776.5</v>
      </c>
      <c r="D464" s="3">
        <v>16610853</v>
      </c>
      <c r="E464" s="3">
        <v>117.833000183105</v>
      </c>
      <c r="F464" s="3">
        <v>0.71269297599792503</v>
      </c>
      <c r="G464" s="3">
        <v>9.5938898622989696E-2</v>
      </c>
      <c r="H464" s="3">
        <v>3.8816843181848498E-2</v>
      </c>
      <c r="I464" s="3">
        <v>13389.412936507901</v>
      </c>
      <c r="J464" s="3">
        <v>2.3444557189941402</v>
      </c>
      <c r="K464" s="3">
        <v>0.98808932304382302</v>
      </c>
      <c r="L464" s="3">
        <f t="shared" si="7"/>
        <v>1</v>
      </c>
      <c r="M464">
        <f>VLOOKUP(A464,Sheet2!$B$2:$E$186,2,FALSE)</f>
        <v>78</v>
      </c>
      <c r="N464" t="s">
        <v>391</v>
      </c>
      <c r="O464" t="s">
        <v>403</v>
      </c>
      <c r="P464">
        <v>0</v>
      </c>
      <c r="Q464">
        <v>0</v>
      </c>
      <c r="R464">
        <v>1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</row>
    <row r="465" spans="1:40" x14ac:dyDescent="0.3">
      <c r="A465" t="s">
        <v>192</v>
      </c>
      <c r="B465" s="3">
        <v>2016</v>
      </c>
      <c r="C465" s="3">
        <v>2914433</v>
      </c>
      <c r="D465" s="3">
        <v>17630780</v>
      </c>
      <c r="E465" s="3">
        <v>119.529830932617</v>
      </c>
      <c r="F465" s="3">
        <v>0.75575500726699796</v>
      </c>
      <c r="G465" s="3">
        <v>9.6673756837844904E-2</v>
      </c>
      <c r="H465" s="3">
        <v>3.8463640958070797E-2</v>
      </c>
      <c r="I465" s="3">
        <v>13308.3268020542</v>
      </c>
      <c r="J465" s="3">
        <v>2.33025455474854</v>
      </c>
      <c r="K465" s="3">
        <v>0.99964421987533603</v>
      </c>
      <c r="L465" s="3">
        <f t="shared" si="7"/>
        <v>2</v>
      </c>
      <c r="M465">
        <f>VLOOKUP(A465,Sheet2!$B$2:$E$186,2,FALSE)</f>
        <v>78</v>
      </c>
      <c r="N465" t="s">
        <v>391</v>
      </c>
      <c r="O465" t="s">
        <v>403</v>
      </c>
      <c r="P465">
        <v>0</v>
      </c>
      <c r="Q465">
        <v>0</v>
      </c>
      <c r="R465">
        <v>1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</row>
    <row r="466" spans="1:40" x14ac:dyDescent="0.3">
      <c r="A466" t="s">
        <v>192</v>
      </c>
      <c r="B466" s="3">
        <v>2017</v>
      </c>
      <c r="C466" s="3">
        <v>3062188.75</v>
      </c>
      <c r="D466" s="3">
        <v>18720014</v>
      </c>
      <c r="E466" s="3">
        <v>122.780632019043</v>
      </c>
      <c r="F466" s="3">
        <v>0.80162233114242598</v>
      </c>
      <c r="G466" s="3">
        <v>9.3289270997047397E-2</v>
      </c>
      <c r="H466" s="3">
        <v>3.8140621036291102E-2</v>
      </c>
      <c r="I466" s="3">
        <v>13380.8338788891</v>
      </c>
      <c r="J466" s="3">
        <v>2.3161394596099898</v>
      </c>
      <c r="K466" s="3">
        <v>1.01032161712646</v>
      </c>
      <c r="L466" s="3">
        <f t="shared" si="7"/>
        <v>3</v>
      </c>
      <c r="M466">
        <f>VLOOKUP(A466,Sheet2!$B$2:$E$186,2,FALSE)</f>
        <v>78</v>
      </c>
      <c r="N466" t="s">
        <v>391</v>
      </c>
      <c r="O466" t="s">
        <v>403</v>
      </c>
      <c r="P466">
        <v>0</v>
      </c>
      <c r="Q466">
        <v>0</v>
      </c>
      <c r="R466">
        <v>1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</row>
    <row r="467" spans="1:40" x14ac:dyDescent="0.3">
      <c r="A467" t="s">
        <v>192</v>
      </c>
      <c r="B467" s="3">
        <v>2018</v>
      </c>
      <c r="C467" s="3">
        <v>3220635.25</v>
      </c>
      <c r="D467" s="3">
        <v>19892844</v>
      </c>
      <c r="E467" s="3">
        <v>127.067840576172</v>
      </c>
      <c r="F467" s="3">
        <v>0.85050165653228804</v>
      </c>
      <c r="G467" s="3">
        <v>0.101446948945522</v>
      </c>
      <c r="H467" s="3">
        <v>3.7877675145864501E-2</v>
      </c>
      <c r="I467" s="3">
        <v>14236.938773481799</v>
      </c>
      <c r="J467" s="3">
        <v>2.3021097183227499</v>
      </c>
      <c r="K467" s="3">
        <v>1.0405427217483501</v>
      </c>
      <c r="L467" s="3">
        <f t="shared" si="7"/>
        <v>4</v>
      </c>
      <c r="M467">
        <f>VLOOKUP(A467,Sheet2!$B$2:$E$186,2,FALSE)</f>
        <v>78</v>
      </c>
      <c r="N467" t="s">
        <v>391</v>
      </c>
      <c r="O467" t="s">
        <v>403</v>
      </c>
      <c r="P467">
        <v>0</v>
      </c>
      <c r="Q467">
        <v>0</v>
      </c>
      <c r="R467">
        <v>1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</row>
    <row r="468" spans="1:40" x14ac:dyDescent="0.3">
      <c r="A468" t="s">
        <v>192</v>
      </c>
      <c r="B468" s="3">
        <v>2019</v>
      </c>
      <c r="C468" s="3">
        <v>3382288.25</v>
      </c>
      <c r="D468" s="3">
        <v>21105286</v>
      </c>
      <c r="E468" s="3">
        <v>132.30496215820301</v>
      </c>
      <c r="F468" s="3">
        <v>0.90576469898223899</v>
      </c>
      <c r="G468" s="3">
        <v>9.6381098031997695E-2</v>
      </c>
      <c r="H468" s="3">
        <v>3.7928473204374299E-2</v>
      </c>
      <c r="I468" s="3">
        <v>14147.671360545401</v>
      </c>
      <c r="J468" s="3">
        <v>2.2881650924682599</v>
      </c>
      <c r="K468" s="3">
        <v>1.0327659845352199</v>
      </c>
      <c r="L468" s="3">
        <f t="shared" si="7"/>
        <v>5</v>
      </c>
      <c r="M468">
        <f>VLOOKUP(A468,Sheet2!$B$2:$E$186,2,FALSE)</f>
        <v>78</v>
      </c>
      <c r="N468" t="s">
        <v>391</v>
      </c>
      <c r="O468" t="s">
        <v>403</v>
      </c>
      <c r="P468">
        <v>0</v>
      </c>
      <c r="Q468">
        <v>0</v>
      </c>
      <c r="R468">
        <v>1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</row>
    <row r="469" spans="1:40" x14ac:dyDescent="0.3">
      <c r="A469" t="s">
        <v>192</v>
      </c>
      <c r="B469" s="3">
        <v>2020</v>
      </c>
      <c r="C469" s="3">
        <v>3312426.5</v>
      </c>
      <c r="D469" s="3">
        <v>22164118</v>
      </c>
      <c r="E469" s="3">
        <v>131.59396362304699</v>
      </c>
      <c r="F469" s="3">
        <v>0.95241916179657005</v>
      </c>
      <c r="G469" s="3">
        <v>8.6649738252162906E-2</v>
      </c>
      <c r="H469" s="3">
        <v>3.8126364350318902E-2</v>
      </c>
      <c r="I469" s="3">
        <v>14582.203467817701</v>
      </c>
      <c r="J469" s="3">
        <v>2.2743048667907702</v>
      </c>
      <c r="K469" s="3">
        <v>0.98838204145431496</v>
      </c>
      <c r="L469" s="3">
        <f t="shared" si="7"/>
        <v>6</v>
      </c>
      <c r="M469">
        <f>VLOOKUP(A469,Sheet2!$B$2:$E$186,2,FALSE)</f>
        <v>78</v>
      </c>
      <c r="N469" t="s">
        <v>391</v>
      </c>
      <c r="O469" t="s">
        <v>403</v>
      </c>
      <c r="P469">
        <v>0</v>
      </c>
      <c r="Q469">
        <v>0</v>
      </c>
      <c r="R469">
        <v>1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</row>
    <row r="470" spans="1:40" x14ac:dyDescent="0.3">
      <c r="A470" t="s">
        <v>194</v>
      </c>
      <c r="B470" s="3">
        <v>2015</v>
      </c>
      <c r="C470" s="3">
        <v>8789849</v>
      </c>
      <c r="D470" s="3">
        <v>31346660</v>
      </c>
      <c r="E470" s="3">
        <v>482.70053100585898</v>
      </c>
      <c r="F470" s="3">
        <v>0.68140852451324496</v>
      </c>
      <c r="G470" s="3">
        <v>0.12636323273181899</v>
      </c>
      <c r="H470" s="3">
        <v>5.4140795022249201E-2</v>
      </c>
      <c r="I470" s="3">
        <v>64.151944463278596</v>
      </c>
      <c r="J470" s="3">
        <v>2.07750797271729</v>
      </c>
      <c r="K470" s="3">
        <v>0.97112101316452004</v>
      </c>
      <c r="L470" s="3">
        <f t="shared" si="7"/>
        <v>1</v>
      </c>
      <c r="M470">
        <f>VLOOKUP(A470,Sheet2!$B$2:$E$186,2,FALSE)</f>
        <v>79</v>
      </c>
      <c r="N470" t="s">
        <v>391</v>
      </c>
      <c r="O470" t="s">
        <v>399</v>
      </c>
      <c r="P470">
        <v>0</v>
      </c>
      <c r="Q470">
        <v>0</v>
      </c>
      <c r="R470">
        <v>1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</row>
    <row r="471" spans="1:40" x14ac:dyDescent="0.3">
      <c r="A471" t="s">
        <v>194</v>
      </c>
      <c r="B471" s="3">
        <v>2016</v>
      </c>
      <c r="C471" s="3">
        <v>9515566</v>
      </c>
      <c r="D471" s="3">
        <v>33422982</v>
      </c>
      <c r="E471" s="3">
        <v>482.98910522460898</v>
      </c>
      <c r="F471" s="3">
        <v>0.73010545969009399</v>
      </c>
      <c r="G471" s="3">
        <v>0.12895600497722601</v>
      </c>
      <c r="H471" s="3">
        <v>5.4844252765178701E-2</v>
      </c>
      <c r="I471" s="3">
        <v>67.195312807389399</v>
      </c>
      <c r="J471" s="3">
        <v>2.10053634643555</v>
      </c>
      <c r="K471" s="3">
        <v>1.0127859115600599</v>
      </c>
      <c r="L471" s="3">
        <f t="shared" si="7"/>
        <v>2</v>
      </c>
      <c r="M471">
        <f>VLOOKUP(A471,Sheet2!$B$2:$E$186,2,FALSE)</f>
        <v>79</v>
      </c>
      <c r="N471" t="s">
        <v>391</v>
      </c>
      <c r="O471" t="s">
        <v>399</v>
      </c>
      <c r="P471">
        <v>0</v>
      </c>
      <c r="Q471">
        <v>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</row>
    <row r="472" spans="1:40" x14ac:dyDescent="0.3">
      <c r="A472" t="s">
        <v>194</v>
      </c>
      <c r="B472" s="3">
        <v>2017</v>
      </c>
      <c r="C472" s="3">
        <v>10162185</v>
      </c>
      <c r="D472" s="3">
        <v>35689216</v>
      </c>
      <c r="E472" s="3">
        <v>488.15234375</v>
      </c>
      <c r="F472" s="3">
        <v>0.78432887792587302</v>
      </c>
      <c r="G472" s="3">
        <v>0.12772533297538799</v>
      </c>
      <c r="H472" s="3">
        <v>5.5805951356887797E-2</v>
      </c>
      <c r="I472" s="3">
        <v>65.121568645066006</v>
      </c>
      <c r="J472" s="3">
        <v>2.1238200664520299</v>
      </c>
      <c r="K472" s="3">
        <v>1.05662310123444</v>
      </c>
      <c r="L472" s="3">
        <f t="shared" si="7"/>
        <v>3</v>
      </c>
      <c r="M472">
        <f>VLOOKUP(A472,Sheet2!$B$2:$E$186,2,FALSE)</f>
        <v>79</v>
      </c>
      <c r="N472" t="s">
        <v>391</v>
      </c>
      <c r="O472" t="s">
        <v>399</v>
      </c>
      <c r="P472">
        <v>0</v>
      </c>
      <c r="Q472">
        <v>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</row>
    <row r="473" spans="1:40" x14ac:dyDescent="0.3">
      <c r="A473" t="s">
        <v>194</v>
      </c>
      <c r="B473" s="3">
        <v>2018</v>
      </c>
      <c r="C473" s="3">
        <v>10818037</v>
      </c>
      <c r="D473" s="3">
        <v>38221824</v>
      </c>
      <c r="E473" s="3">
        <v>493.24496459960898</v>
      </c>
      <c r="F473" s="3">
        <v>0.84410953521728505</v>
      </c>
      <c r="G473" s="3">
        <v>0.127580031752586</v>
      </c>
      <c r="H473" s="3">
        <v>5.6758243590593303E-2</v>
      </c>
      <c r="I473" s="3">
        <v>68.389467093542095</v>
      </c>
      <c r="J473" s="3">
        <v>2.1473617553710902</v>
      </c>
      <c r="K473" s="3">
        <v>1.0737342834472701</v>
      </c>
      <c r="L473" s="3">
        <f t="shared" si="7"/>
        <v>4</v>
      </c>
      <c r="M473">
        <f>VLOOKUP(A473,Sheet2!$B$2:$E$186,2,FALSE)</f>
        <v>79</v>
      </c>
      <c r="N473" t="s">
        <v>391</v>
      </c>
      <c r="O473" t="s">
        <v>399</v>
      </c>
      <c r="P473">
        <v>0</v>
      </c>
      <c r="Q473">
        <v>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</row>
    <row r="474" spans="1:40" x14ac:dyDescent="0.3">
      <c r="A474" t="s">
        <v>194</v>
      </c>
      <c r="B474" s="3">
        <v>2019</v>
      </c>
      <c r="C474" s="3">
        <v>11236851</v>
      </c>
      <c r="D474" s="3">
        <v>40625756</v>
      </c>
      <c r="E474" s="3">
        <v>539.49578857421898</v>
      </c>
      <c r="F474" s="3">
        <v>0.89743793010711703</v>
      </c>
      <c r="G474" s="3">
        <v>0.120673395693302</v>
      </c>
      <c r="H474" s="3">
        <v>5.7204820215702099E-2</v>
      </c>
      <c r="I474" s="3">
        <v>70.420340535955106</v>
      </c>
      <c r="J474" s="3">
        <v>2.17116451263428</v>
      </c>
      <c r="K474" s="3">
        <v>1.00089430809021</v>
      </c>
      <c r="L474" s="3">
        <f t="shared" si="7"/>
        <v>5</v>
      </c>
      <c r="M474">
        <f>VLOOKUP(A474,Sheet2!$B$2:$E$186,2,FALSE)</f>
        <v>79</v>
      </c>
      <c r="N474" t="s">
        <v>391</v>
      </c>
      <c r="O474" t="s">
        <v>399</v>
      </c>
      <c r="P474">
        <v>0</v>
      </c>
      <c r="Q474">
        <v>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</row>
    <row r="475" spans="1:40" x14ac:dyDescent="0.3">
      <c r="A475" t="s">
        <v>194</v>
      </c>
      <c r="B475" s="3">
        <v>2020</v>
      </c>
      <c r="C475" s="3">
        <v>10587617</v>
      </c>
      <c r="D475" s="3">
        <v>42633508</v>
      </c>
      <c r="E475" s="3">
        <v>549.25408935546898</v>
      </c>
      <c r="F475" s="3">
        <v>0.94020426273346003</v>
      </c>
      <c r="G475" s="3">
        <v>0.107258439064026</v>
      </c>
      <c r="H475" s="3">
        <v>5.7102616876363803E-2</v>
      </c>
      <c r="I475" s="3">
        <v>74.099566883605206</v>
      </c>
      <c r="J475" s="3">
        <v>2.1952311992645299</v>
      </c>
      <c r="K475" s="3">
        <v>0.91782641410827603</v>
      </c>
      <c r="L475" s="3">
        <f t="shared" si="7"/>
        <v>6</v>
      </c>
      <c r="M475">
        <f>VLOOKUP(A475,Sheet2!$B$2:$E$186,2,FALSE)</f>
        <v>79</v>
      </c>
      <c r="N475" t="s">
        <v>391</v>
      </c>
      <c r="O475" t="s">
        <v>399</v>
      </c>
      <c r="P475">
        <v>0</v>
      </c>
      <c r="Q475">
        <v>0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</row>
    <row r="476" spans="1:40" x14ac:dyDescent="0.3">
      <c r="A476" t="s">
        <v>196</v>
      </c>
      <c r="B476" s="3">
        <v>2015</v>
      </c>
      <c r="C476" s="3">
        <v>437829.59375</v>
      </c>
      <c r="D476" s="3">
        <v>1501347.75</v>
      </c>
      <c r="E476" s="3">
        <v>2.05508255958557</v>
      </c>
      <c r="F476" s="3">
        <v>0.57588994503021196</v>
      </c>
      <c r="G476" s="3">
        <v>0.25113245844840998</v>
      </c>
      <c r="H476" s="3">
        <v>4.9578025937080397E-2</v>
      </c>
      <c r="I476" s="3">
        <v>0.90129642336709603</v>
      </c>
      <c r="J476" s="3">
        <v>3.1162874698638898</v>
      </c>
      <c r="K476" s="3">
        <v>1.21191370487213</v>
      </c>
      <c r="L476" s="3">
        <f t="shared" si="7"/>
        <v>1</v>
      </c>
      <c r="M476">
        <f>VLOOKUP(A476,Sheet2!$B$2:$E$186,2,FALSE)</f>
        <v>80</v>
      </c>
      <c r="N476" t="s">
        <v>389</v>
      </c>
      <c r="O476" t="s">
        <v>406</v>
      </c>
      <c r="P476">
        <v>0</v>
      </c>
      <c r="Q476">
        <v>1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1</v>
      </c>
      <c r="AL476">
        <v>0</v>
      </c>
      <c r="AM476">
        <v>0</v>
      </c>
      <c r="AN476">
        <v>0</v>
      </c>
    </row>
    <row r="477" spans="1:40" x14ac:dyDescent="0.3">
      <c r="A477" t="s">
        <v>196</v>
      </c>
      <c r="B477" s="3">
        <v>2016</v>
      </c>
      <c r="C477" s="3">
        <v>443182.6875</v>
      </c>
      <c r="D477" s="3">
        <v>1638648.5</v>
      </c>
      <c r="E477" s="3">
        <v>2.1303908824920699</v>
      </c>
      <c r="F477" s="3">
        <v>0.64914989471435602</v>
      </c>
      <c r="G477" s="3">
        <v>0.20493246614933</v>
      </c>
      <c r="H477" s="3">
        <v>5.5468961596489001E-2</v>
      </c>
      <c r="I477" s="3">
        <v>0.90342143625726301</v>
      </c>
      <c r="J477" s="3">
        <v>3.1334524154663099</v>
      </c>
      <c r="K477" s="3">
        <v>1.27798628807068</v>
      </c>
      <c r="L477" s="3">
        <f t="shared" si="7"/>
        <v>2</v>
      </c>
      <c r="M477">
        <f>VLOOKUP(A477,Sheet2!$B$2:$E$186,2,FALSE)</f>
        <v>80</v>
      </c>
      <c r="N477" t="s">
        <v>389</v>
      </c>
      <c r="O477" t="s">
        <v>406</v>
      </c>
      <c r="P477">
        <v>0</v>
      </c>
      <c r="Q477">
        <v>1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1</v>
      </c>
      <c r="AL477">
        <v>0</v>
      </c>
      <c r="AM477">
        <v>0</v>
      </c>
      <c r="AN477">
        <v>0</v>
      </c>
    </row>
    <row r="478" spans="1:40" x14ac:dyDescent="0.3">
      <c r="A478" t="s">
        <v>196</v>
      </c>
      <c r="B478" s="3">
        <v>2017</v>
      </c>
      <c r="C478" s="3">
        <v>487720.90625</v>
      </c>
      <c r="D478" s="3">
        <v>1763300.875</v>
      </c>
      <c r="E478" s="3">
        <v>2.1915376186370898</v>
      </c>
      <c r="F478" s="3">
        <v>0.71490728855133101</v>
      </c>
      <c r="G478" s="3">
        <v>0.20841865241527599</v>
      </c>
      <c r="H478" s="3">
        <v>6.1259806156158503E-2</v>
      </c>
      <c r="I478" s="3">
        <v>0.88520550826937205</v>
      </c>
      <c r="J478" s="3">
        <v>3.1507120132446298</v>
      </c>
      <c r="K478" s="3">
        <v>1.22555708885193</v>
      </c>
      <c r="L478" s="3">
        <f t="shared" si="7"/>
        <v>3</v>
      </c>
      <c r="M478">
        <f>VLOOKUP(A478,Sheet2!$B$2:$E$186,2,FALSE)</f>
        <v>80</v>
      </c>
      <c r="N478" t="s">
        <v>389</v>
      </c>
      <c r="O478" t="s">
        <v>406</v>
      </c>
      <c r="P478">
        <v>0</v>
      </c>
      <c r="Q478">
        <v>1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1</v>
      </c>
      <c r="AL478">
        <v>0</v>
      </c>
      <c r="AM478">
        <v>0</v>
      </c>
      <c r="AN478">
        <v>0</v>
      </c>
    </row>
    <row r="479" spans="1:40" x14ac:dyDescent="0.3">
      <c r="A479" t="s">
        <v>196</v>
      </c>
      <c r="B479" s="3">
        <v>2018</v>
      </c>
      <c r="C479" s="3">
        <v>524516.1875</v>
      </c>
      <c r="D479" s="3">
        <v>1852224.875</v>
      </c>
      <c r="E479" s="3">
        <v>2.2543296813964799</v>
      </c>
      <c r="F479" s="3">
        <v>0.75692838430404696</v>
      </c>
      <c r="G479" s="3">
        <v>0.21119882166385701</v>
      </c>
      <c r="H479" s="3">
        <v>6.4466275274753598E-2</v>
      </c>
      <c r="I479" s="3">
        <v>0.84677266710811105</v>
      </c>
      <c r="J479" s="3">
        <v>3.1680667400360099</v>
      </c>
      <c r="K479" s="3">
        <v>1.13265788555145</v>
      </c>
      <c r="L479" s="3">
        <f t="shared" si="7"/>
        <v>4</v>
      </c>
      <c r="M479">
        <f>VLOOKUP(A479,Sheet2!$B$2:$E$186,2,FALSE)</f>
        <v>80</v>
      </c>
      <c r="N479" t="s">
        <v>389</v>
      </c>
      <c r="O479" t="s">
        <v>406</v>
      </c>
      <c r="P479">
        <v>0</v>
      </c>
      <c r="Q479">
        <v>1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1</v>
      </c>
      <c r="AL479">
        <v>0</v>
      </c>
      <c r="AM479">
        <v>0</v>
      </c>
      <c r="AN479">
        <v>0</v>
      </c>
    </row>
    <row r="480" spans="1:40" x14ac:dyDescent="0.3">
      <c r="A480" t="s">
        <v>196</v>
      </c>
      <c r="B480" s="3">
        <v>2019</v>
      </c>
      <c r="C480" s="3">
        <v>550954.6875</v>
      </c>
      <c r="D480" s="3">
        <v>2129149.75</v>
      </c>
      <c r="E480" s="3">
        <v>2.3177540302276598</v>
      </c>
      <c r="F480" s="3">
        <v>0.90764594078063998</v>
      </c>
      <c r="G480" s="3">
        <v>0.17609585821628601</v>
      </c>
      <c r="H480" s="3">
        <v>7.0161037147045094E-2</v>
      </c>
      <c r="I480" s="3">
        <v>0.89327625706740899</v>
      </c>
      <c r="J480" s="3">
        <v>3.1855168342590301</v>
      </c>
      <c r="K480" s="3">
        <v>1.4133632183075</v>
      </c>
      <c r="L480" s="3">
        <f t="shared" si="7"/>
        <v>5</v>
      </c>
      <c r="M480">
        <f>VLOOKUP(A480,Sheet2!$B$2:$E$186,2,FALSE)</f>
        <v>80</v>
      </c>
      <c r="N480" t="s">
        <v>389</v>
      </c>
      <c r="O480" t="s">
        <v>406</v>
      </c>
      <c r="P480">
        <v>0</v>
      </c>
      <c r="Q480">
        <v>1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1</v>
      </c>
      <c r="AL480">
        <v>0</v>
      </c>
      <c r="AM480">
        <v>0</v>
      </c>
      <c r="AN480">
        <v>0</v>
      </c>
    </row>
    <row r="481" spans="1:40" x14ac:dyDescent="0.3">
      <c r="A481" t="s">
        <v>196</v>
      </c>
      <c r="B481" s="3">
        <v>2020</v>
      </c>
      <c r="C481" s="3">
        <v>590391.5</v>
      </c>
      <c r="D481" s="3">
        <v>2303409.5</v>
      </c>
      <c r="E481" s="3">
        <v>2.2521460056304901</v>
      </c>
      <c r="F481" s="3">
        <v>0.99259752035141002</v>
      </c>
      <c r="G481" s="3">
        <v>0.181148886680603</v>
      </c>
      <c r="H481" s="3">
        <v>7.5589977204799694E-2</v>
      </c>
      <c r="I481" s="3">
        <v>0.87550639698799804</v>
      </c>
      <c r="J481" s="3">
        <v>3.20306324958801</v>
      </c>
      <c r="K481" s="3">
        <v>1.23016321659088</v>
      </c>
      <c r="L481" s="3">
        <f t="shared" si="7"/>
        <v>6</v>
      </c>
      <c r="M481">
        <f>VLOOKUP(A481,Sheet2!$B$2:$E$186,2,FALSE)</f>
        <v>80</v>
      </c>
      <c r="N481" t="s">
        <v>389</v>
      </c>
      <c r="O481" t="s">
        <v>406</v>
      </c>
      <c r="P481">
        <v>0</v>
      </c>
      <c r="Q481">
        <v>1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1</v>
      </c>
      <c r="AL481">
        <v>0</v>
      </c>
      <c r="AM481">
        <v>0</v>
      </c>
      <c r="AN481">
        <v>0</v>
      </c>
    </row>
    <row r="482" spans="1:40" x14ac:dyDescent="0.3">
      <c r="A482" t="s">
        <v>197</v>
      </c>
      <c r="B482" s="3">
        <v>2015</v>
      </c>
      <c r="C482" s="3">
        <v>1119093.625</v>
      </c>
      <c r="D482" s="3">
        <v>8321029.5</v>
      </c>
      <c r="E482" s="3">
        <v>24.706825256347699</v>
      </c>
      <c r="F482" s="3">
        <v>0.99421042203903198</v>
      </c>
      <c r="G482" s="3">
        <v>8.6299166083335904E-2</v>
      </c>
      <c r="H482" s="3">
        <v>4.3557047843933099E-2</v>
      </c>
      <c r="I482" s="3">
        <v>29011.491377053</v>
      </c>
      <c r="J482" s="3">
        <v>2.3334765434265101</v>
      </c>
      <c r="K482" s="3">
        <v>0.90685057640075695</v>
      </c>
      <c r="L482" s="3">
        <f t="shared" si="7"/>
        <v>1</v>
      </c>
      <c r="M482">
        <f>VLOOKUP(A482,Sheet2!$B$2:$E$186,2,FALSE)</f>
        <v>81</v>
      </c>
      <c r="N482" t="s">
        <v>391</v>
      </c>
      <c r="O482" t="s">
        <v>399</v>
      </c>
      <c r="P482">
        <v>0</v>
      </c>
      <c r="Q482">
        <v>0</v>
      </c>
      <c r="R482">
        <v>1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</row>
    <row r="483" spans="1:40" x14ac:dyDescent="0.3">
      <c r="A483" t="s">
        <v>197</v>
      </c>
      <c r="B483" s="3">
        <v>2016</v>
      </c>
      <c r="C483" s="3">
        <v>1217742.75</v>
      </c>
      <c r="D483" s="3">
        <v>8413783</v>
      </c>
      <c r="E483" s="3">
        <v>25.342727661132798</v>
      </c>
      <c r="F483" s="3">
        <v>1.00244164466858</v>
      </c>
      <c r="G483" s="3">
        <v>0.107485696673393</v>
      </c>
      <c r="H483" s="3">
        <v>4.2352344840764999E-2</v>
      </c>
      <c r="I483" s="3">
        <v>30914.8524362967</v>
      </c>
      <c r="J483" s="3">
        <v>2.3782389163970898</v>
      </c>
      <c r="K483" s="3">
        <v>1.0164059400558501</v>
      </c>
      <c r="L483" s="3">
        <f t="shared" si="7"/>
        <v>2</v>
      </c>
      <c r="M483">
        <f>VLOOKUP(A483,Sheet2!$B$2:$E$186,2,FALSE)</f>
        <v>81</v>
      </c>
      <c r="N483" t="s">
        <v>391</v>
      </c>
      <c r="O483" t="s">
        <v>399</v>
      </c>
      <c r="P483">
        <v>0</v>
      </c>
      <c r="Q483">
        <v>0</v>
      </c>
      <c r="R483">
        <v>1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</row>
    <row r="484" spans="1:40" x14ac:dyDescent="0.3">
      <c r="A484" t="s">
        <v>197</v>
      </c>
      <c r="B484" s="3">
        <v>2017</v>
      </c>
      <c r="C484" s="3">
        <v>1251334.25</v>
      </c>
      <c r="D484" s="3">
        <v>8509893</v>
      </c>
      <c r="E484" s="3">
        <v>26.4614963531494</v>
      </c>
      <c r="F484" s="3">
        <v>1.0106770992279099</v>
      </c>
      <c r="G484" s="3">
        <v>0.106478326022625</v>
      </c>
      <c r="H484" s="3">
        <v>4.1378036141395597E-2</v>
      </c>
      <c r="I484" s="3">
        <v>33226.298152412703</v>
      </c>
      <c r="J484" s="3">
        <v>2.4238600730896001</v>
      </c>
      <c r="K484" s="3">
        <v>1.0020437240600599</v>
      </c>
      <c r="L484" s="3">
        <f t="shared" si="7"/>
        <v>3</v>
      </c>
      <c r="M484">
        <f>VLOOKUP(A484,Sheet2!$B$2:$E$186,2,FALSE)</f>
        <v>81</v>
      </c>
      <c r="N484" t="s">
        <v>391</v>
      </c>
      <c r="O484" t="s">
        <v>399</v>
      </c>
      <c r="P484">
        <v>0</v>
      </c>
      <c r="Q484">
        <v>0</v>
      </c>
      <c r="R484">
        <v>1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</row>
    <row r="485" spans="1:40" x14ac:dyDescent="0.3">
      <c r="A485" t="s">
        <v>197</v>
      </c>
      <c r="B485" s="3">
        <v>2018</v>
      </c>
      <c r="C485" s="3">
        <v>1228334.625</v>
      </c>
      <c r="D485" s="3">
        <v>8542645</v>
      </c>
      <c r="E485" s="3">
        <v>26.896253585815401</v>
      </c>
      <c r="F485" s="3">
        <v>1.0084192752838099</v>
      </c>
      <c r="G485" s="3">
        <v>8.3728000521659907E-2</v>
      </c>
      <c r="H485" s="3">
        <v>4.0415950119495399E-2</v>
      </c>
      <c r="I485" s="3">
        <v>68236.451564072806</v>
      </c>
      <c r="J485" s="3">
        <v>2.4703562259674099</v>
      </c>
      <c r="K485" s="3">
        <v>0.97389954328536998</v>
      </c>
      <c r="L485" s="3">
        <f t="shared" si="7"/>
        <v>4</v>
      </c>
      <c r="M485">
        <f>VLOOKUP(A485,Sheet2!$B$2:$E$186,2,FALSE)</f>
        <v>81</v>
      </c>
      <c r="N485" t="s">
        <v>391</v>
      </c>
      <c r="O485" t="s">
        <v>399</v>
      </c>
      <c r="P485">
        <v>0</v>
      </c>
      <c r="Q485">
        <v>0</v>
      </c>
      <c r="R485">
        <v>1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</row>
    <row r="486" spans="1:40" x14ac:dyDescent="0.3">
      <c r="A486" t="s">
        <v>197</v>
      </c>
      <c r="B486" s="3">
        <v>2019</v>
      </c>
      <c r="C486" s="3">
        <v>1190617.375</v>
      </c>
      <c r="D486" s="3">
        <v>8558189</v>
      </c>
      <c r="E486" s="3">
        <v>27.404111862182599</v>
      </c>
      <c r="F486" s="3">
        <v>1.0030977725982699</v>
      </c>
      <c r="G486" s="3">
        <v>6.8571187555790003E-2</v>
      </c>
      <c r="H486" s="3">
        <v>3.9407595992088297E-2</v>
      </c>
      <c r="I486" s="3">
        <v>87626.171154448297</v>
      </c>
      <c r="J486" s="3">
        <v>2.5177443027496298</v>
      </c>
      <c r="K486" s="3">
        <v>0.891790151596069</v>
      </c>
      <c r="L486" s="3">
        <f t="shared" si="7"/>
        <v>5</v>
      </c>
      <c r="M486">
        <f>VLOOKUP(A486,Sheet2!$B$2:$E$186,2,FALSE)</f>
        <v>81</v>
      </c>
      <c r="N486" t="s">
        <v>391</v>
      </c>
      <c r="O486" t="s">
        <v>399</v>
      </c>
      <c r="P486">
        <v>0</v>
      </c>
      <c r="Q486">
        <v>0</v>
      </c>
      <c r="R486">
        <v>1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</row>
    <row r="487" spans="1:40" x14ac:dyDescent="0.3">
      <c r="A487" t="s">
        <v>197</v>
      </c>
      <c r="B487" s="3">
        <v>2020</v>
      </c>
      <c r="C487" s="3">
        <v>1230268.5</v>
      </c>
      <c r="D487" s="3">
        <v>8594319</v>
      </c>
      <c r="E487" s="3">
        <v>26.204359054565401</v>
      </c>
      <c r="F487" s="3">
        <v>0.99959313869476296</v>
      </c>
      <c r="G487" s="3">
        <v>5.5470693856477703E-2</v>
      </c>
      <c r="H487" s="3">
        <v>3.8483094424009302E-2</v>
      </c>
      <c r="I487" s="3">
        <v>124756.132966046</v>
      </c>
      <c r="J487" s="3">
        <v>2.5640597343444802</v>
      </c>
      <c r="K487" s="3">
        <v>0.99029564857482899</v>
      </c>
      <c r="L487" s="3">
        <f t="shared" si="7"/>
        <v>6</v>
      </c>
      <c r="M487">
        <f>VLOOKUP(A487,Sheet2!$B$2:$E$186,2,FALSE)</f>
        <v>81</v>
      </c>
      <c r="N487" t="s">
        <v>391</v>
      </c>
      <c r="O487" t="s">
        <v>399</v>
      </c>
      <c r="P487">
        <v>0</v>
      </c>
      <c r="Q487">
        <v>0</v>
      </c>
      <c r="R487">
        <v>1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</row>
    <row r="488" spans="1:40" x14ac:dyDescent="0.3">
      <c r="A488" t="s">
        <v>200</v>
      </c>
      <c r="B488" s="3">
        <v>2015</v>
      </c>
      <c r="C488" s="3">
        <v>540748.25</v>
      </c>
      <c r="D488" s="3">
        <v>1382154.25</v>
      </c>
      <c r="E488" s="3">
        <v>9.3090581893920898</v>
      </c>
      <c r="F488" s="3">
        <v>0.84664481878280595</v>
      </c>
      <c r="G488" s="3">
        <v>0.10855501145124399</v>
      </c>
      <c r="H488" s="3">
        <v>5.3264006972312899E-2</v>
      </c>
      <c r="I488" s="3">
        <v>1167.3333333333301</v>
      </c>
      <c r="J488" s="3">
        <v>2.2370769977569598</v>
      </c>
      <c r="K488" s="3">
        <v>1.2130827903747601</v>
      </c>
      <c r="L488" s="3">
        <f t="shared" si="7"/>
        <v>1</v>
      </c>
      <c r="M488">
        <f>VLOOKUP(A488,Sheet2!$B$2:$E$186,2,FALSE)</f>
        <v>82</v>
      </c>
      <c r="N488" t="s">
        <v>391</v>
      </c>
      <c r="O488" t="s">
        <v>392</v>
      </c>
      <c r="P488">
        <v>0</v>
      </c>
      <c r="Q488">
        <v>0</v>
      </c>
      <c r="R488">
        <v>1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1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</row>
    <row r="489" spans="1:40" x14ac:dyDescent="0.3">
      <c r="A489" t="s">
        <v>200</v>
      </c>
      <c r="B489" s="3">
        <v>2016</v>
      </c>
      <c r="C489" s="3">
        <v>615303.75</v>
      </c>
      <c r="D489" s="3">
        <v>1445454.375</v>
      </c>
      <c r="E489" s="3">
        <v>9.6297521591186506</v>
      </c>
      <c r="F489" s="3">
        <v>0.88021939992904696</v>
      </c>
      <c r="G489" s="3">
        <v>0.1318768709898</v>
      </c>
      <c r="H489" s="3">
        <v>5.2828945219516803E-2</v>
      </c>
      <c r="I489" s="3">
        <v>1182</v>
      </c>
      <c r="J489" s="3">
        <v>2.2499232292175302</v>
      </c>
      <c r="K489" s="3">
        <v>1.30162525177002</v>
      </c>
      <c r="L489" s="3">
        <f t="shared" si="7"/>
        <v>2</v>
      </c>
      <c r="M489">
        <f>VLOOKUP(A489,Sheet2!$B$2:$E$186,2,FALSE)</f>
        <v>82</v>
      </c>
      <c r="N489" t="s">
        <v>391</v>
      </c>
      <c r="O489" t="s">
        <v>392</v>
      </c>
      <c r="P489">
        <v>0</v>
      </c>
      <c r="Q489">
        <v>0</v>
      </c>
      <c r="R489">
        <v>1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1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</row>
    <row r="490" spans="1:40" x14ac:dyDescent="0.3">
      <c r="A490" t="s">
        <v>200</v>
      </c>
      <c r="B490" s="3">
        <v>2017</v>
      </c>
      <c r="C490" s="3">
        <v>604106.8125</v>
      </c>
      <c r="D490" s="3">
        <v>1506160.75</v>
      </c>
      <c r="E490" s="3">
        <v>9.3877992630004901</v>
      </c>
      <c r="F490" s="3">
        <v>0.911920666694641</v>
      </c>
      <c r="G490" s="3">
        <v>0.129068538546562</v>
      </c>
      <c r="H490" s="3">
        <v>5.1741730421781498E-2</v>
      </c>
      <c r="I490" s="3">
        <v>1184</v>
      </c>
      <c r="J490" s="3">
        <v>2.2628431320190399</v>
      </c>
      <c r="K490" s="3">
        <v>1.17338442802429</v>
      </c>
      <c r="L490" s="3">
        <f t="shared" si="7"/>
        <v>3</v>
      </c>
      <c r="M490">
        <f>VLOOKUP(A490,Sheet2!$B$2:$E$186,2,FALSE)</f>
        <v>82</v>
      </c>
      <c r="N490" t="s">
        <v>391</v>
      </c>
      <c r="O490" t="s">
        <v>392</v>
      </c>
      <c r="P490">
        <v>0</v>
      </c>
      <c r="Q490">
        <v>0</v>
      </c>
      <c r="R490">
        <v>1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1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</row>
    <row r="491" spans="1:40" x14ac:dyDescent="0.3">
      <c r="A491" t="s">
        <v>200</v>
      </c>
      <c r="B491" s="3">
        <v>2018</v>
      </c>
      <c r="C491" s="3">
        <v>620018.3125</v>
      </c>
      <c r="D491" s="3">
        <v>1566198.25</v>
      </c>
      <c r="E491" s="3">
        <v>9.5965270996093803</v>
      </c>
      <c r="F491" s="3">
        <v>0.94372159242630005</v>
      </c>
      <c r="G491" s="3">
        <v>0.13360778987407701</v>
      </c>
      <c r="H491" s="3">
        <v>5.0725359469652197E-2</v>
      </c>
      <c r="I491" s="3">
        <v>1182.75</v>
      </c>
      <c r="J491" s="3">
        <v>2.2758369445800799</v>
      </c>
      <c r="K491" s="3">
        <v>1.0635231733322099</v>
      </c>
      <c r="L491" s="3">
        <f t="shared" si="7"/>
        <v>4</v>
      </c>
      <c r="M491">
        <f>VLOOKUP(A491,Sheet2!$B$2:$E$186,2,FALSE)</f>
        <v>82</v>
      </c>
      <c r="N491" t="s">
        <v>391</v>
      </c>
      <c r="O491" t="s">
        <v>392</v>
      </c>
      <c r="P491">
        <v>0</v>
      </c>
      <c r="Q491">
        <v>0</v>
      </c>
      <c r="R491">
        <v>1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1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</row>
    <row r="492" spans="1:40" x14ac:dyDescent="0.3">
      <c r="A492" t="s">
        <v>200</v>
      </c>
      <c r="B492" s="3">
        <v>2019</v>
      </c>
      <c r="C492" s="3">
        <v>660094.875</v>
      </c>
      <c r="D492" s="3">
        <v>1691710.25</v>
      </c>
      <c r="E492" s="3">
        <v>9.7595281600952202</v>
      </c>
      <c r="F492" s="3">
        <v>1.0187656879425</v>
      </c>
      <c r="G492" s="3">
        <v>0.13676778972148901</v>
      </c>
      <c r="H492" s="3">
        <v>5.0199676305055597E-2</v>
      </c>
      <c r="I492" s="3">
        <v>1182</v>
      </c>
      <c r="J492" s="3">
        <v>2.2889058589935298</v>
      </c>
      <c r="K492" s="3">
        <v>1.1901228427887001</v>
      </c>
      <c r="L492" s="3">
        <f t="shared" si="7"/>
        <v>5</v>
      </c>
      <c r="M492">
        <f>VLOOKUP(A492,Sheet2!$B$2:$E$186,2,FALSE)</f>
        <v>82</v>
      </c>
      <c r="N492" t="s">
        <v>391</v>
      </c>
      <c r="O492" t="s">
        <v>392</v>
      </c>
      <c r="P492">
        <v>0</v>
      </c>
      <c r="Q492">
        <v>0</v>
      </c>
      <c r="R492">
        <v>1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1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</row>
    <row r="493" spans="1:40" x14ac:dyDescent="0.3">
      <c r="A493" t="s">
        <v>200</v>
      </c>
      <c r="B493" s="3">
        <v>2020</v>
      </c>
      <c r="C493" s="3">
        <v>575459.5625</v>
      </c>
      <c r="D493" s="3">
        <v>1672363.875</v>
      </c>
      <c r="E493" s="3">
        <v>9.4334821701049805</v>
      </c>
      <c r="F493" s="3">
        <v>0.99880564212799094</v>
      </c>
      <c r="G493" s="3">
        <v>0.12106963992118799</v>
      </c>
      <c r="H493" s="3">
        <v>4.9374606460332898E-2</v>
      </c>
      <c r="I493" s="3">
        <v>1192</v>
      </c>
      <c r="J493" s="3">
        <v>2.3020493984222399</v>
      </c>
      <c r="K493" s="3">
        <v>1.1877818107605</v>
      </c>
      <c r="L493" s="3">
        <f t="shared" si="7"/>
        <v>6</v>
      </c>
      <c r="M493">
        <f>VLOOKUP(A493,Sheet2!$B$2:$E$186,2,FALSE)</f>
        <v>82</v>
      </c>
      <c r="N493" t="s">
        <v>391</v>
      </c>
      <c r="O493" t="s">
        <v>392</v>
      </c>
      <c r="P493">
        <v>0</v>
      </c>
      <c r="Q493">
        <v>0</v>
      </c>
      <c r="R493">
        <v>1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1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</row>
    <row r="494" spans="1:40" x14ac:dyDescent="0.3">
      <c r="A494" t="s">
        <v>202</v>
      </c>
      <c r="B494" s="3">
        <v>2015</v>
      </c>
      <c r="C494" s="3">
        <v>18130.005859375</v>
      </c>
      <c r="D494" s="3">
        <v>124478.453125</v>
      </c>
      <c r="E494" s="3">
        <v>0.18411722779274001</v>
      </c>
      <c r="F494" s="3">
        <v>0.85804951190948497</v>
      </c>
      <c r="G494" s="3">
        <v>6.0728259384632097E-2</v>
      </c>
      <c r="H494" s="3">
        <v>3.35206873714924E-2</v>
      </c>
      <c r="I494" s="3">
        <v>131.91870843143201</v>
      </c>
      <c r="J494" s="3">
        <v>3.1302518844604501</v>
      </c>
      <c r="K494" s="3">
        <v>0.87779116630554199</v>
      </c>
      <c r="L494" s="3">
        <f t="shared" si="7"/>
        <v>1</v>
      </c>
      <c r="M494">
        <f>VLOOKUP(A494,Sheet2!$B$2:$E$186,2,FALSE)</f>
        <v>83</v>
      </c>
      <c r="N494" t="s">
        <v>389</v>
      </c>
      <c r="O494" t="s">
        <v>406</v>
      </c>
      <c r="P494">
        <v>0</v>
      </c>
      <c r="Q494">
        <v>1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1</v>
      </c>
      <c r="AL494">
        <v>0</v>
      </c>
      <c r="AM494">
        <v>0</v>
      </c>
      <c r="AN494">
        <v>0</v>
      </c>
    </row>
    <row r="495" spans="1:40" x14ac:dyDescent="0.3">
      <c r="A495" t="s">
        <v>202</v>
      </c>
      <c r="B495" s="3">
        <v>2016</v>
      </c>
      <c r="C495" s="3">
        <v>19272.86328125</v>
      </c>
      <c r="D495" s="3">
        <v>126805.2734375</v>
      </c>
      <c r="E495" s="3">
        <v>0.19232439994812001</v>
      </c>
      <c r="F495" s="3">
        <v>0.888924360275269</v>
      </c>
      <c r="G495" s="3">
        <v>6.4134128391742706E-2</v>
      </c>
      <c r="H495" s="3">
        <v>3.4470889717340497E-2</v>
      </c>
      <c r="I495" s="3">
        <v>120.81154806523899</v>
      </c>
      <c r="J495" s="3">
        <v>3.1459915637970002</v>
      </c>
      <c r="K495" s="3">
        <v>0.90124434232711803</v>
      </c>
      <c r="L495" s="3">
        <f t="shared" si="7"/>
        <v>2</v>
      </c>
      <c r="M495">
        <f>VLOOKUP(A495,Sheet2!$B$2:$E$186,2,FALSE)</f>
        <v>83</v>
      </c>
      <c r="N495" t="s">
        <v>389</v>
      </c>
      <c r="O495" t="s">
        <v>406</v>
      </c>
      <c r="P495">
        <v>0</v>
      </c>
      <c r="Q495">
        <v>1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1</v>
      </c>
      <c r="AL495">
        <v>0</v>
      </c>
      <c r="AM495">
        <v>0</v>
      </c>
      <c r="AN495">
        <v>0</v>
      </c>
    </row>
    <row r="496" spans="1:40" x14ac:dyDescent="0.3">
      <c r="A496" t="s">
        <v>202</v>
      </c>
      <c r="B496" s="3">
        <v>2017</v>
      </c>
      <c r="C496" s="3">
        <v>20081.353515625</v>
      </c>
      <c r="D496" s="3">
        <v>129586.03125</v>
      </c>
      <c r="E496" s="3">
        <v>0.20036335289478299</v>
      </c>
      <c r="F496" s="3">
        <v>0.92009204626083396</v>
      </c>
      <c r="G496" s="3">
        <v>6.5993756055831895E-2</v>
      </c>
      <c r="H496" s="3">
        <v>3.5399366170167902E-2</v>
      </c>
      <c r="I496" s="3">
        <v>106.839572014</v>
      </c>
      <c r="J496" s="3">
        <v>3.1618108749389702</v>
      </c>
      <c r="K496" s="3">
        <v>0.93051177263259899</v>
      </c>
      <c r="L496" s="3">
        <f t="shared" si="7"/>
        <v>3</v>
      </c>
      <c r="M496">
        <f>VLOOKUP(A496,Sheet2!$B$2:$E$186,2,FALSE)</f>
        <v>83</v>
      </c>
      <c r="N496" t="s">
        <v>389</v>
      </c>
      <c r="O496" t="s">
        <v>406</v>
      </c>
      <c r="P496">
        <v>0</v>
      </c>
      <c r="Q496">
        <v>1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1</v>
      </c>
      <c r="AL496">
        <v>0</v>
      </c>
      <c r="AM496">
        <v>0</v>
      </c>
      <c r="AN496">
        <v>0</v>
      </c>
    </row>
    <row r="497" spans="1:40" x14ac:dyDescent="0.3">
      <c r="A497" t="s">
        <v>202</v>
      </c>
      <c r="B497" s="3">
        <v>2018</v>
      </c>
      <c r="C497" s="3">
        <v>21063.166015625</v>
      </c>
      <c r="D497" s="3">
        <v>132386</v>
      </c>
      <c r="E497" s="3">
        <v>0.206762745976448</v>
      </c>
      <c r="F497" s="3">
        <v>0.94881814718246504</v>
      </c>
      <c r="G497" s="3">
        <v>6.5713837742805495E-2</v>
      </c>
      <c r="H497" s="3">
        <v>3.61077822744846E-2</v>
      </c>
      <c r="I497" s="3">
        <v>108.300176306626</v>
      </c>
      <c r="J497" s="3">
        <v>3.1777095794677699</v>
      </c>
      <c r="K497" s="3">
        <v>0.94400501251220703</v>
      </c>
      <c r="L497" s="3">
        <f t="shared" si="7"/>
        <v>4</v>
      </c>
      <c r="M497">
        <f>VLOOKUP(A497,Sheet2!$B$2:$E$186,2,FALSE)</f>
        <v>83</v>
      </c>
      <c r="N497" t="s">
        <v>389</v>
      </c>
      <c r="O497" t="s">
        <v>406</v>
      </c>
      <c r="P497">
        <v>0</v>
      </c>
      <c r="Q497">
        <v>1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1</v>
      </c>
      <c r="AL497">
        <v>0</v>
      </c>
      <c r="AM497">
        <v>0</v>
      </c>
      <c r="AN497">
        <v>0</v>
      </c>
    </row>
    <row r="498" spans="1:40" x14ac:dyDescent="0.3">
      <c r="A498" t="s">
        <v>202</v>
      </c>
      <c r="B498" s="3">
        <v>2019</v>
      </c>
      <c r="C498" s="3">
        <v>21455.1875</v>
      </c>
      <c r="D498" s="3">
        <v>134809.859375</v>
      </c>
      <c r="E498" s="3">
        <v>0.20754991471767401</v>
      </c>
      <c r="F498" s="3">
        <v>0.96563231945037797</v>
      </c>
      <c r="G498" s="3">
        <v>6.5798021852970096E-2</v>
      </c>
      <c r="H498" s="3">
        <v>3.6336813122034101E-2</v>
      </c>
      <c r="I498" s="3">
        <v>122.60677360190699</v>
      </c>
      <c r="J498" s="3">
        <v>3.1936879158020002</v>
      </c>
      <c r="K498" s="3">
        <v>0.94313544034957897</v>
      </c>
      <c r="L498" s="3">
        <f t="shared" si="7"/>
        <v>5</v>
      </c>
      <c r="M498">
        <f>VLOOKUP(A498,Sheet2!$B$2:$E$186,2,FALSE)</f>
        <v>83</v>
      </c>
      <c r="N498" t="s">
        <v>389</v>
      </c>
      <c r="O498" t="s">
        <v>406</v>
      </c>
      <c r="P498">
        <v>0</v>
      </c>
      <c r="Q498">
        <v>1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1</v>
      </c>
      <c r="AL498">
        <v>0</v>
      </c>
      <c r="AM498">
        <v>0</v>
      </c>
      <c r="AN498">
        <v>0</v>
      </c>
    </row>
    <row r="499" spans="1:40" x14ac:dyDescent="0.3">
      <c r="A499" t="s">
        <v>202</v>
      </c>
      <c r="B499" s="3">
        <v>2020</v>
      </c>
      <c r="C499" s="3">
        <v>19966.099609375</v>
      </c>
      <c r="D499" s="3">
        <v>136679.515625</v>
      </c>
      <c r="E499" s="3">
        <v>0.19846464693546301</v>
      </c>
      <c r="F499" s="3">
        <v>0.976734519004822</v>
      </c>
      <c r="G499" s="3">
        <v>5.61443008482456E-2</v>
      </c>
      <c r="H499" s="3">
        <v>3.6115039139985997E-2</v>
      </c>
      <c r="I499" s="3">
        <v>135.42171162920499</v>
      </c>
      <c r="J499" s="3">
        <v>3.2008154392242401</v>
      </c>
      <c r="K499" s="3">
        <v>0.95371675491332997</v>
      </c>
      <c r="L499" s="3">
        <f t="shared" si="7"/>
        <v>6</v>
      </c>
      <c r="M499">
        <f>VLOOKUP(A499,Sheet2!$B$2:$E$186,2,FALSE)</f>
        <v>83</v>
      </c>
      <c r="N499" t="s">
        <v>389</v>
      </c>
      <c r="O499" t="s">
        <v>406</v>
      </c>
      <c r="P499">
        <v>0</v>
      </c>
      <c r="Q499">
        <v>1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1</v>
      </c>
      <c r="AL499">
        <v>0</v>
      </c>
      <c r="AM499">
        <v>0</v>
      </c>
      <c r="AN499">
        <v>0</v>
      </c>
    </row>
    <row r="500" spans="1:40" x14ac:dyDescent="0.3">
      <c r="A500" t="s">
        <v>204</v>
      </c>
      <c r="B500" s="3">
        <v>2015</v>
      </c>
      <c r="C500" s="3">
        <v>293437.09375</v>
      </c>
      <c r="D500" s="3">
        <v>1050911.375</v>
      </c>
      <c r="E500" s="3">
        <v>3.9380347728729301</v>
      </c>
      <c r="F500" s="3">
        <v>0.778081595897675</v>
      </c>
      <c r="G500" s="3">
        <v>0.13337033987045299</v>
      </c>
      <c r="H500" s="3">
        <v>4.4398520141840002E-2</v>
      </c>
      <c r="I500" s="3">
        <v>3.88683333333333</v>
      </c>
      <c r="J500" s="3">
        <v>3.65411353111267</v>
      </c>
      <c r="K500" s="3">
        <v>0.93253439664840698</v>
      </c>
      <c r="L500" s="3">
        <f t="shared" si="7"/>
        <v>1</v>
      </c>
      <c r="M500">
        <f>VLOOKUP(A500,Sheet2!$B$2:$E$186,2,FALSE)</f>
        <v>84</v>
      </c>
      <c r="N500" t="s">
        <v>391</v>
      </c>
      <c r="O500" t="s">
        <v>392</v>
      </c>
      <c r="P500">
        <v>0</v>
      </c>
      <c r="Q500">
        <v>0</v>
      </c>
      <c r="R500">
        <v>1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1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</row>
    <row r="501" spans="1:40" x14ac:dyDescent="0.3">
      <c r="A501" t="s">
        <v>204</v>
      </c>
      <c r="B501" s="3">
        <v>2016</v>
      </c>
      <c r="C501" s="3">
        <v>306486.875</v>
      </c>
      <c r="D501" s="3">
        <v>1092544.625</v>
      </c>
      <c r="E501" s="3">
        <v>4.0628814697265598</v>
      </c>
      <c r="F501" s="3">
        <v>0.81001561880111705</v>
      </c>
      <c r="G501" s="3">
        <v>0.13218782842159299</v>
      </c>
      <c r="H501" s="3">
        <v>4.4209420680999797E-2</v>
      </c>
      <c r="I501" s="3">
        <v>3.8405666666666698</v>
      </c>
      <c r="J501" s="3">
        <v>3.6924405097961399</v>
      </c>
      <c r="K501" s="3">
        <v>0.94893610477447499</v>
      </c>
      <c r="L501" s="3">
        <f t="shared" si="7"/>
        <v>2</v>
      </c>
      <c r="M501">
        <f>VLOOKUP(A501,Sheet2!$B$2:$E$186,2,FALSE)</f>
        <v>84</v>
      </c>
      <c r="N501" t="s">
        <v>391</v>
      </c>
      <c r="O501" t="s">
        <v>392</v>
      </c>
      <c r="P501">
        <v>0</v>
      </c>
      <c r="Q501">
        <v>0</v>
      </c>
      <c r="R501">
        <v>1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1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</row>
    <row r="502" spans="1:40" x14ac:dyDescent="0.3">
      <c r="A502" t="s">
        <v>204</v>
      </c>
      <c r="B502" s="3">
        <v>2017</v>
      </c>
      <c r="C502" s="3">
        <v>319777.3125</v>
      </c>
      <c r="D502" s="3">
        <v>1134966.125</v>
      </c>
      <c r="E502" s="3">
        <v>4.18017530441284</v>
      </c>
      <c r="F502" s="3">
        <v>0.84255027770996105</v>
      </c>
      <c r="G502" s="3">
        <v>0.129358485341072</v>
      </c>
      <c r="H502" s="3">
        <v>4.4279016554355601E-2</v>
      </c>
      <c r="I502" s="3">
        <v>3.5995555481283401</v>
      </c>
      <c r="J502" s="3">
        <v>3.7316210269928001</v>
      </c>
      <c r="K502" s="3">
        <v>0.95229905843734697</v>
      </c>
      <c r="L502" s="3">
        <f t="shared" si="7"/>
        <v>3</v>
      </c>
      <c r="M502">
        <f>VLOOKUP(A502,Sheet2!$B$2:$E$186,2,FALSE)</f>
        <v>84</v>
      </c>
      <c r="N502" t="s">
        <v>391</v>
      </c>
      <c r="O502" t="s">
        <v>392</v>
      </c>
      <c r="P502">
        <v>0</v>
      </c>
      <c r="Q502">
        <v>0</v>
      </c>
      <c r="R502">
        <v>1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1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</row>
    <row r="503" spans="1:40" x14ac:dyDescent="0.3">
      <c r="A503" t="s">
        <v>204</v>
      </c>
      <c r="B503" s="3">
        <v>2018</v>
      </c>
      <c r="C503" s="3">
        <v>332777.1875</v>
      </c>
      <c r="D503" s="3">
        <v>1182616.5</v>
      </c>
      <c r="E503" s="3">
        <v>4.2781643867492702</v>
      </c>
      <c r="F503" s="3">
        <v>0.88146078586578402</v>
      </c>
      <c r="G503" s="3">
        <v>0.123449221253395</v>
      </c>
      <c r="H503" s="3">
        <v>4.4545281678438201E-2</v>
      </c>
      <c r="I503" s="3">
        <v>3.59055812689938</v>
      </c>
      <c r="J503" s="3">
        <v>3.77167916297913</v>
      </c>
      <c r="K503" s="3">
        <v>0.95872998237609897</v>
      </c>
      <c r="L503" s="3">
        <f t="shared" si="7"/>
        <v>4</v>
      </c>
      <c r="M503">
        <f>VLOOKUP(A503,Sheet2!$B$2:$E$186,2,FALSE)</f>
        <v>84</v>
      </c>
      <c r="N503" t="s">
        <v>391</v>
      </c>
      <c r="O503" t="s">
        <v>392</v>
      </c>
      <c r="P503">
        <v>0</v>
      </c>
      <c r="Q503">
        <v>0</v>
      </c>
      <c r="R503">
        <v>1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1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</row>
    <row r="504" spans="1:40" x14ac:dyDescent="0.3">
      <c r="A504" t="s">
        <v>204</v>
      </c>
      <c r="B504" s="3">
        <v>2019</v>
      </c>
      <c r="C504" s="3">
        <v>345390.15625</v>
      </c>
      <c r="D504" s="3">
        <v>1231660.125</v>
      </c>
      <c r="E504" s="3">
        <v>4.3458480834960902</v>
      </c>
      <c r="F504" s="3">
        <v>0.92082679271697998</v>
      </c>
      <c r="G504" s="3">
        <v>0.12757432460784901</v>
      </c>
      <c r="H504" s="3">
        <v>4.4990949332714102E-2</v>
      </c>
      <c r="I504" s="3">
        <v>3.5645273466109302</v>
      </c>
      <c r="J504" s="3">
        <v>3.8126389980316202</v>
      </c>
      <c r="K504" s="3">
        <v>0.96933490037918102</v>
      </c>
      <c r="L504" s="3">
        <f t="shared" si="7"/>
        <v>5</v>
      </c>
      <c r="M504">
        <f>VLOOKUP(A504,Sheet2!$B$2:$E$186,2,FALSE)</f>
        <v>84</v>
      </c>
      <c r="N504" t="s">
        <v>391</v>
      </c>
      <c r="O504" t="s">
        <v>392</v>
      </c>
      <c r="P504">
        <v>0</v>
      </c>
      <c r="Q504">
        <v>0</v>
      </c>
      <c r="R504">
        <v>1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1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</row>
    <row r="505" spans="1:40" x14ac:dyDescent="0.3">
      <c r="A505" t="s">
        <v>204</v>
      </c>
      <c r="B505" s="3">
        <v>2020</v>
      </c>
      <c r="C505" s="3">
        <v>340299.0625</v>
      </c>
      <c r="D505" s="3">
        <v>1275232.375</v>
      </c>
      <c r="E505" s="3">
        <v>4.3024430274963397</v>
      </c>
      <c r="F505" s="3">
        <v>0.95411497354507502</v>
      </c>
      <c r="G505" s="3">
        <v>0.12778918445110299</v>
      </c>
      <c r="H505" s="3">
        <v>4.5200329273939098E-2</v>
      </c>
      <c r="I505" s="3">
        <v>3.4424058519879202</v>
      </c>
      <c r="J505" s="3">
        <v>3.8545265197753902</v>
      </c>
      <c r="K505" s="3">
        <v>0.95950627326965299</v>
      </c>
      <c r="L505" s="3">
        <f t="shared" si="7"/>
        <v>6</v>
      </c>
      <c r="M505">
        <f>VLOOKUP(A505,Sheet2!$B$2:$E$186,2,FALSE)</f>
        <v>84</v>
      </c>
      <c r="N505" t="s">
        <v>391</v>
      </c>
      <c r="O505" t="s">
        <v>392</v>
      </c>
      <c r="P505">
        <v>0</v>
      </c>
      <c r="Q505">
        <v>0</v>
      </c>
      <c r="R505">
        <v>1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1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</row>
    <row r="506" spans="1:40" x14ac:dyDescent="0.3">
      <c r="A506" t="s">
        <v>206</v>
      </c>
      <c r="B506" s="3">
        <v>2015</v>
      </c>
      <c r="C506" s="3">
        <v>2756113.75</v>
      </c>
      <c r="D506" s="3">
        <v>18784350</v>
      </c>
      <c r="E506" s="3">
        <v>24.4325141906738</v>
      </c>
      <c r="F506" s="3">
        <v>0.94634670019149802</v>
      </c>
      <c r="G506" s="3">
        <v>7.4208855628967299E-2</v>
      </c>
      <c r="H506" s="3">
        <v>3.6526236683130299E-2</v>
      </c>
      <c r="I506" s="3">
        <v>0.90129642336709603</v>
      </c>
      <c r="J506" s="3">
        <v>3.08547067642212</v>
      </c>
      <c r="K506" s="3">
        <v>1.0120201110839799</v>
      </c>
      <c r="L506" s="3">
        <f t="shared" si="7"/>
        <v>1</v>
      </c>
      <c r="M506">
        <f>VLOOKUP(A506,Sheet2!$B$2:$E$186,2,FALSE)</f>
        <v>85</v>
      </c>
      <c r="N506" t="s">
        <v>389</v>
      </c>
      <c r="O506" t="s">
        <v>390</v>
      </c>
      <c r="P506">
        <v>0</v>
      </c>
      <c r="Q506">
        <v>1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</row>
    <row r="507" spans="1:40" x14ac:dyDescent="0.3">
      <c r="A507" t="s">
        <v>206</v>
      </c>
      <c r="B507" s="3">
        <v>2016</v>
      </c>
      <c r="C507" s="3">
        <v>2790185.5</v>
      </c>
      <c r="D507" s="3">
        <v>18867664</v>
      </c>
      <c r="E507" s="3">
        <v>24.789379119873001</v>
      </c>
      <c r="F507" s="3">
        <v>0.95279783010482799</v>
      </c>
      <c r="G507" s="3">
        <v>7.8341022133827196E-2</v>
      </c>
      <c r="H507" s="3">
        <v>3.6613456904888202E-2</v>
      </c>
      <c r="I507" s="3">
        <v>0.90342143625726301</v>
      </c>
      <c r="J507" s="3">
        <v>3.1035399436950701</v>
      </c>
      <c r="K507" s="3">
        <v>1.0129430294036901</v>
      </c>
      <c r="L507" s="3">
        <f t="shared" si="7"/>
        <v>2</v>
      </c>
      <c r="M507">
        <f>VLOOKUP(A507,Sheet2!$B$2:$E$186,2,FALSE)</f>
        <v>85</v>
      </c>
      <c r="N507" t="s">
        <v>389</v>
      </c>
      <c r="O507" t="s">
        <v>390</v>
      </c>
      <c r="P507">
        <v>0</v>
      </c>
      <c r="Q507">
        <v>1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</row>
    <row r="508" spans="1:40" x14ac:dyDescent="0.3">
      <c r="A508" t="s">
        <v>206</v>
      </c>
      <c r="B508" s="3">
        <v>2017</v>
      </c>
      <c r="C508" s="3">
        <v>2834931.5</v>
      </c>
      <c r="D508" s="3">
        <v>18969476</v>
      </c>
      <c r="E508" s="3">
        <v>25.091621398925799</v>
      </c>
      <c r="F508" s="3">
        <v>0.96094793081283603</v>
      </c>
      <c r="G508" s="3">
        <v>7.8582569956779494E-2</v>
      </c>
      <c r="H508" s="3">
        <v>3.6838568747043603E-2</v>
      </c>
      <c r="I508" s="3">
        <v>0.88520550826937205</v>
      </c>
      <c r="J508" s="3">
        <v>3.12171483039856</v>
      </c>
      <c r="K508" s="3">
        <v>1.01577413082123</v>
      </c>
      <c r="L508" s="3">
        <f t="shared" si="7"/>
        <v>3</v>
      </c>
      <c r="M508">
        <f>VLOOKUP(A508,Sheet2!$B$2:$E$186,2,FALSE)</f>
        <v>85</v>
      </c>
      <c r="N508" t="s">
        <v>389</v>
      </c>
      <c r="O508" t="s">
        <v>390</v>
      </c>
      <c r="P508">
        <v>0</v>
      </c>
      <c r="Q508">
        <v>1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</row>
    <row r="509" spans="1:40" x14ac:dyDescent="0.3">
      <c r="A509" t="s">
        <v>206</v>
      </c>
      <c r="B509" s="3">
        <v>2018</v>
      </c>
      <c r="C509" s="3">
        <v>2858366.5</v>
      </c>
      <c r="D509" s="3">
        <v>19090278</v>
      </c>
      <c r="E509" s="3">
        <v>25.351861953735401</v>
      </c>
      <c r="F509" s="3">
        <v>0.97052335739135698</v>
      </c>
      <c r="G509" s="3">
        <v>7.7627390623092707E-2</v>
      </c>
      <c r="H509" s="3">
        <v>3.7137493491172797E-2</v>
      </c>
      <c r="I509" s="3">
        <v>0.84677266710811105</v>
      </c>
      <c r="J509" s="3">
        <v>3.1399965286254901</v>
      </c>
      <c r="K509" s="3">
        <v>1.01282835006714</v>
      </c>
      <c r="L509" s="3">
        <f t="shared" si="7"/>
        <v>4</v>
      </c>
      <c r="M509">
        <f>VLOOKUP(A509,Sheet2!$B$2:$E$186,2,FALSE)</f>
        <v>85</v>
      </c>
      <c r="N509" t="s">
        <v>389</v>
      </c>
      <c r="O509" t="s">
        <v>390</v>
      </c>
      <c r="P509">
        <v>0</v>
      </c>
      <c r="Q509">
        <v>1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</row>
    <row r="510" spans="1:40" x14ac:dyDescent="0.3">
      <c r="A510" t="s">
        <v>206</v>
      </c>
      <c r="B510" s="3">
        <v>2019</v>
      </c>
      <c r="C510" s="3">
        <v>2870633.5</v>
      </c>
      <c r="D510" s="3">
        <v>19215658</v>
      </c>
      <c r="E510" s="3">
        <v>25.50856590271</v>
      </c>
      <c r="F510" s="3">
        <v>0.97990250587463401</v>
      </c>
      <c r="G510" s="3">
        <v>7.7139869332313496E-2</v>
      </c>
      <c r="H510" s="3">
        <v>3.7437248975038501E-2</v>
      </c>
      <c r="I510" s="3">
        <v>0.89327625706740899</v>
      </c>
      <c r="J510" s="3">
        <v>3.1583850383758501</v>
      </c>
      <c r="K510" s="3">
        <v>1.00219750404358</v>
      </c>
      <c r="L510" s="3">
        <f t="shared" si="7"/>
        <v>5</v>
      </c>
      <c r="M510">
        <f>VLOOKUP(A510,Sheet2!$B$2:$E$186,2,FALSE)</f>
        <v>85</v>
      </c>
      <c r="N510" t="s">
        <v>389</v>
      </c>
      <c r="O510" t="s">
        <v>390</v>
      </c>
      <c r="P510">
        <v>0</v>
      </c>
      <c r="Q510">
        <v>1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</row>
    <row r="511" spans="1:40" x14ac:dyDescent="0.3">
      <c r="A511" t="s">
        <v>206</v>
      </c>
      <c r="B511" s="3">
        <v>2020</v>
      </c>
      <c r="C511" s="3">
        <v>2616059.5</v>
      </c>
      <c r="D511" s="3">
        <v>19275626</v>
      </c>
      <c r="E511" s="3">
        <v>25.017623901367202</v>
      </c>
      <c r="F511" s="3">
        <v>0.98245304822921797</v>
      </c>
      <c r="G511" s="3">
        <v>6.8166717886924702E-2</v>
      </c>
      <c r="H511" s="3">
        <v>3.7516411393880802E-2</v>
      </c>
      <c r="I511" s="3">
        <v>0.87550639698799804</v>
      </c>
      <c r="J511" s="3">
        <v>3.1768813133239702</v>
      </c>
      <c r="K511" s="3">
        <v>0.97764009237289395</v>
      </c>
      <c r="L511" s="3">
        <f t="shared" si="7"/>
        <v>6</v>
      </c>
      <c r="M511">
        <f>VLOOKUP(A511,Sheet2!$B$2:$E$186,2,FALSE)</f>
        <v>85</v>
      </c>
      <c r="N511" t="s">
        <v>389</v>
      </c>
      <c r="O511" t="s">
        <v>390</v>
      </c>
      <c r="P511">
        <v>0</v>
      </c>
      <c r="Q511">
        <v>1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</row>
    <row r="512" spans="1:40" x14ac:dyDescent="0.3">
      <c r="A512" t="s">
        <v>207</v>
      </c>
      <c r="B512" s="3">
        <v>2015</v>
      </c>
      <c r="C512" s="3">
        <v>26484.3046875</v>
      </c>
      <c r="D512" s="3">
        <v>154583.21875</v>
      </c>
      <c r="E512" s="3">
        <v>1.1387749910354601</v>
      </c>
      <c r="F512" s="3">
        <v>0.97087973356247004</v>
      </c>
      <c r="G512" s="3">
        <v>4.3003816157579401E-2</v>
      </c>
      <c r="H512" s="3">
        <v>3.31709794700146E-2</v>
      </c>
      <c r="I512" s="3">
        <v>116.969776646049</v>
      </c>
      <c r="J512" s="3">
        <v>2.57875728607178</v>
      </c>
      <c r="K512" s="3">
        <v>1.0031985044479399</v>
      </c>
      <c r="L512" s="3">
        <f t="shared" si="7"/>
        <v>1</v>
      </c>
      <c r="M512">
        <f>VLOOKUP(A512,Sheet2!$B$2:$E$186,2,FALSE)</f>
        <v>86</v>
      </c>
      <c r="N512" t="s">
        <v>385</v>
      </c>
      <c r="O512" t="s">
        <v>386</v>
      </c>
      <c r="P512">
        <v>1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</row>
    <row r="513" spans="1:40" x14ac:dyDescent="0.3">
      <c r="A513" t="s">
        <v>207</v>
      </c>
      <c r="B513" s="3">
        <v>2016</v>
      </c>
      <c r="C513" s="3">
        <v>26848.541015625</v>
      </c>
      <c r="D513" s="3">
        <v>155684.6875</v>
      </c>
      <c r="E513" s="3">
        <v>1.1733139753341699</v>
      </c>
      <c r="F513" s="3">
        <v>0.97642338275909402</v>
      </c>
      <c r="G513" s="3">
        <v>4.2515862733125701E-2</v>
      </c>
      <c r="H513" s="3">
        <v>3.2895483076572397E-2</v>
      </c>
      <c r="I513" s="3">
        <v>125.095034603174</v>
      </c>
      <c r="J513" s="3">
        <v>2.5839388370513898</v>
      </c>
      <c r="K513" s="3">
        <v>0.97676271200180098</v>
      </c>
      <c r="L513" s="3">
        <f t="shared" si="7"/>
        <v>2</v>
      </c>
      <c r="M513">
        <f>VLOOKUP(A513,Sheet2!$B$2:$E$186,2,FALSE)</f>
        <v>86</v>
      </c>
      <c r="N513" t="s">
        <v>385</v>
      </c>
      <c r="O513" t="s">
        <v>386</v>
      </c>
      <c r="P513">
        <v>1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</row>
    <row r="514" spans="1:40" x14ac:dyDescent="0.3">
      <c r="A514" t="s">
        <v>207</v>
      </c>
      <c r="B514" s="3">
        <v>2017</v>
      </c>
      <c r="C514" s="3">
        <v>27116.234375</v>
      </c>
      <c r="D514" s="3">
        <v>157064.703125</v>
      </c>
      <c r="E514" s="3">
        <v>1.2029490470886199</v>
      </c>
      <c r="F514" s="3">
        <v>0.98531067371368397</v>
      </c>
      <c r="G514" s="3">
        <v>4.2199764400720603E-2</v>
      </c>
      <c r="H514" s="3">
        <v>3.2783124595880501E-2</v>
      </c>
      <c r="I514" s="3">
        <v>127.964544179198</v>
      </c>
      <c r="J514" s="3">
        <v>2.5891306400299099</v>
      </c>
      <c r="K514" s="3">
        <v>0.97577881813049305</v>
      </c>
      <c r="L514" s="3">
        <f t="shared" si="7"/>
        <v>3</v>
      </c>
      <c r="M514">
        <f>VLOOKUP(A514,Sheet2!$B$2:$E$186,2,FALSE)</f>
        <v>86</v>
      </c>
      <c r="N514" t="s">
        <v>385</v>
      </c>
      <c r="O514" t="s">
        <v>386</v>
      </c>
      <c r="P514">
        <v>1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</row>
    <row r="515" spans="1:40" x14ac:dyDescent="0.3">
      <c r="A515" t="s">
        <v>207</v>
      </c>
      <c r="B515" s="3">
        <v>2018</v>
      </c>
      <c r="C515" s="3">
        <v>27628.712890625</v>
      </c>
      <c r="D515" s="3">
        <v>158793</v>
      </c>
      <c r="E515" s="3">
        <v>1.21505403518677</v>
      </c>
      <c r="F515" s="3">
        <v>0.99646842479705799</v>
      </c>
      <c r="G515" s="3">
        <v>4.270363971591E-2</v>
      </c>
      <c r="H515" s="3">
        <v>3.2743845134973498E-2</v>
      </c>
      <c r="I515" s="3">
        <v>128.87151906465999</v>
      </c>
      <c r="J515" s="3">
        <v>2.5943331718444802</v>
      </c>
      <c r="K515" s="3">
        <v>0.97720551490783703</v>
      </c>
      <c r="L515" s="3">
        <f t="shared" ref="L515:L578" si="8">B515-2014</f>
        <v>4</v>
      </c>
      <c r="M515">
        <f>VLOOKUP(A515,Sheet2!$B$2:$E$186,2,FALSE)</f>
        <v>86</v>
      </c>
      <c r="N515" t="s">
        <v>385</v>
      </c>
      <c r="O515" t="s">
        <v>386</v>
      </c>
      <c r="P515">
        <v>1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</row>
    <row r="516" spans="1:40" x14ac:dyDescent="0.3">
      <c r="A516" t="s">
        <v>207</v>
      </c>
      <c r="B516" s="3">
        <v>2019</v>
      </c>
      <c r="C516" s="3">
        <v>27875.26171875</v>
      </c>
      <c r="D516" s="3">
        <v>160614.875</v>
      </c>
      <c r="E516" s="3">
        <v>1.2447600364685101</v>
      </c>
      <c r="F516" s="3">
        <v>1.00784659385681</v>
      </c>
      <c r="G516" s="3">
        <v>3.8805875927209903E-2</v>
      </c>
      <c r="H516" s="3">
        <v>3.2718870788812603E-2</v>
      </c>
      <c r="I516" s="3">
        <v>133.31211833795999</v>
      </c>
      <c r="J516" s="3">
        <v>2.5995459556579599</v>
      </c>
      <c r="K516" s="3">
        <v>0.96924555301666304</v>
      </c>
      <c r="L516" s="3">
        <f t="shared" si="8"/>
        <v>5</v>
      </c>
      <c r="M516">
        <f>VLOOKUP(A516,Sheet2!$B$2:$E$186,2,FALSE)</f>
        <v>86</v>
      </c>
      <c r="N516" t="s">
        <v>385</v>
      </c>
      <c r="O516" t="s">
        <v>386</v>
      </c>
      <c r="P516">
        <v>1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</row>
    <row r="517" spans="1:40" x14ac:dyDescent="0.3">
      <c r="A517" t="s">
        <v>207</v>
      </c>
      <c r="B517" s="3">
        <v>2020</v>
      </c>
      <c r="C517" s="3">
        <v>25109.9375</v>
      </c>
      <c r="D517" s="3">
        <v>161318.484375</v>
      </c>
      <c r="E517" s="3">
        <v>1.18052995204926</v>
      </c>
      <c r="F517" s="3">
        <v>1.0019109249114999</v>
      </c>
      <c r="G517" s="3">
        <v>4.2827434837818097E-2</v>
      </c>
      <c r="H517" s="3">
        <v>3.2315477728843703E-2</v>
      </c>
      <c r="I517" s="3">
        <v>142.402832756013</v>
      </c>
      <c r="J517" s="3">
        <v>2.60476922988892</v>
      </c>
      <c r="K517" s="3">
        <v>0.97939020395278897</v>
      </c>
      <c r="L517" s="3">
        <f t="shared" si="8"/>
        <v>6</v>
      </c>
      <c r="M517">
        <f>VLOOKUP(A517,Sheet2!$B$2:$E$186,2,FALSE)</f>
        <v>86</v>
      </c>
      <c r="N517" t="s">
        <v>385</v>
      </c>
      <c r="O517" t="s">
        <v>386</v>
      </c>
      <c r="P517">
        <v>1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</row>
    <row r="518" spans="1:40" x14ac:dyDescent="0.3">
      <c r="A518" t="s">
        <v>209</v>
      </c>
      <c r="B518" s="3">
        <v>2015</v>
      </c>
      <c r="C518" s="3">
        <v>97496.2890625</v>
      </c>
      <c r="D518" s="3">
        <v>617571.3125</v>
      </c>
      <c r="E518" s="3">
        <v>2.0451815128326398</v>
      </c>
      <c r="F518" s="3">
        <v>0.89948314428329501</v>
      </c>
      <c r="G518" s="3">
        <v>0.12596325576305401</v>
      </c>
      <c r="H518" s="3">
        <v>3.1630586832761799E-2</v>
      </c>
      <c r="I518" s="3">
        <v>0.71</v>
      </c>
      <c r="J518" s="3">
        <v>2.84727835655212</v>
      </c>
      <c r="K518" s="3">
        <v>1.0364241600036601</v>
      </c>
      <c r="L518" s="3">
        <f t="shared" si="8"/>
        <v>1</v>
      </c>
      <c r="M518">
        <f>VLOOKUP(A518,Sheet2!$B$2:$E$186,2,FALSE)</f>
        <v>87</v>
      </c>
      <c r="N518" t="s">
        <v>391</v>
      </c>
      <c r="O518" t="s">
        <v>392</v>
      </c>
      <c r="P518">
        <v>0</v>
      </c>
      <c r="Q518">
        <v>0</v>
      </c>
      <c r="R518">
        <v>1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1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</row>
    <row r="519" spans="1:40" x14ac:dyDescent="0.3">
      <c r="A519" t="s">
        <v>209</v>
      </c>
      <c r="B519" s="3">
        <v>2016</v>
      </c>
      <c r="C519" s="3">
        <v>99440.6015625</v>
      </c>
      <c r="D519" s="3">
        <v>637118.1875</v>
      </c>
      <c r="E519" s="3">
        <v>2.1948711872100799</v>
      </c>
      <c r="F519" s="3">
        <v>0.92188590764999401</v>
      </c>
      <c r="G519" s="3">
        <v>0.121723301708698</v>
      </c>
      <c r="H519" s="3">
        <v>3.0573591589927701E-2</v>
      </c>
      <c r="I519" s="3">
        <v>0.71</v>
      </c>
      <c r="J519" s="3">
        <v>2.8609070777893102</v>
      </c>
      <c r="K519" s="3">
        <v>0.991288602352142</v>
      </c>
      <c r="L519" s="3">
        <f t="shared" si="8"/>
        <v>2</v>
      </c>
      <c r="M519">
        <f>VLOOKUP(A519,Sheet2!$B$2:$E$186,2,FALSE)</f>
        <v>87</v>
      </c>
      <c r="N519" t="s">
        <v>391</v>
      </c>
      <c r="O519" t="s">
        <v>392</v>
      </c>
      <c r="P519">
        <v>0</v>
      </c>
      <c r="Q519">
        <v>0</v>
      </c>
      <c r="R519">
        <v>1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1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</row>
    <row r="520" spans="1:40" x14ac:dyDescent="0.3">
      <c r="A520" t="s">
        <v>209</v>
      </c>
      <c r="B520" s="3">
        <v>2017</v>
      </c>
      <c r="C520" s="3">
        <v>101900.3046875</v>
      </c>
      <c r="D520" s="3">
        <v>653646.1875</v>
      </c>
      <c r="E520" s="3">
        <v>2.2582945823669398</v>
      </c>
      <c r="F520" s="3">
        <v>0.93991816043853804</v>
      </c>
      <c r="G520" s="3">
        <v>0.10704782605171199</v>
      </c>
      <c r="H520" s="3">
        <v>2.9627703130245198E-2</v>
      </c>
      <c r="I520" s="3">
        <v>0.71</v>
      </c>
      <c r="J520" s="3">
        <v>2.87460112571716</v>
      </c>
      <c r="K520" s="3">
        <v>1.00479853153229</v>
      </c>
      <c r="L520" s="3">
        <f t="shared" si="8"/>
        <v>3</v>
      </c>
      <c r="M520">
        <f>VLOOKUP(A520,Sheet2!$B$2:$E$186,2,FALSE)</f>
        <v>87</v>
      </c>
      <c r="N520" t="s">
        <v>391</v>
      </c>
      <c r="O520" t="s">
        <v>392</v>
      </c>
      <c r="P520">
        <v>0</v>
      </c>
      <c r="Q520">
        <v>0</v>
      </c>
      <c r="R520">
        <v>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1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</row>
    <row r="521" spans="1:40" x14ac:dyDescent="0.3">
      <c r="A521" t="s">
        <v>209</v>
      </c>
      <c r="B521" s="3">
        <v>2018</v>
      </c>
      <c r="C521" s="3">
        <v>103855.8671875</v>
      </c>
      <c r="D521" s="3">
        <v>667936.375</v>
      </c>
      <c r="E521" s="3">
        <v>2.2619979381561302</v>
      </c>
      <c r="F521" s="3">
        <v>0.95383667945861805</v>
      </c>
      <c r="G521" s="3">
        <v>9.5308572053909302E-2</v>
      </c>
      <c r="H521" s="3">
        <v>2.8715327382087701E-2</v>
      </c>
      <c r="I521" s="3">
        <v>0.71</v>
      </c>
      <c r="J521" s="3">
        <v>2.8883605003356898</v>
      </c>
      <c r="K521" s="3">
        <v>1.00965905189514</v>
      </c>
      <c r="L521" s="3">
        <f t="shared" si="8"/>
        <v>4</v>
      </c>
      <c r="M521">
        <f>VLOOKUP(A521,Sheet2!$B$2:$E$186,2,FALSE)</f>
        <v>87</v>
      </c>
      <c r="N521" t="s">
        <v>391</v>
      </c>
      <c r="O521" t="s">
        <v>392</v>
      </c>
      <c r="P521">
        <v>0</v>
      </c>
      <c r="Q521">
        <v>0</v>
      </c>
      <c r="R521">
        <v>1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1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</row>
    <row r="522" spans="1:40" x14ac:dyDescent="0.3">
      <c r="A522" t="s">
        <v>209</v>
      </c>
      <c r="B522" s="3">
        <v>2019</v>
      </c>
      <c r="C522" s="3">
        <v>105674.84375</v>
      </c>
      <c r="D522" s="3">
        <v>684315.375</v>
      </c>
      <c r="E522" s="3">
        <v>2.3671028614044198</v>
      </c>
      <c r="F522" s="3">
        <v>0.971232950687408</v>
      </c>
      <c r="G522" s="3">
        <v>0.114796012639999</v>
      </c>
      <c r="H522" s="3">
        <v>2.7830855920910801E-2</v>
      </c>
      <c r="I522" s="3">
        <v>0.71</v>
      </c>
      <c r="J522" s="3">
        <v>2.9021859169006299</v>
      </c>
      <c r="K522" s="3">
        <v>0.95474600791931197</v>
      </c>
      <c r="L522" s="3">
        <f t="shared" si="8"/>
        <v>5</v>
      </c>
      <c r="M522">
        <f>VLOOKUP(A522,Sheet2!$B$2:$E$186,2,FALSE)</f>
        <v>87</v>
      </c>
      <c r="N522" t="s">
        <v>391</v>
      </c>
      <c r="O522" t="s">
        <v>392</v>
      </c>
      <c r="P522">
        <v>0</v>
      </c>
      <c r="Q522">
        <v>0</v>
      </c>
      <c r="R522">
        <v>1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1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</row>
    <row r="523" spans="1:40" x14ac:dyDescent="0.3">
      <c r="A523" t="s">
        <v>209</v>
      </c>
      <c r="B523" s="3">
        <v>2020</v>
      </c>
      <c r="C523" s="3">
        <v>104509.3828125</v>
      </c>
      <c r="D523" s="3">
        <v>697223.25</v>
      </c>
      <c r="E523" s="3">
        <v>2.4073643684387198</v>
      </c>
      <c r="F523" s="3">
        <v>0.98420745134353604</v>
      </c>
      <c r="G523" s="3">
        <v>9.5868021249771104E-2</v>
      </c>
      <c r="H523" s="3">
        <v>2.7040911838412299E-2</v>
      </c>
      <c r="I523" s="3">
        <v>0.71</v>
      </c>
      <c r="J523" s="3">
        <v>2.91607737541199</v>
      </c>
      <c r="K523" s="3">
        <v>0.93712198734283503</v>
      </c>
      <c r="L523" s="3">
        <f t="shared" si="8"/>
        <v>6</v>
      </c>
      <c r="M523">
        <f>VLOOKUP(A523,Sheet2!$B$2:$E$186,2,FALSE)</f>
        <v>87</v>
      </c>
      <c r="N523" t="s">
        <v>391</v>
      </c>
      <c r="O523" t="s">
        <v>392</v>
      </c>
      <c r="P523">
        <v>0</v>
      </c>
      <c r="Q523">
        <v>0</v>
      </c>
      <c r="R523">
        <v>1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1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</row>
    <row r="524" spans="1:40" x14ac:dyDescent="0.3">
      <c r="A524" t="s">
        <v>211</v>
      </c>
      <c r="B524" s="3">
        <v>2015</v>
      </c>
      <c r="C524" s="3">
        <v>5329660</v>
      </c>
      <c r="D524" s="3">
        <v>28550418</v>
      </c>
      <c r="E524" s="3">
        <v>64.163879394531307</v>
      </c>
      <c r="F524" s="3">
        <v>0.94355458021163896</v>
      </c>
      <c r="G524" s="3">
        <v>5.0075944513082497E-2</v>
      </c>
      <c r="H524" s="3">
        <v>4.0183711796998998E-2</v>
      </c>
      <c r="I524" s="3">
        <v>121.044025684011</v>
      </c>
      <c r="J524" s="3">
        <v>3.55069923400879</v>
      </c>
      <c r="K524" s="3">
        <v>1.02612769603729</v>
      </c>
      <c r="L524" s="3">
        <f t="shared" si="8"/>
        <v>1</v>
      </c>
      <c r="M524">
        <f>VLOOKUP(A524,Sheet2!$B$2:$E$186,2,FALSE)</f>
        <v>88</v>
      </c>
      <c r="N524" t="s">
        <v>391</v>
      </c>
      <c r="O524" t="s">
        <v>405</v>
      </c>
      <c r="P524">
        <v>0</v>
      </c>
      <c r="Q524">
        <v>0</v>
      </c>
      <c r="R524">
        <v>1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1</v>
      </c>
      <c r="AK524">
        <v>0</v>
      </c>
      <c r="AL524">
        <v>0</v>
      </c>
      <c r="AM524">
        <v>0</v>
      </c>
      <c r="AN524">
        <v>0</v>
      </c>
    </row>
    <row r="525" spans="1:40" x14ac:dyDescent="0.3">
      <c r="A525" t="s">
        <v>211</v>
      </c>
      <c r="B525" s="3">
        <v>2016</v>
      </c>
      <c r="C525" s="3">
        <v>5369836.5</v>
      </c>
      <c r="D525" s="3">
        <v>28752612</v>
      </c>
      <c r="E525" s="3">
        <v>64.826492309570298</v>
      </c>
      <c r="F525" s="3">
        <v>0.952803134918213</v>
      </c>
      <c r="G525" s="3">
        <v>4.98348213732243E-2</v>
      </c>
      <c r="H525" s="3">
        <v>4.0366701781749698E-2</v>
      </c>
      <c r="I525" s="3">
        <v>108.79290004683401</v>
      </c>
      <c r="J525" s="3">
        <v>3.5614721775054901</v>
      </c>
      <c r="K525" s="3">
        <v>1.0189528465271001</v>
      </c>
      <c r="L525" s="3">
        <f t="shared" si="8"/>
        <v>2</v>
      </c>
      <c r="M525">
        <f>VLOOKUP(A525,Sheet2!$B$2:$E$186,2,FALSE)</f>
        <v>88</v>
      </c>
      <c r="N525" t="s">
        <v>391</v>
      </c>
      <c r="O525" t="s">
        <v>405</v>
      </c>
      <c r="P525">
        <v>0</v>
      </c>
      <c r="Q525">
        <v>0</v>
      </c>
      <c r="R525">
        <v>1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1</v>
      </c>
      <c r="AK525">
        <v>0</v>
      </c>
      <c r="AL525">
        <v>0</v>
      </c>
      <c r="AM525">
        <v>0</v>
      </c>
      <c r="AN525">
        <v>0</v>
      </c>
    </row>
    <row r="526" spans="1:40" x14ac:dyDescent="0.3">
      <c r="A526" t="s">
        <v>211</v>
      </c>
      <c r="B526" s="3">
        <v>2017</v>
      </c>
      <c r="C526" s="3">
        <v>5459799</v>
      </c>
      <c r="D526" s="3">
        <v>28970244</v>
      </c>
      <c r="E526" s="3">
        <v>65.484268188476605</v>
      </c>
      <c r="F526" s="3">
        <v>0.963126420974731</v>
      </c>
      <c r="G526" s="3">
        <v>4.9504239112138797E-2</v>
      </c>
      <c r="H526" s="3">
        <v>4.05171029269695E-2</v>
      </c>
      <c r="I526" s="3">
        <v>112.166141081871</v>
      </c>
      <c r="J526" s="3">
        <v>3.5722777843475302</v>
      </c>
      <c r="K526" s="3">
        <v>1.0181325674057</v>
      </c>
      <c r="L526" s="3">
        <f t="shared" si="8"/>
        <v>3</v>
      </c>
      <c r="M526">
        <f>VLOOKUP(A526,Sheet2!$B$2:$E$186,2,FALSE)</f>
        <v>88</v>
      </c>
      <c r="N526" t="s">
        <v>391</v>
      </c>
      <c r="O526" t="s">
        <v>405</v>
      </c>
      <c r="P526">
        <v>0</v>
      </c>
      <c r="Q526">
        <v>0</v>
      </c>
      <c r="R526">
        <v>1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1</v>
      </c>
      <c r="AK526">
        <v>0</v>
      </c>
      <c r="AL526">
        <v>0</v>
      </c>
      <c r="AM526">
        <v>0</v>
      </c>
      <c r="AN526">
        <v>0</v>
      </c>
    </row>
    <row r="527" spans="1:40" x14ac:dyDescent="0.3">
      <c r="A527" t="s">
        <v>211</v>
      </c>
      <c r="B527" s="3">
        <v>2018</v>
      </c>
      <c r="C527" s="3">
        <v>5494927.5</v>
      </c>
      <c r="D527" s="3">
        <v>29188046</v>
      </c>
      <c r="E527" s="3">
        <v>66.583480834960895</v>
      </c>
      <c r="F527" s="3">
        <v>0.97405982017517101</v>
      </c>
      <c r="G527" s="3">
        <v>4.59783636033535E-2</v>
      </c>
      <c r="H527" s="3">
        <v>4.0715347975492498E-2</v>
      </c>
      <c r="I527" s="3">
        <v>110.42317934106001</v>
      </c>
      <c r="J527" s="3">
        <v>3.5831160545349099</v>
      </c>
      <c r="K527" s="3">
        <v>1.0150363445282</v>
      </c>
      <c r="L527" s="3">
        <f t="shared" si="8"/>
        <v>4</v>
      </c>
      <c r="M527">
        <f>VLOOKUP(A527,Sheet2!$B$2:$E$186,2,FALSE)</f>
        <v>88</v>
      </c>
      <c r="N527" t="s">
        <v>391</v>
      </c>
      <c r="O527" t="s">
        <v>405</v>
      </c>
      <c r="P527">
        <v>0</v>
      </c>
      <c r="Q527">
        <v>0</v>
      </c>
      <c r="R527">
        <v>1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1</v>
      </c>
      <c r="AK527">
        <v>0</v>
      </c>
      <c r="AL527">
        <v>0</v>
      </c>
      <c r="AM527">
        <v>0</v>
      </c>
      <c r="AN527">
        <v>0</v>
      </c>
    </row>
    <row r="528" spans="1:40" x14ac:dyDescent="0.3">
      <c r="A528" t="s">
        <v>211</v>
      </c>
      <c r="B528" s="3">
        <v>2019</v>
      </c>
      <c r="C528" s="3">
        <v>5472828</v>
      </c>
      <c r="D528" s="3">
        <v>29401234</v>
      </c>
      <c r="E528" s="3">
        <v>67.227310180664105</v>
      </c>
      <c r="F528" s="3">
        <v>0.98511356115341198</v>
      </c>
      <c r="G528" s="3">
        <v>4.2569644749164602E-2</v>
      </c>
      <c r="H528" s="3">
        <v>4.0942057967186002E-2</v>
      </c>
      <c r="I528" s="3">
        <v>109.009665900863</v>
      </c>
      <c r="J528" s="3">
        <v>3.5939872264862101</v>
      </c>
      <c r="K528" s="3">
        <v>1.01571440696716</v>
      </c>
      <c r="L528" s="3">
        <f t="shared" si="8"/>
        <v>5</v>
      </c>
      <c r="M528">
        <f>VLOOKUP(A528,Sheet2!$B$2:$E$186,2,FALSE)</f>
        <v>88</v>
      </c>
      <c r="N528" t="s">
        <v>391</v>
      </c>
      <c r="O528" t="s">
        <v>405</v>
      </c>
      <c r="P528">
        <v>0</v>
      </c>
      <c r="Q528">
        <v>0</v>
      </c>
      <c r="R528">
        <v>1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1</v>
      </c>
      <c r="AK528">
        <v>0</v>
      </c>
      <c r="AL528">
        <v>0</v>
      </c>
      <c r="AM528">
        <v>0</v>
      </c>
      <c r="AN528">
        <v>0</v>
      </c>
    </row>
    <row r="529" spans="1:40" x14ac:dyDescent="0.3">
      <c r="A529" t="s">
        <v>211</v>
      </c>
      <c r="B529" s="3">
        <v>2020</v>
      </c>
      <c r="C529" s="3">
        <v>5245863.5</v>
      </c>
      <c r="D529" s="3">
        <v>29553106</v>
      </c>
      <c r="E529" s="3">
        <v>66.784759521484403</v>
      </c>
      <c r="F529" s="3">
        <v>0.99195122718811002</v>
      </c>
      <c r="G529" s="3">
        <v>3.67210730910301E-2</v>
      </c>
      <c r="H529" s="3">
        <v>4.1088663041591603E-2</v>
      </c>
      <c r="I529" s="3">
        <v>106.77458226243699</v>
      </c>
      <c r="J529" s="3">
        <v>3.60489130020142</v>
      </c>
      <c r="K529" s="3">
        <v>0.99551177024841297</v>
      </c>
      <c r="L529" s="3">
        <f t="shared" si="8"/>
        <v>6</v>
      </c>
      <c r="M529">
        <f>VLOOKUP(A529,Sheet2!$B$2:$E$186,2,FALSE)</f>
        <v>88</v>
      </c>
      <c r="N529" t="s">
        <v>391</v>
      </c>
      <c r="O529" t="s">
        <v>405</v>
      </c>
      <c r="P529">
        <v>0</v>
      </c>
      <c r="Q529">
        <v>0</v>
      </c>
      <c r="R529">
        <v>1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1</v>
      </c>
      <c r="AK529">
        <v>0</v>
      </c>
      <c r="AL529">
        <v>0</v>
      </c>
      <c r="AM529">
        <v>0</v>
      </c>
      <c r="AN529">
        <v>0</v>
      </c>
    </row>
    <row r="530" spans="1:40" x14ac:dyDescent="0.3">
      <c r="A530" t="s">
        <v>213</v>
      </c>
      <c r="B530" s="3">
        <v>2015</v>
      </c>
      <c r="C530" s="3">
        <v>527771.875</v>
      </c>
      <c r="D530" s="3">
        <v>1682147.125</v>
      </c>
      <c r="E530" s="3">
        <v>8.6219453811645508</v>
      </c>
      <c r="F530" s="3">
        <v>0.77326446771621704</v>
      </c>
      <c r="G530" s="3">
        <v>0.108939044177532</v>
      </c>
      <c r="H530" s="3">
        <v>5.5278673768043497E-2</v>
      </c>
      <c r="I530" s="3">
        <v>221.72833333333301</v>
      </c>
      <c r="J530" s="3">
        <v>3.42026591300964</v>
      </c>
      <c r="K530" s="3">
        <v>0.96139657497405995</v>
      </c>
      <c r="L530" s="3">
        <f t="shared" si="8"/>
        <v>1</v>
      </c>
      <c r="M530">
        <f>VLOOKUP(A530,Sheet2!$B$2:$E$186,2,FALSE)</f>
        <v>89</v>
      </c>
      <c r="N530" t="s">
        <v>391</v>
      </c>
      <c r="O530" t="s">
        <v>409</v>
      </c>
      <c r="P530">
        <v>0</v>
      </c>
      <c r="Q530">
        <v>0</v>
      </c>
      <c r="R530">
        <v>1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</row>
    <row r="531" spans="1:40" x14ac:dyDescent="0.3">
      <c r="A531" t="s">
        <v>213</v>
      </c>
      <c r="B531" s="3">
        <v>2016</v>
      </c>
      <c r="C531" s="3">
        <v>533540.5</v>
      </c>
      <c r="D531" s="3">
        <v>1739030.375</v>
      </c>
      <c r="E531" s="3">
        <v>8.5895929336547905</v>
      </c>
      <c r="F531" s="3">
        <v>0.804945409297943</v>
      </c>
      <c r="G531" s="3">
        <v>0.12190995365381201</v>
      </c>
      <c r="H531" s="3">
        <v>5.6361127644777298E-2</v>
      </c>
      <c r="I531" s="3">
        <v>342.16</v>
      </c>
      <c r="J531" s="3">
        <v>3.4371211528778098</v>
      </c>
      <c r="K531" s="3">
        <v>0.95410168170928999</v>
      </c>
      <c r="L531" s="3">
        <f t="shared" si="8"/>
        <v>2</v>
      </c>
      <c r="M531">
        <f>VLOOKUP(A531,Sheet2!$B$2:$E$186,2,FALSE)</f>
        <v>89</v>
      </c>
      <c r="N531" t="s">
        <v>391</v>
      </c>
      <c r="O531" t="s">
        <v>409</v>
      </c>
      <c r="P531">
        <v>0</v>
      </c>
      <c r="Q531">
        <v>0</v>
      </c>
      <c r="R531">
        <v>1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</row>
    <row r="532" spans="1:40" x14ac:dyDescent="0.3">
      <c r="A532" t="s">
        <v>213</v>
      </c>
      <c r="B532" s="3">
        <v>2017</v>
      </c>
      <c r="C532" s="3">
        <v>569967.875</v>
      </c>
      <c r="D532" s="3">
        <v>1798112.875</v>
      </c>
      <c r="E532" s="3">
        <v>8.6434841156005895</v>
      </c>
      <c r="F532" s="3">
        <v>0.83850526809692405</v>
      </c>
      <c r="G532" s="3">
        <v>0.133141174912453</v>
      </c>
      <c r="H532" s="3">
        <v>5.7471796870231601E-2</v>
      </c>
      <c r="I532" s="3">
        <v>326.00102272727298</v>
      </c>
      <c r="J532" s="3">
        <v>3.4540591239929199</v>
      </c>
      <c r="K532" s="3">
        <v>0.96311587095260598</v>
      </c>
      <c r="L532" s="3">
        <f t="shared" si="8"/>
        <v>3</v>
      </c>
      <c r="M532">
        <f>VLOOKUP(A532,Sheet2!$B$2:$E$186,2,FALSE)</f>
        <v>89</v>
      </c>
      <c r="N532" t="s">
        <v>391</v>
      </c>
      <c r="O532" t="s">
        <v>409</v>
      </c>
      <c r="P532">
        <v>0</v>
      </c>
      <c r="Q532">
        <v>0</v>
      </c>
      <c r="R532">
        <v>1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</row>
    <row r="533" spans="1:40" x14ac:dyDescent="0.3">
      <c r="A533" t="s">
        <v>213</v>
      </c>
      <c r="B533" s="3">
        <v>2018</v>
      </c>
      <c r="C533" s="3">
        <v>593343.4375</v>
      </c>
      <c r="D533" s="3">
        <v>1859920</v>
      </c>
      <c r="E533" s="3">
        <v>8.7993946075439506</v>
      </c>
      <c r="F533" s="3">
        <v>0.87426340579986594</v>
      </c>
      <c r="G533" s="3">
        <v>0.140150710940361</v>
      </c>
      <c r="H533" s="3">
        <v>5.8759555220603901E-2</v>
      </c>
      <c r="I533" s="3">
        <v>344.70583333333298</v>
      </c>
      <c r="J533" s="3">
        <v>3.4710807800293</v>
      </c>
      <c r="K533" s="3">
        <v>0.95627802610397294</v>
      </c>
      <c r="L533" s="3">
        <f t="shared" si="8"/>
        <v>4</v>
      </c>
      <c r="M533">
        <f>VLOOKUP(A533,Sheet2!$B$2:$E$186,2,FALSE)</f>
        <v>89</v>
      </c>
      <c r="N533" t="s">
        <v>391</v>
      </c>
      <c r="O533" t="s">
        <v>409</v>
      </c>
      <c r="P533">
        <v>0</v>
      </c>
      <c r="Q533">
        <v>0</v>
      </c>
      <c r="R533">
        <v>1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</row>
    <row r="534" spans="1:40" x14ac:dyDescent="0.3">
      <c r="A534" t="s">
        <v>213</v>
      </c>
      <c r="B534" s="3">
        <v>2019</v>
      </c>
      <c r="C534" s="3">
        <v>620301.625</v>
      </c>
      <c r="D534" s="3">
        <v>1938910.875</v>
      </c>
      <c r="E534" s="3">
        <v>8.9200372695922905</v>
      </c>
      <c r="F534" s="3">
        <v>0.92008811235427901</v>
      </c>
      <c r="G534" s="3">
        <v>0.13380728662013999</v>
      </c>
      <c r="H534" s="3">
        <v>6.0335569083690602E-2</v>
      </c>
      <c r="I534" s="3">
        <v>382.74731060606098</v>
      </c>
      <c r="J534" s="3">
        <v>3.4547932147979701</v>
      </c>
      <c r="K534" s="3">
        <v>1.0051512718200699</v>
      </c>
      <c r="L534" s="3">
        <f t="shared" si="8"/>
        <v>5</v>
      </c>
      <c r="M534">
        <f>VLOOKUP(A534,Sheet2!$B$2:$E$186,2,FALSE)</f>
        <v>89</v>
      </c>
      <c r="N534" t="s">
        <v>391</v>
      </c>
      <c r="O534" t="s">
        <v>409</v>
      </c>
      <c r="P534">
        <v>0</v>
      </c>
      <c r="Q534">
        <v>0</v>
      </c>
      <c r="R534">
        <v>1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</row>
    <row r="535" spans="1:40" x14ac:dyDescent="0.3">
      <c r="A535" t="s">
        <v>213</v>
      </c>
      <c r="B535" s="3">
        <v>2020</v>
      </c>
      <c r="C535" s="3">
        <v>604782.125</v>
      </c>
      <c r="D535" s="3">
        <v>2010398.75</v>
      </c>
      <c r="E535" s="3">
        <v>8.9251508712768608</v>
      </c>
      <c r="F535" s="3">
        <v>0.96093034744262695</v>
      </c>
      <c r="G535" s="3">
        <v>0.116407856345177</v>
      </c>
      <c r="H535" s="3">
        <v>6.1851106584072099E-2</v>
      </c>
      <c r="I535" s="3">
        <v>412.95333333333298</v>
      </c>
      <c r="J535" s="3">
        <v>3.4386718273162802</v>
      </c>
      <c r="K535" s="3">
        <v>1.00893306732178</v>
      </c>
      <c r="L535" s="3">
        <f t="shared" si="8"/>
        <v>6</v>
      </c>
      <c r="M535">
        <f>VLOOKUP(A535,Sheet2!$B$2:$E$186,2,FALSE)</f>
        <v>89</v>
      </c>
      <c r="N535" t="s">
        <v>391</v>
      </c>
      <c r="O535" t="s">
        <v>409</v>
      </c>
      <c r="P535">
        <v>0</v>
      </c>
      <c r="Q535">
        <v>0</v>
      </c>
      <c r="R535">
        <v>1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</row>
    <row r="536" spans="1:40" x14ac:dyDescent="0.3">
      <c r="A536" t="s">
        <v>215</v>
      </c>
      <c r="B536" s="3">
        <v>2015</v>
      </c>
      <c r="C536" s="3">
        <v>220755.609375</v>
      </c>
      <c r="D536" s="3">
        <v>473164.375</v>
      </c>
      <c r="E536" s="3">
        <v>18.1200656890869</v>
      </c>
      <c r="F536" s="3">
        <v>0.734522104263306</v>
      </c>
      <c r="G536" s="3">
        <v>0.188008472323418</v>
      </c>
      <c r="H536" s="3">
        <v>6.02319277822971E-2</v>
      </c>
      <c r="I536" s="3">
        <v>98.178453326527105</v>
      </c>
      <c r="J536" s="3">
        <v>2.2645633220672599</v>
      </c>
      <c r="K536" s="3">
        <v>0.95893573760986295</v>
      </c>
      <c r="L536" s="3">
        <f t="shared" si="8"/>
        <v>1</v>
      </c>
      <c r="M536">
        <f>VLOOKUP(A536,Sheet2!$B$2:$E$186,2,FALSE)</f>
        <v>90</v>
      </c>
      <c r="N536" t="s">
        <v>387</v>
      </c>
      <c r="O536" t="s">
        <v>397</v>
      </c>
      <c r="P536">
        <v>0</v>
      </c>
      <c r="Q536">
        <v>0</v>
      </c>
      <c r="R536">
        <v>0</v>
      </c>
      <c r="S536">
        <v>1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1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</row>
    <row r="537" spans="1:40" x14ac:dyDescent="0.3">
      <c r="A537" t="s">
        <v>215</v>
      </c>
      <c r="B537" s="3">
        <v>2016</v>
      </c>
      <c r="C537" s="3">
        <v>230136.421875</v>
      </c>
      <c r="D537" s="3">
        <v>499061.5625</v>
      </c>
      <c r="E537" s="3">
        <v>18.397727966308601</v>
      </c>
      <c r="F537" s="3">
        <v>0.77279847860336304</v>
      </c>
      <c r="G537" s="3">
        <v>0.20144534111022999</v>
      </c>
      <c r="H537" s="3">
        <v>5.95284290611744E-2</v>
      </c>
      <c r="I537" s="3">
        <v>101.504369498594</v>
      </c>
      <c r="J537" s="3">
        <v>2.2848258018493701</v>
      </c>
      <c r="K537" s="3">
        <v>0.95096820592880305</v>
      </c>
      <c r="L537" s="3">
        <f t="shared" si="8"/>
        <v>2</v>
      </c>
      <c r="M537">
        <f>VLOOKUP(A537,Sheet2!$B$2:$E$186,2,FALSE)</f>
        <v>90</v>
      </c>
      <c r="N537" t="s">
        <v>387</v>
      </c>
      <c r="O537" t="s">
        <v>397</v>
      </c>
      <c r="P537">
        <v>0</v>
      </c>
      <c r="Q537">
        <v>0</v>
      </c>
      <c r="R537">
        <v>0</v>
      </c>
      <c r="S537">
        <v>1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1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</row>
    <row r="538" spans="1:40" x14ac:dyDescent="0.3">
      <c r="A538" t="s">
        <v>215</v>
      </c>
      <c r="B538" s="3">
        <v>2017</v>
      </c>
      <c r="C538" s="3">
        <v>238917.296875</v>
      </c>
      <c r="D538" s="3">
        <v>528467.4375</v>
      </c>
      <c r="E538" s="3">
        <v>18.556083679199201</v>
      </c>
      <c r="F538" s="3">
        <v>0.81914985179901101</v>
      </c>
      <c r="G538" s="3">
        <v>0.19598862528801</v>
      </c>
      <c r="H538" s="3">
        <v>5.8103758841752999E-2</v>
      </c>
      <c r="I538" s="3">
        <v>103.410004519014</v>
      </c>
      <c r="J538" s="3">
        <v>2.30526947975159</v>
      </c>
      <c r="K538" s="3">
        <v>0.97587656974792503</v>
      </c>
      <c r="L538" s="3">
        <f t="shared" si="8"/>
        <v>3</v>
      </c>
      <c r="M538">
        <f>VLOOKUP(A538,Sheet2!$B$2:$E$186,2,FALSE)</f>
        <v>90</v>
      </c>
      <c r="N538" t="s">
        <v>387</v>
      </c>
      <c r="O538" t="s">
        <v>397</v>
      </c>
      <c r="P538">
        <v>0</v>
      </c>
      <c r="Q538">
        <v>0</v>
      </c>
      <c r="R538">
        <v>0</v>
      </c>
      <c r="S538">
        <v>1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1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</row>
    <row r="539" spans="1:40" x14ac:dyDescent="0.3">
      <c r="A539" t="s">
        <v>215</v>
      </c>
      <c r="B539" s="3">
        <v>2018</v>
      </c>
      <c r="C539" s="3">
        <v>252366.1875</v>
      </c>
      <c r="D539" s="3">
        <v>555863.4375</v>
      </c>
      <c r="E539" s="3">
        <v>18.566526412963899</v>
      </c>
      <c r="F539" s="3">
        <v>0.85882467031478904</v>
      </c>
      <c r="G539" s="3">
        <v>0.196806460618973</v>
      </c>
      <c r="H539" s="3">
        <v>5.6486532092094401E-2</v>
      </c>
      <c r="I539" s="3">
        <v>101.301574049018</v>
      </c>
      <c r="J539" s="3">
        <v>2.3258960247039799</v>
      </c>
      <c r="K539" s="3">
        <v>0.98543238639831499</v>
      </c>
      <c r="L539" s="3">
        <f t="shared" si="8"/>
        <v>4</v>
      </c>
      <c r="M539">
        <f>VLOOKUP(A539,Sheet2!$B$2:$E$186,2,FALSE)</f>
        <v>90</v>
      </c>
      <c r="N539" t="s">
        <v>387</v>
      </c>
      <c r="O539" t="s">
        <v>397</v>
      </c>
      <c r="P539">
        <v>0</v>
      </c>
      <c r="Q539">
        <v>0</v>
      </c>
      <c r="R539">
        <v>0</v>
      </c>
      <c r="S539">
        <v>1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1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</row>
    <row r="540" spans="1:40" x14ac:dyDescent="0.3">
      <c r="A540" t="s">
        <v>215</v>
      </c>
      <c r="B540" s="3">
        <v>2019</v>
      </c>
      <c r="C540" s="3">
        <v>265377.3125</v>
      </c>
      <c r="D540" s="3">
        <v>585632.6875</v>
      </c>
      <c r="E540" s="3">
        <v>18.341201782226602</v>
      </c>
      <c r="F540" s="3">
        <v>0.90158689022064198</v>
      </c>
      <c r="G540" s="3">
        <v>0.19587998092174499</v>
      </c>
      <c r="H540" s="3">
        <v>5.5016055703163202E-2</v>
      </c>
      <c r="I540" s="3">
        <v>101.99129838935001</v>
      </c>
      <c r="J540" s="3">
        <v>2.3467073440551798</v>
      </c>
      <c r="K540" s="3">
        <v>1.0157083272934</v>
      </c>
      <c r="L540" s="3">
        <f t="shared" si="8"/>
        <v>5</v>
      </c>
      <c r="M540">
        <f>VLOOKUP(A540,Sheet2!$B$2:$E$186,2,FALSE)</f>
        <v>90</v>
      </c>
      <c r="N540" t="s">
        <v>387</v>
      </c>
      <c r="O540" t="s">
        <v>397</v>
      </c>
      <c r="P540">
        <v>0</v>
      </c>
      <c r="Q540">
        <v>0</v>
      </c>
      <c r="R540">
        <v>0</v>
      </c>
      <c r="S540">
        <v>1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1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</row>
    <row r="541" spans="1:40" x14ac:dyDescent="0.3">
      <c r="A541" t="s">
        <v>215</v>
      </c>
      <c r="B541" s="3">
        <v>2020</v>
      </c>
      <c r="C541" s="3">
        <v>264653.46875</v>
      </c>
      <c r="D541" s="3">
        <v>616052.375</v>
      </c>
      <c r="E541" s="3">
        <v>18.579250335693398</v>
      </c>
      <c r="F541" s="3">
        <v>0.945956230163574</v>
      </c>
      <c r="G541" s="3">
        <v>0.18708649277687101</v>
      </c>
      <c r="H541" s="3">
        <v>5.3891003131866497E-2</v>
      </c>
      <c r="I541" s="3">
        <v>106.45078015851701</v>
      </c>
      <c r="J541" s="3">
        <v>2.36770462989807</v>
      </c>
      <c r="K541" s="3">
        <v>1.0002772808075</v>
      </c>
      <c r="L541" s="3">
        <f t="shared" si="8"/>
        <v>6</v>
      </c>
      <c r="M541">
        <f>VLOOKUP(A541,Sheet2!$B$2:$E$186,2,FALSE)</f>
        <v>90</v>
      </c>
      <c r="N541" t="s">
        <v>387</v>
      </c>
      <c r="O541" t="s">
        <v>397</v>
      </c>
      <c r="P541">
        <v>0</v>
      </c>
      <c r="Q541">
        <v>0</v>
      </c>
      <c r="R541">
        <v>0</v>
      </c>
      <c r="S541">
        <v>1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1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</row>
    <row r="542" spans="1:40" x14ac:dyDescent="0.3">
      <c r="A542" t="s">
        <v>217</v>
      </c>
      <c r="B542" s="3">
        <v>2015</v>
      </c>
      <c r="C542" s="3">
        <v>38599.58984375</v>
      </c>
      <c r="D542" s="3">
        <v>150734.78125</v>
      </c>
      <c r="E542" s="3">
        <v>2.5494627952575701</v>
      </c>
      <c r="F542" s="3">
        <v>0.73770809173583995</v>
      </c>
      <c r="G542" s="3">
        <v>9.5318183302879306E-2</v>
      </c>
      <c r="H542" s="3">
        <v>3.8878772407770198E-2</v>
      </c>
      <c r="I542" s="3">
        <v>64.462108272529406</v>
      </c>
      <c r="J542" s="3">
        <v>3.2668638229370099</v>
      </c>
      <c r="K542" s="3">
        <v>1.0222133398055999</v>
      </c>
      <c r="L542" s="3">
        <f t="shared" si="8"/>
        <v>1</v>
      </c>
      <c r="M542">
        <f>VLOOKUP(A542,Sheet2!$B$2:$E$186,2,FALSE)</f>
        <v>91</v>
      </c>
      <c r="N542" t="s">
        <v>391</v>
      </c>
      <c r="O542" t="s">
        <v>409</v>
      </c>
      <c r="P542">
        <v>0</v>
      </c>
      <c r="Q542">
        <v>0</v>
      </c>
      <c r="R542">
        <v>1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</row>
    <row r="543" spans="1:40" x14ac:dyDescent="0.3">
      <c r="A543" t="s">
        <v>217</v>
      </c>
      <c r="B543" s="3">
        <v>2016</v>
      </c>
      <c r="C543" s="3">
        <v>40717.5234375</v>
      </c>
      <c r="D543" s="3">
        <v>159139.078125</v>
      </c>
      <c r="E543" s="3">
        <v>2.5795371532440199</v>
      </c>
      <c r="F543" s="3">
        <v>0.77649432420730602</v>
      </c>
      <c r="G543" s="3">
        <v>9.7811423242092105E-2</v>
      </c>
      <c r="H543" s="3">
        <v>3.8399327546358102E-2</v>
      </c>
      <c r="I543" s="3">
        <v>69.914065825299701</v>
      </c>
      <c r="J543" s="3">
        <v>3.2893168926239</v>
      </c>
      <c r="K543" s="3">
        <v>1.0277298688888601</v>
      </c>
      <c r="L543" s="3">
        <f t="shared" si="8"/>
        <v>2</v>
      </c>
      <c r="M543">
        <f>VLOOKUP(A543,Sheet2!$B$2:$E$186,2,FALSE)</f>
        <v>91</v>
      </c>
      <c r="N543" t="s">
        <v>391</v>
      </c>
      <c r="O543" t="s">
        <v>409</v>
      </c>
      <c r="P543">
        <v>0</v>
      </c>
      <c r="Q543">
        <v>0</v>
      </c>
      <c r="R543">
        <v>1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</row>
    <row r="544" spans="1:40" x14ac:dyDescent="0.3">
      <c r="A544" t="s">
        <v>217</v>
      </c>
      <c r="B544" s="3">
        <v>2017</v>
      </c>
      <c r="C544" s="3">
        <v>43118.00390625</v>
      </c>
      <c r="D544" s="3">
        <v>168665.34375</v>
      </c>
      <c r="E544" s="3">
        <v>2.5845422744750999</v>
      </c>
      <c r="F544" s="3">
        <v>0.81865054368972801</v>
      </c>
      <c r="G544" s="3">
        <v>0.11457494646310799</v>
      </c>
      <c r="H544" s="3">
        <v>3.7635460495948798E-2</v>
      </c>
      <c r="I544" s="3">
        <v>68.866667859063</v>
      </c>
      <c r="J544" s="3">
        <v>3.3119244575500502</v>
      </c>
      <c r="K544" s="3">
        <v>1.0488528013229399</v>
      </c>
      <c r="L544" s="3">
        <f t="shared" si="8"/>
        <v>3</v>
      </c>
      <c r="M544">
        <f>VLOOKUP(A544,Sheet2!$B$2:$E$186,2,FALSE)</f>
        <v>91</v>
      </c>
      <c r="N544" t="s">
        <v>391</v>
      </c>
      <c r="O544" t="s">
        <v>409</v>
      </c>
      <c r="P544">
        <v>0</v>
      </c>
      <c r="Q544">
        <v>0</v>
      </c>
      <c r="R544">
        <v>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</row>
    <row r="545" spans="1:47" x14ac:dyDescent="0.3">
      <c r="A545" t="s">
        <v>217</v>
      </c>
      <c r="B545" s="3">
        <v>2018</v>
      </c>
      <c r="C545" s="3">
        <v>45231.90625</v>
      </c>
      <c r="D545" s="3">
        <v>179041.453125</v>
      </c>
      <c r="E545" s="3">
        <v>2.6423974037170401</v>
      </c>
      <c r="F545" s="3">
        <v>0.86950761079788197</v>
      </c>
      <c r="G545" s="3">
        <v>0.11830259859561899</v>
      </c>
      <c r="H545" s="3">
        <v>3.7157353013753898E-2</v>
      </c>
      <c r="I545" s="3">
        <v>68.840320327700994</v>
      </c>
      <c r="J545" s="3">
        <v>3.3346872329711901</v>
      </c>
      <c r="K545" s="3">
        <v>1.0748554468154901</v>
      </c>
      <c r="L545" s="3">
        <f t="shared" si="8"/>
        <v>4</v>
      </c>
      <c r="M545">
        <f>VLOOKUP(A545,Sheet2!$B$2:$E$186,2,FALSE)</f>
        <v>91</v>
      </c>
      <c r="N545" t="s">
        <v>391</v>
      </c>
      <c r="O545" t="s">
        <v>409</v>
      </c>
      <c r="P545">
        <v>0</v>
      </c>
      <c r="Q545">
        <v>0</v>
      </c>
      <c r="R545">
        <v>1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</row>
    <row r="546" spans="1:47" x14ac:dyDescent="0.3">
      <c r="A546" t="s">
        <v>217</v>
      </c>
      <c r="B546" s="3">
        <v>2019</v>
      </c>
      <c r="C546" s="3">
        <v>47834.828125</v>
      </c>
      <c r="D546" s="3">
        <v>190348.09375</v>
      </c>
      <c r="E546" s="3">
        <v>2.7476160526275599</v>
      </c>
      <c r="F546" s="3">
        <v>0.92518907785415705</v>
      </c>
      <c r="G546" s="3">
        <v>0.13104836642742199</v>
      </c>
      <c r="H546" s="3">
        <v>3.7092447280883803E-2</v>
      </c>
      <c r="I546" s="3">
        <v>69.789349180747607</v>
      </c>
      <c r="J546" s="3">
        <v>3.378662109375</v>
      </c>
      <c r="K546" s="3">
        <v>1.04417359828949</v>
      </c>
      <c r="L546" s="3">
        <f t="shared" si="8"/>
        <v>5</v>
      </c>
      <c r="M546">
        <f>VLOOKUP(A546,Sheet2!$B$2:$E$186,2,FALSE)</f>
        <v>91</v>
      </c>
      <c r="N546" t="s">
        <v>391</v>
      </c>
      <c r="O546" t="s">
        <v>409</v>
      </c>
      <c r="P546">
        <v>0</v>
      </c>
      <c r="Q546">
        <v>0</v>
      </c>
      <c r="R546">
        <v>1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</row>
    <row r="547" spans="1:47" x14ac:dyDescent="0.3">
      <c r="A547" t="s">
        <v>217</v>
      </c>
      <c r="B547" s="3">
        <v>2020</v>
      </c>
      <c r="C547" s="3">
        <v>44415.12890625</v>
      </c>
      <c r="D547" s="3">
        <v>198414.765625</v>
      </c>
      <c r="E547" s="3">
        <v>2.7949483394622798</v>
      </c>
      <c r="F547" s="3">
        <v>0.95841443538665805</v>
      </c>
      <c r="G547" s="3">
        <v>0.11497929692268399</v>
      </c>
      <c r="H547" s="3">
        <v>3.6519054323434802E-2</v>
      </c>
      <c r="I547" s="3">
        <v>77.346112703930302</v>
      </c>
      <c r="J547" s="3">
        <v>3.4239437580108598</v>
      </c>
      <c r="K547" s="3">
        <v>0.93299895524978604</v>
      </c>
      <c r="L547" s="3">
        <f t="shared" si="8"/>
        <v>6</v>
      </c>
      <c r="M547">
        <f>VLOOKUP(A547,Sheet2!$B$2:$E$186,2,FALSE)</f>
        <v>91</v>
      </c>
      <c r="N547" t="s">
        <v>391</v>
      </c>
      <c r="O547" t="s">
        <v>409</v>
      </c>
      <c r="P547">
        <v>0</v>
      </c>
      <c r="Q547">
        <v>0</v>
      </c>
      <c r="R547">
        <v>1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</row>
    <row r="548" spans="1:47" s="2" customFormat="1" x14ac:dyDescent="0.3">
      <c r="A548" t="s">
        <v>219</v>
      </c>
      <c r="B548" s="3">
        <v>2015</v>
      </c>
      <c r="C548" s="3">
        <v>74879.3515625</v>
      </c>
      <c r="D548" s="3">
        <v>230710.359375</v>
      </c>
      <c r="E548" s="3">
        <v>7.70906639099121</v>
      </c>
      <c r="F548" s="3"/>
      <c r="G548" s="3"/>
      <c r="H548" s="3">
        <v>4.0362294763326603E-2</v>
      </c>
      <c r="I548" s="3">
        <v>4067.75</v>
      </c>
      <c r="J548" s="3">
        <v>1.68224096298218</v>
      </c>
      <c r="K548" s="3"/>
      <c r="L548" s="3">
        <f t="shared" si="8"/>
        <v>1</v>
      </c>
      <c r="M548">
        <f>VLOOKUP(A548,Sheet2!$B$2:$E$186,2,FALSE)</f>
        <v>92</v>
      </c>
      <c r="N548" t="s">
        <v>391</v>
      </c>
      <c r="O548" t="s">
        <v>403</v>
      </c>
      <c r="P548">
        <v>0</v>
      </c>
      <c r="Q548">
        <v>0</v>
      </c>
      <c r="R548">
        <v>1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/>
      <c r="AP548"/>
      <c r="AQ548"/>
      <c r="AR548"/>
      <c r="AS548"/>
      <c r="AT548"/>
      <c r="AU548"/>
    </row>
    <row r="549" spans="1:47" s="2" customFormat="1" x14ac:dyDescent="0.3">
      <c r="A549" t="s">
        <v>219</v>
      </c>
      <c r="B549" s="3">
        <v>2016</v>
      </c>
      <c r="C549" s="3">
        <v>80798.9453125</v>
      </c>
      <c r="D549" s="3">
        <v>258702.3125</v>
      </c>
      <c r="E549" s="3">
        <v>7.7511157989501998</v>
      </c>
      <c r="F549" s="3"/>
      <c r="G549" s="3"/>
      <c r="H549" s="3">
        <v>4.0522444993257502E-2</v>
      </c>
      <c r="I549" s="3">
        <v>4058.6945788530502</v>
      </c>
      <c r="J549" s="3">
        <v>1.74049484729767</v>
      </c>
      <c r="K549" s="3"/>
      <c r="L549" s="3">
        <f t="shared" si="8"/>
        <v>2</v>
      </c>
      <c r="M549">
        <f>VLOOKUP(A549,Sheet2!$B$2:$E$186,2,FALSE)</f>
        <v>92</v>
      </c>
      <c r="N549" t="s">
        <v>391</v>
      </c>
      <c r="O549" t="s">
        <v>403</v>
      </c>
      <c r="P549">
        <v>0</v>
      </c>
      <c r="Q549">
        <v>0</v>
      </c>
      <c r="R549">
        <v>1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/>
      <c r="AP549"/>
      <c r="AQ549"/>
      <c r="AR549"/>
      <c r="AS549"/>
      <c r="AT549"/>
      <c r="AU549"/>
    </row>
    <row r="550" spans="1:47" s="2" customFormat="1" x14ac:dyDescent="0.3">
      <c r="A550" t="s">
        <v>219</v>
      </c>
      <c r="B550" s="3">
        <v>2017</v>
      </c>
      <c r="C550" s="3">
        <v>87323.4921875</v>
      </c>
      <c r="D550" s="3">
        <v>288732.53125</v>
      </c>
      <c r="E550" s="3">
        <v>8.2462873458862305</v>
      </c>
      <c r="F550" s="3"/>
      <c r="G550" s="3"/>
      <c r="H550" s="3">
        <v>4.0646269917488098E-2</v>
      </c>
      <c r="I550" s="3">
        <v>4050.5799859191002</v>
      </c>
      <c r="J550" s="3">
        <v>1.79374051094055</v>
      </c>
      <c r="K550" s="3"/>
      <c r="L550" s="3">
        <f t="shared" si="8"/>
        <v>3</v>
      </c>
      <c r="M550">
        <f>VLOOKUP(A550,Sheet2!$B$2:$E$186,2,FALSE)</f>
        <v>92</v>
      </c>
      <c r="N550" t="s">
        <v>391</v>
      </c>
      <c r="O550" t="s">
        <v>403</v>
      </c>
      <c r="P550">
        <v>0</v>
      </c>
      <c r="Q550">
        <v>0</v>
      </c>
      <c r="R550">
        <v>1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/>
      <c r="AP550"/>
      <c r="AQ550"/>
      <c r="AR550"/>
      <c r="AS550"/>
      <c r="AT550"/>
      <c r="AU550"/>
    </row>
    <row r="551" spans="1:47" s="2" customFormat="1" x14ac:dyDescent="0.3">
      <c r="A551" t="s">
        <v>219</v>
      </c>
      <c r="B551" s="3">
        <v>2018</v>
      </c>
      <c r="C551" s="3">
        <v>94987.1953125</v>
      </c>
      <c r="D551" s="3">
        <v>324742.90625</v>
      </c>
      <c r="E551" s="3">
        <v>8.6381397247314506</v>
      </c>
      <c r="F551" s="3"/>
      <c r="G551" s="3"/>
      <c r="H551" s="3">
        <v>4.0800936520099598E-2</v>
      </c>
      <c r="I551" s="3">
        <v>4051.1669002816202</v>
      </c>
      <c r="J551" s="3">
        <v>1.84861493110657</v>
      </c>
      <c r="K551" s="3"/>
      <c r="L551" s="3">
        <f t="shared" si="8"/>
        <v>4</v>
      </c>
      <c r="M551">
        <f>VLOOKUP(A551,Sheet2!$B$2:$E$186,2,FALSE)</f>
        <v>92</v>
      </c>
      <c r="N551" t="s">
        <v>391</v>
      </c>
      <c r="O551" t="s">
        <v>403</v>
      </c>
      <c r="P551">
        <v>0</v>
      </c>
      <c r="Q551">
        <v>0</v>
      </c>
      <c r="R551">
        <v>1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/>
      <c r="AP551"/>
      <c r="AQ551"/>
      <c r="AR551"/>
      <c r="AS551"/>
      <c r="AT551"/>
      <c r="AU551"/>
    </row>
    <row r="552" spans="1:47" s="2" customFormat="1" x14ac:dyDescent="0.3">
      <c r="A552" t="s">
        <v>219</v>
      </c>
      <c r="B552" s="3">
        <v>2019</v>
      </c>
      <c r="C552" s="3">
        <v>102526.2734375</v>
      </c>
      <c r="D552" s="3">
        <v>366338.78125</v>
      </c>
      <c r="E552" s="3">
        <v>8.6726408004760707</v>
      </c>
      <c r="F552" s="3"/>
      <c r="G552" s="3"/>
      <c r="H552" s="3">
        <v>4.11625169217587E-2</v>
      </c>
      <c r="I552" s="3">
        <v>4061.1489631336399</v>
      </c>
      <c r="J552" s="3">
        <v>1.90516817569733</v>
      </c>
      <c r="K552" s="3"/>
      <c r="L552" s="3">
        <f t="shared" si="8"/>
        <v>5</v>
      </c>
      <c r="M552">
        <f>VLOOKUP(A552,Sheet2!$B$2:$E$186,2,FALSE)</f>
        <v>92</v>
      </c>
      <c r="N552" t="s">
        <v>391</v>
      </c>
      <c r="O552" t="s">
        <v>403</v>
      </c>
      <c r="P552">
        <v>0</v>
      </c>
      <c r="Q552">
        <v>0</v>
      </c>
      <c r="R552">
        <v>1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/>
      <c r="AP552"/>
      <c r="AQ552"/>
      <c r="AR552"/>
      <c r="AS552"/>
      <c r="AT552"/>
      <c r="AU552"/>
    </row>
    <row r="553" spans="1:47" s="2" customFormat="1" x14ac:dyDescent="0.3">
      <c r="A553" t="s">
        <v>219</v>
      </c>
      <c r="B553" s="3">
        <v>2020</v>
      </c>
      <c r="C553" s="3">
        <v>98880.734375</v>
      </c>
      <c r="D553" s="3">
        <v>405119.96875</v>
      </c>
      <c r="E553" s="3">
        <v>8.7247571945190394</v>
      </c>
      <c r="F553" s="3"/>
      <c r="G553" s="3"/>
      <c r="H553" s="3">
        <v>4.1629973798990298E-2</v>
      </c>
      <c r="I553" s="3">
        <v>4092.7832190087802</v>
      </c>
      <c r="J553" s="3">
        <v>1.9461768865585301</v>
      </c>
      <c r="K553" s="3"/>
      <c r="L553" s="3">
        <f t="shared" si="8"/>
        <v>6</v>
      </c>
      <c r="M553">
        <f>VLOOKUP(A553,Sheet2!$B$2:$E$186,2,FALSE)</f>
        <v>92</v>
      </c>
      <c r="N553" t="s">
        <v>391</v>
      </c>
      <c r="O553" t="s">
        <v>403</v>
      </c>
      <c r="P553">
        <v>0</v>
      </c>
      <c r="Q553">
        <v>0</v>
      </c>
      <c r="R553">
        <v>1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/>
      <c r="AP553"/>
      <c r="AQ553"/>
      <c r="AR553"/>
      <c r="AS553"/>
      <c r="AT553"/>
      <c r="AU553"/>
    </row>
    <row r="554" spans="1:47" s="2" customFormat="1" x14ac:dyDescent="0.3">
      <c r="A554" t="s">
        <v>221</v>
      </c>
      <c r="B554" s="3">
        <v>2015</v>
      </c>
      <c r="C554" s="3">
        <v>1133.11474609375</v>
      </c>
      <c r="D554" s="3">
        <v>10749.7734375</v>
      </c>
      <c r="E554" s="3"/>
      <c r="F554" s="3"/>
      <c r="G554" s="3"/>
      <c r="H554" s="3">
        <v>2.55694463849068E-2</v>
      </c>
      <c r="I554" s="3">
        <v>2.7</v>
      </c>
      <c r="J554" s="3"/>
      <c r="K554" s="3"/>
      <c r="L554" s="3">
        <f t="shared" si="8"/>
        <v>1</v>
      </c>
      <c r="M554">
        <f>VLOOKUP(A554,Sheet2!$B$2:$E$186,2,FALSE)</f>
        <v>93</v>
      </c>
      <c r="N554" t="s">
        <v>385</v>
      </c>
      <c r="O554" t="s">
        <v>386</v>
      </c>
      <c r="P554">
        <v>1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/>
      <c r="AP554"/>
      <c r="AQ554"/>
      <c r="AR554"/>
      <c r="AS554"/>
      <c r="AT554"/>
      <c r="AU554"/>
    </row>
    <row r="555" spans="1:47" s="2" customFormat="1" x14ac:dyDescent="0.3">
      <c r="A555" t="s">
        <v>221</v>
      </c>
      <c r="B555" s="3">
        <v>2016</v>
      </c>
      <c r="C555" s="3">
        <v>1177.67687988281</v>
      </c>
      <c r="D555" s="3">
        <v>11067.306640625</v>
      </c>
      <c r="E555" s="3"/>
      <c r="F555" s="3"/>
      <c r="G555" s="3"/>
      <c r="H555" s="3">
        <v>2.55626272410154E-2</v>
      </c>
      <c r="I555" s="3">
        <v>2.7</v>
      </c>
      <c r="J555" s="3"/>
      <c r="K555" s="3"/>
      <c r="L555" s="3">
        <f t="shared" si="8"/>
        <v>2</v>
      </c>
      <c r="M555">
        <f>VLOOKUP(A555,Sheet2!$B$2:$E$186,2,FALSE)</f>
        <v>93</v>
      </c>
      <c r="N555" t="s">
        <v>385</v>
      </c>
      <c r="O555" t="s">
        <v>386</v>
      </c>
      <c r="P555">
        <v>1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/>
      <c r="AP555"/>
      <c r="AQ555"/>
      <c r="AR555"/>
      <c r="AS555"/>
      <c r="AT555"/>
      <c r="AU555"/>
    </row>
    <row r="556" spans="1:47" s="2" customFormat="1" x14ac:dyDescent="0.3">
      <c r="A556" t="s">
        <v>221</v>
      </c>
      <c r="B556" s="3">
        <v>2017</v>
      </c>
      <c r="C556" s="3">
        <v>1180.27880859375</v>
      </c>
      <c r="D556" s="3">
        <v>11359.212890625</v>
      </c>
      <c r="E556" s="3"/>
      <c r="F556" s="3"/>
      <c r="G556" s="3"/>
      <c r="H556" s="3">
        <v>2.55547799170017E-2</v>
      </c>
      <c r="I556" s="3">
        <v>2.7</v>
      </c>
      <c r="J556" s="3"/>
      <c r="K556" s="3"/>
      <c r="L556" s="3">
        <f t="shared" si="8"/>
        <v>3</v>
      </c>
      <c r="M556">
        <f>VLOOKUP(A556,Sheet2!$B$2:$E$186,2,FALSE)</f>
        <v>93</v>
      </c>
      <c r="N556" t="s">
        <v>385</v>
      </c>
      <c r="O556" t="s">
        <v>386</v>
      </c>
      <c r="P556">
        <v>1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/>
      <c r="AP556"/>
      <c r="AQ556"/>
      <c r="AR556"/>
      <c r="AS556"/>
      <c r="AT556"/>
      <c r="AU556"/>
    </row>
    <row r="557" spans="1:47" s="2" customFormat="1" x14ac:dyDescent="0.3">
      <c r="A557" t="s">
        <v>221</v>
      </c>
      <c r="B557" s="3">
        <v>2018</v>
      </c>
      <c r="C557" s="3">
        <v>1203.92602539063</v>
      </c>
      <c r="D557" s="3">
        <v>11718.0478515625</v>
      </c>
      <c r="E557" s="3"/>
      <c r="F557" s="3"/>
      <c r="G557" s="3"/>
      <c r="H557" s="3">
        <v>2.63216122984886E-2</v>
      </c>
      <c r="I557" s="3">
        <v>2.7</v>
      </c>
      <c r="J557" s="3"/>
      <c r="K557" s="3"/>
      <c r="L557" s="3">
        <f t="shared" si="8"/>
        <v>4</v>
      </c>
      <c r="M557">
        <f>VLOOKUP(A557,Sheet2!$B$2:$E$186,2,FALSE)</f>
        <v>93</v>
      </c>
      <c r="N557" t="s">
        <v>385</v>
      </c>
      <c r="O557" t="s">
        <v>386</v>
      </c>
      <c r="P557">
        <v>1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/>
      <c r="AP557"/>
      <c r="AQ557"/>
      <c r="AR557"/>
      <c r="AS557"/>
      <c r="AT557"/>
      <c r="AU557"/>
    </row>
    <row r="558" spans="1:47" s="2" customFormat="1" x14ac:dyDescent="0.3">
      <c r="A558" t="s">
        <v>221</v>
      </c>
      <c r="B558" s="3">
        <v>2019</v>
      </c>
      <c r="C558" s="3">
        <v>1238.01232910156</v>
      </c>
      <c r="D558" s="3">
        <v>12027.1533203125</v>
      </c>
      <c r="E558" s="3"/>
      <c r="F558" s="3"/>
      <c r="G558" s="3"/>
      <c r="H558" s="3">
        <v>2.7977030724286998E-2</v>
      </c>
      <c r="I558" s="3">
        <v>2.7</v>
      </c>
      <c r="J558" s="3"/>
      <c r="K558" s="3"/>
      <c r="L558" s="3">
        <f t="shared" si="8"/>
        <v>5</v>
      </c>
      <c r="M558">
        <f>VLOOKUP(A558,Sheet2!$B$2:$E$186,2,FALSE)</f>
        <v>93</v>
      </c>
      <c r="N558" t="s">
        <v>385</v>
      </c>
      <c r="O558" t="s">
        <v>386</v>
      </c>
      <c r="P558">
        <v>1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/>
      <c r="AP558"/>
      <c r="AQ558"/>
      <c r="AR558"/>
      <c r="AS558"/>
      <c r="AT558"/>
      <c r="AU558"/>
    </row>
    <row r="559" spans="1:47" s="2" customFormat="1" x14ac:dyDescent="0.3">
      <c r="A559" t="s">
        <v>221</v>
      </c>
      <c r="B559" s="3">
        <v>2020</v>
      </c>
      <c r="C559" s="3">
        <v>1047.92236328125</v>
      </c>
      <c r="D559" s="3">
        <v>12204.3134765625</v>
      </c>
      <c r="E559" s="3"/>
      <c r="F559" s="3"/>
      <c r="G559" s="3"/>
      <c r="H559" s="3">
        <v>2.94876806437969E-2</v>
      </c>
      <c r="I559" s="3">
        <v>2.7</v>
      </c>
      <c r="J559" s="3"/>
      <c r="K559" s="3"/>
      <c r="L559" s="3">
        <f t="shared" si="8"/>
        <v>6</v>
      </c>
      <c r="M559">
        <f>VLOOKUP(A559,Sheet2!$B$2:$E$186,2,FALSE)</f>
        <v>93</v>
      </c>
      <c r="N559" t="s">
        <v>385</v>
      </c>
      <c r="O559" t="s">
        <v>386</v>
      </c>
      <c r="P559">
        <v>1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/>
      <c r="AP559"/>
      <c r="AQ559"/>
      <c r="AR559"/>
      <c r="AS559"/>
      <c r="AT559"/>
      <c r="AU559"/>
    </row>
    <row r="560" spans="1:47" x14ac:dyDescent="0.3">
      <c r="A560" t="s">
        <v>222</v>
      </c>
      <c r="B560" s="3">
        <v>2015</v>
      </c>
      <c r="C560" s="3">
        <v>2389292.25</v>
      </c>
      <c r="D560" s="3">
        <v>11195962</v>
      </c>
      <c r="E560" s="3">
        <v>26.247600555419901</v>
      </c>
      <c r="F560" s="3">
        <v>0.78564137220382702</v>
      </c>
      <c r="G560" s="3">
        <v>9.3044161796569796E-2</v>
      </c>
      <c r="H560" s="3">
        <v>5.0788763910531998E-2</v>
      </c>
      <c r="I560" s="3">
        <v>1130.9525000000001</v>
      </c>
      <c r="J560" s="3">
        <v>3.5912833213806201</v>
      </c>
      <c r="K560" s="3">
        <v>0.95650899410247803</v>
      </c>
      <c r="L560" s="3">
        <f t="shared" si="8"/>
        <v>1</v>
      </c>
      <c r="M560">
        <f>VLOOKUP(A560,Sheet2!$B$2:$E$186,2,FALSE)</f>
        <v>94</v>
      </c>
      <c r="N560" t="s">
        <v>391</v>
      </c>
      <c r="O560" t="s">
        <v>405</v>
      </c>
      <c r="P560">
        <v>0</v>
      </c>
      <c r="Q560">
        <v>0</v>
      </c>
      <c r="R560">
        <v>1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1</v>
      </c>
      <c r="AK560">
        <v>0</v>
      </c>
      <c r="AL560">
        <v>0</v>
      </c>
      <c r="AM560">
        <v>0</v>
      </c>
      <c r="AN560">
        <v>0</v>
      </c>
    </row>
    <row r="561" spans="1:40" x14ac:dyDescent="0.3">
      <c r="A561" t="s">
        <v>222</v>
      </c>
      <c r="B561" s="3">
        <v>2016</v>
      </c>
      <c r="C561" s="3">
        <v>2465069.25</v>
      </c>
      <c r="D561" s="3">
        <v>11645592</v>
      </c>
      <c r="E561" s="3">
        <v>26.465999603271499</v>
      </c>
      <c r="F561" s="3">
        <v>0.81886863708496105</v>
      </c>
      <c r="G561" s="3">
        <v>9.4945751130580902E-2</v>
      </c>
      <c r="H561" s="3">
        <v>5.1040358841419199E-2</v>
      </c>
      <c r="I561" s="3">
        <v>1160.7674999999999</v>
      </c>
      <c r="J561" s="3">
        <v>3.62420678138733</v>
      </c>
      <c r="K561" s="3">
        <v>0.97281473875045799</v>
      </c>
      <c r="L561" s="3">
        <f t="shared" si="8"/>
        <v>2</v>
      </c>
      <c r="M561">
        <f>VLOOKUP(A561,Sheet2!$B$2:$E$186,2,FALSE)</f>
        <v>94</v>
      </c>
      <c r="N561" t="s">
        <v>391</v>
      </c>
      <c r="O561" t="s">
        <v>405</v>
      </c>
      <c r="P561">
        <v>0</v>
      </c>
      <c r="Q561">
        <v>0</v>
      </c>
      <c r="R561">
        <v>1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1</v>
      </c>
      <c r="AK561">
        <v>0</v>
      </c>
      <c r="AL561">
        <v>0</v>
      </c>
      <c r="AM561">
        <v>0</v>
      </c>
      <c r="AN561">
        <v>0</v>
      </c>
    </row>
    <row r="562" spans="1:40" x14ac:dyDescent="0.3">
      <c r="A562" t="s">
        <v>222</v>
      </c>
      <c r="B562" s="3">
        <v>2017</v>
      </c>
      <c r="C562" s="3">
        <v>2549699.75</v>
      </c>
      <c r="D562" s="3">
        <v>12173519</v>
      </c>
      <c r="E562" s="3">
        <v>26.786899566650401</v>
      </c>
      <c r="F562" s="3">
        <v>0.85945749282836903</v>
      </c>
      <c r="G562" s="3">
        <v>9.4356954097747803E-2</v>
      </c>
      <c r="H562" s="3">
        <v>5.1322713494300801E-2</v>
      </c>
      <c r="I562" s="3">
        <v>1131.0008333333301</v>
      </c>
      <c r="J562" s="3">
        <v>3.65777683258057</v>
      </c>
      <c r="K562" s="3">
        <v>1.00327467918396</v>
      </c>
      <c r="L562" s="3">
        <f t="shared" si="8"/>
        <v>3</v>
      </c>
      <c r="M562">
        <f>VLOOKUP(A562,Sheet2!$B$2:$E$186,2,FALSE)</f>
        <v>94</v>
      </c>
      <c r="N562" t="s">
        <v>391</v>
      </c>
      <c r="O562" t="s">
        <v>405</v>
      </c>
      <c r="P562">
        <v>0</v>
      </c>
      <c r="Q562">
        <v>0</v>
      </c>
      <c r="R562">
        <v>1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1</v>
      </c>
      <c r="AK562">
        <v>0</v>
      </c>
      <c r="AL562">
        <v>0</v>
      </c>
      <c r="AM562">
        <v>0</v>
      </c>
      <c r="AN562">
        <v>0</v>
      </c>
    </row>
    <row r="563" spans="1:40" x14ac:dyDescent="0.3">
      <c r="A563" t="s">
        <v>222</v>
      </c>
      <c r="B563" s="3">
        <v>2018</v>
      </c>
      <c r="C563" s="3">
        <v>2630681.25</v>
      </c>
      <c r="D563" s="3">
        <v>12649840</v>
      </c>
      <c r="E563" s="3">
        <v>26.8222045898438</v>
      </c>
      <c r="F563" s="3">
        <v>0.89607882499694802</v>
      </c>
      <c r="G563" s="3">
        <v>8.9192405343055697E-2</v>
      </c>
      <c r="H563" s="3">
        <v>5.1665782928466797E-2</v>
      </c>
      <c r="I563" s="3">
        <v>1100.16333333333</v>
      </c>
      <c r="J563" s="3">
        <v>3.69200992584229</v>
      </c>
      <c r="K563" s="3">
        <v>1.00827360153198</v>
      </c>
      <c r="L563" s="3">
        <f t="shared" si="8"/>
        <v>4</v>
      </c>
      <c r="M563">
        <f>VLOOKUP(A563,Sheet2!$B$2:$E$186,2,FALSE)</f>
        <v>94</v>
      </c>
      <c r="N563" t="s">
        <v>391</v>
      </c>
      <c r="O563" t="s">
        <v>405</v>
      </c>
      <c r="P563">
        <v>0</v>
      </c>
      <c r="Q563">
        <v>0</v>
      </c>
      <c r="R563">
        <v>1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1</v>
      </c>
      <c r="AK563">
        <v>0</v>
      </c>
      <c r="AL563">
        <v>0</v>
      </c>
      <c r="AM563">
        <v>0</v>
      </c>
      <c r="AN563">
        <v>0</v>
      </c>
    </row>
    <row r="564" spans="1:40" x14ac:dyDescent="0.3">
      <c r="A564" t="s">
        <v>222</v>
      </c>
      <c r="B564" s="3">
        <v>2019</v>
      </c>
      <c r="C564" s="3">
        <v>2691549.75</v>
      </c>
      <c r="D564" s="3">
        <v>13079924</v>
      </c>
      <c r="E564" s="3">
        <v>27.127559661865199</v>
      </c>
      <c r="F564" s="3">
        <v>0.92892992496490501</v>
      </c>
      <c r="G564" s="3">
        <v>7.9390890896320301E-2</v>
      </c>
      <c r="H564" s="3">
        <v>5.1937162876129199E-2</v>
      </c>
      <c r="I564" s="3">
        <v>1165.3575000000001</v>
      </c>
      <c r="J564" s="3">
        <v>3.7269222736358598</v>
      </c>
      <c r="K564" s="3">
        <v>1.00441598892212</v>
      </c>
      <c r="L564" s="3">
        <f t="shared" si="8"/>
        <v>5</v>
      </c>
      <c r="M564">
        <f>VLOOKUP(A564,Sheet2!$B$2:$E$186,2,FALSE)</f>
        <v>94</v>
      </c>
      <c r="N564" t="s">
        <v>391</v>
      </c>
      <c r="O564" t="s">
        <v>405</v>
      </c>
      <c r="P564">
        <v>0</v>
      </c>
      <c r="Q564">
        <v>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1</v>
      </c>
      <c r="AK564">
        <v>0</v>
      </c>
      <c r="AL564">
        <v>0</v>
      </c>
      <c r="AM564">
        <v>0</v>
      </c>
      <c r="AN564">
        <v>0</v>
      </c>
    </row>
    <row r="565" spans="1:40" x14ac:dyDescent="0.3">
      <c r="A565" t="s">
        <v>222</v>
      </c>
      <c r="B565" s="3">
        <v>2020</v>
      </c>
      <c r="C565" s="3">
        <v>2672702.75</v>
      </c>
      <c r="D565" s="3">
        <v>13517808</v>
      </c>
      <c r="E565" s="3">
        <v>26.921222686767599</v>
      </c>
      <c r="F565" s="3">
        <v>0.96232122182846103</v>
      </c>
      <c r="G565" s="3">
        <v>7.3534138500690502E-2</v>
      </c>
      <c r="H565" s="3">
        <v>5.2152473479509402E-2</v>
      </c>
      <c r="I565" s="3">
        <v>1180.26583333333</v>
      </c>
      <c r="J565" s="3">
        <v>3.7625312805175799</v>
      </c>
      <c r="K565" s="3">
        <v>0.991205513477325</v>
      </c>
      <c r="L565" s="3">
        <f t="shared" si="8"/>
        <v>6</v>
      </c>
      <c r="M565">
        <f>VLOOKUP(A565,Sheet2!$B$2:$E$186,2,FALSE)</f>
        <v>94</v>
      </c>
      <c r="N565" t="s">
        <v>391</v>
      </c>
      <c r="O565" t="s">
        <v>405</v>
      </c>
      <c r="P565">
        <v>0</v>
      </c>
      <c r="Q565">
        <v>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1</v>
      </c>
      <c r="AK565">
        <v>0</v>
      </c>
      <c r="AL565">
        <v>0</v>
      </c>
      <c r="AM565">
        <v>0</v>
      </c>
      <c r="AN565">
        <v>0</v>
      </c>
    </row>
    <row r="566" spans="1:40" x14ac:dyDescent="0.3">
      <c r="A566" t="s">
        <v>224</v>
      </c>
      <c r="B566" s="3">
        <v>2015</v>
      </c>
      <c r="C566" s="3">
        <v>255131.578125</v>
      </c>
      <c r="D566" s="3">
        <v>618508.75</v>
      </c>
      <c r="E566" s="3">
        <v>2.2124452590942401</v>
      </c>
      <c r="F566" s="3">
        <v>0.68573749065399203</v>
      </c>
      <c r="G566" s="3">
        <v>0.11109488457441299</v>
      </c>
      <c r="H566" s="3">
        <v>5.4566338658332797E-2</v>
      </c>
      <c r="I566" s="3">
        <v>0.30085202500000002</v>
      </c>
      <c r="J566" s="3">
        <v>2.1916992664337198</v>
      </c>
      <c r="K566" s="3">
        <v>1.3288720846176101</v>
      </c>
      <c r="L566" s="3">
        <f t="shared" si="8"/>
        <v>1</v>
      </c>
      <c r="M566">
        <f>VLOOKUP(A566,Sheet2!$B$2:$E$186,2,FALSE)</f>
        <v>95</v>
      </c>
      <c r="N566" t="s">
        <v>391</v>
      </c>
      <c r="O566" t="s">
        <v>392</v>
      </c>
      <c r="P566">
        <v>0</v>
      </c>
      <c r="Q566">
        <v>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1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</row>
    <row r="567" spans="1:40" x14ac:dyDescent="0.3">
      <c r="A567" t="s">
        <v>224</v>
      </c>
      <c r="B567" s="3">
        <v>2016</v>
      </c>
      <c r="C567" s="3">
        <v>262599.6875</v>
      </c>
      <c r="D567" s="3">
        <v>677525.375</v>
      </c>
      <c r="E567" s="3">
        <v>2.3253321647643999</v>
      </c>
      <c r="F567" s="3">
        <v>0.78802436590194702</v>
      </c>
      <c r="G567" s="3">
        <v>9.6215993165969904E-2</v>
      </c>
      <c r="H567" s="3">
        <v>5.6387726217508302E-2</v>
      </c>
      <c r="I567" s="3">
        <v>0.302137441178496</v>
      </c>
      <c r="J567" s="3">
        <v>2.2038726806640598</v>
      </c>
      <c r="K567" s="3">
        <v>1.22688949108124</v>
      </c>
      <c r="L567" s="3">
        <f t="shared" si="8"/>
        <v>2</v>
      </c>
      <c r="M567">
        <f>VLOOKUP(A567,Sheet2!$B$2:$E$186,2,FALSE)</f>
        <v>95</v>
      </c>
      <c r="N567" t="s">
        <v>391</v>
      </c>
      <c r="O567" t="s">
        <v>392</v>
      </c>
      <c r="P567">
        <v>0</v>
      </c>
      <c r="Q567">
        <v>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</row>
    <row r="568" spans="1:40" x14ac:dyDescent="0.3">
      <c r="A568" t="s">
        <v>224</v>
      </c>
      <c r="B568" s="3">
        <v>2017</v>
      </c>
      <c r="C568" s="3">
        <v>250225.09375</v>
      </c>
      <c r="D568" s="3">
        <v>729537.375</v>
      </c>
      <c r="E568" s="3">
        <v>2.4219279289245601</v>
      </c>
      <c r="F568" s="3">
        <v>0.87117451429367099</v>
      </c>
      <c r="G568" s="3">
        <v>0.105335146188736</v>
      </c>
      <c r="H568" s="3">
        <v>6.0456547886133201E-2</v>
      </c>
      <c r="I568" s="3">
        <v>0.303349758333333</v>
      </c>
      <c r="J568" s="3">
        <v>2.21611380577087</v>
      </c>
      <c r="K568" s="3">
        <v>1.15365791320801</v>
      </c>
      <c r="L568" s="3">
        <f t="shared" si="8"/>
        <v>3</v>
      </c>
      <c r="M568">
        <f>VLOOKUP(A568,Sheet2!$B$2:$E$186,2,FALSE)</f>
        <v>95</v>
      </c>
      <c r="N568" t="s">
        <v>391</v>
      </c>
      <c r="O568" t="s">
        <v>392</v>
      </c>
      <c r="P568">
        <v>0</v>
      </c>
      <c r="Q568">
        <v>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1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</row>
    <row r="569" spans="1:40" x14ac:dyDescent="0.3">
      <c r="A569" t="s">
        <v>224</v>
      </c>
      <c r="B569" s="3">
        <v>2018</v>
      </c>
      <c r="C569" s="3">
        <v>257089.59375</v>
      </c>
      <c r="D569" s="3">
        <v>782263.875</v>
      </c>
      <c r="E569" s="3">
        <v>2.51862668991089</v>
      </c>
      <c r="F569" s="3">
        <v>0.95090454816818204</v>
      </c>
      <c r="G569" s="3">
        <v>0.128576129674912</v>
      </c>
      <c r="H569" s="3">
        <v>6.3604705035686507E-2</v>
      </c>
      <c r="I569" s="3">
        <v>0.30195649352417703</v>
      </c>
      <c r="J569" s="3">
        <v>2.2222597599029501</v>
      </c>
      <c r="K569" s="3">
        <v>1.1203353404998799</v>
      </c>
      <c r="L569" s="3">
        <f t="shared" si="8"/>
        <v>4</v>
      </c>
      <c r="M569">
        <f>VLOOKUP(A569,Sheet2!$B$2:$E$186,2,FALSE)</f>
        <v>95</v>
      </c>
      <c r="N569" t="s">
        <v>391</v>
      </c>
      <c r="O569" t="s">
        <v>392</v>
      </c>
      <c r="P569">
        <v>0</v>
      </c>
      <c r="Q569">
        <v>0</v>
      </c>
      <c r="R569">
        <v>1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1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</row>
    <row r="570" spans="1:40" x14ac:dyDescent="0.3">
      <c r="A570" t="s">
        <v>224</v>
      </c>
      <c r="B570" s="3">
        <v>2019</v>
      </c>
      <c r="C570" s="3">
        <v>262909.625</v>
      </c>
      <c r="D570" s="3">
        <v>823116.0625</v>
      </c>
      <c r="E570" s="3">
        <v>2.5892283916473402</v>
      </c>
      <c r="F570" s="3">
        <v>0.99674516916275002</v>
      </c>
      <c r="G570" s="3">
        <v>0.13160310685634599</v>
      </c>
      <c r="H570" s="3">
        <v>6.4637325704097803E-2</v>
      </c>
      <c r="I570" s="3">
        <v>0.30361116303575503</v>
      </c>
      <c r="J570" s="3">
        <v>2.2364578247070299</v>
      </c>
      <c r="K570" s="3">
        <v>1.0804970264434799</v>
      </c>
      <c r="L570" s="3">
        <f t="shared" si="8"/>
        <v>5</v>
      </c>
      <c r="M570">
        <f>VLOOKUP(A570,Sheet2!$B$2:$E$186,2,FALSE)</f>
        <v>95</v>
      </c>
      <c r="N570" t="s">
        <v>391</v>
      </c>
      <c r="O570" t="s">
        <v>392</v>
      </c>
      <c r="P570">
        <v>0</v>
      </c>
      <c r="Q570">
        <v>0</v>
      </c>
      <c r="R570">
        <v>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1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</row>
    <row r="571" spans="1:40" x14ac:dyDescent="0.3">
      <c r="A571" t="s">
        <v>224</v>
      </c>
      <c r="B571" s="3">
        <v>2020</v>
      </c>
      <c r="C571" s="3">
        <v>250244.15625</v>
      </c>
      <c r="D571" s="3">
        <v>831313.0625</v>
      </c>
      <c r="E571" s="3">
        <v>2.3457410335540798</v>
      </c>
      <c r="F571" s="3">
        <v>0.998876452445984</v>
      </c>
      <c r="G571" s="3">
        <v>9.1050475835800199E-2</v>
      </c>
      <c r="H571" s="3">
        <v>6.3516512513160706E-2</v>
      </c>
      <c r="I571" s="3">
        <v>0.30623312175671602</v>
      </c>
      <c r="J571" s="3">
        <v>2.2508835792541499</v>
      </c>
      <c r="K571" s="3">
        <v>0.94090449810028098</v>
      </c>
      <c r="L571" s="3">
        <f t="shared" si="8"/>
        <v>6</v>
      </c>
      <c r="M571">
        <f>VLOOKUP(A571,Sheet2!$B$2:$E$186,2,FALSE)</f>
        <v>95</v>
      </c>
      <c r="N571" t="s">
        <v>391</v>
      </c>
      <c r="O571" t="s">
        <v>392</v>
      </c>
      <c r="P571">
        <v>0</v>
      </c>
      <c r="Q571">
        <v>0</v>
      </c>
      <c r="R571">
        <v>1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1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</row>
    <row r="572" spans="1:40" x14ac:dyDescent="0.3">
      <c r="A572" t="s">
        <v>226</v>
      </c>
      <c r="B572" s="3">
        <v>2015</v>
      </c>
      <c r="C572" s="3">
        <v>42144.88671875</v>
      </c>
      <c r="D572" s="3">
        <v>125900.640625</v>
      </c>
      <c r="E572" s="3">
        <v>3.3349597454071001</v>
      </c>
      <c r="F572" s="3">
        <v>0.540865778923035</v>
      </c>
      <c r="G572" s="3">
        <v>0.197520911693573</v>
      </c>
      <c r="H572" s="3">
        <v>5.0874143838882398E-2</v>
      </c>
      <c r="I572" s="3">
        <v>8127.6105984658598</v>
      </c>
      <c r="J572" s="3">
        <v>1.8808412551879901</v>
      </c>
      <c r="K572" s="3">
        <v>1.32878065109253</v>
      </c>
      <c r="L572" s="3">
        <f t="shared" si="8"/>
        <v>1</v>
      </c>
      <c r="M572">
        <f>VLOOKUP(A572,Sheet2!$B$2:$E$186,2,FALSE)</f>
        <v>96</v>
      </c>
      <c r="N572" t="s">
        <v>391</v>
      </c>
      <c r="O572" t="s">
        <v>403</v>
      </c>
      <c r="P572">
        <v>0</v>
      </c>
      <c r="Q572">
        <v>0</v>
      </c>
      <c r="R572">
        <v>1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</row>
    <row r="573" spans="1:40" x14ac:dyDescent="0.3">
      <c r="A573" t="s">
        <v>226</v>
      </c>
      <c r="B573" s="3">
        <v>2016</v>
      </c>
      <c r="C573" s="3">
        <v>45104.76171875</v>
      </c>
      <c r="D573" s="3">
        <v>138669.171875</v>
      </c>
      <c r="E573" s="3">
        <v>3.3958065509796098</v>
      </c>
      <c r="F573" s="3">
        <v>0.59688454866409302</v>
      </c>
      <c r="G573" s="3">
        <v>0.20582632720470401</v>
      </c>
      <c r="H573" s="3">
        <v>5.1289979368448299E-2</v>
      </c>
      <c r="I573" s="3">
        <v>8124.3667561622797</v>
      </c>
      <c r="J573" s="3">
        <v>1.8958312273025499</v>
      </c>
      <c r="K573" s="3">
        <v>1.2963852882385301</v>
      </c>
      <c r="L573" s="3">
        <f t="shared" si="8"/>
        <v>2</v>
      </c>
      <c r="M573">
        <f>VLOOKUP(A573,Sheet2!$B$2:$E$186,2,FALSE)</f>
        <v>96</v>
      </c>
      <c r="N573" t="s">
        <v>391</v>
      </c>
      <c r="O573" t="s">
        <v>403</v>
      </c>
      <c r="P573">
        <v>0</v>
      </c>
      <c r="Q573">
        <v>0</v>
      </c>
      <c r="R573">
        <v>1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</row>
    <row r="574" spans="1:40" x14ac:dyDescent="0.3">
      <c r="A574" t="s">
        <v>226</v>
      </c>
      <c r="B574" s="3">
        <v>2017</v>
      </c>
      <c r="C574" s="3">
        <v>48195.01171875</v>
      </c>
      <c r="D574" s="3">
        <v>154663.21875</v>
      </c>
      <c r="E574" s="3">
        <v>3.4507317543029798</v>
      </c>
      <c r="F574" s="3">
        <v>0.66866642236709595</v>
      </c>
      <c r="G574" s="3">
        <v>0.198459267616272</v>
      </c>
      <c r="H574" s="3">
        <v>5.21813593804836E-2</v>
      </c>
      <c r="I574" s="3">
        <v>8244.8431892101908</v>
      </c>
      <c r="J574" s="3">
        <v>1.91118156909943</v>
      </c>
      <c r="K574" s="3">
        <v>1.3166687488555899</v>
      </c>
      <c r="L574" s="3">
        <f t="shared" si="8"/>
        <v>3</v>
      </c>
      <c r="M574">
        <f>VLOOKUP(A574,Sheet2!$B$2:$E$186,2,FALSE)</f>
        <v>96</v>
      </c>
      <c r="N574" t="s">
        <v>391</v>
      </c>
      <c r="O574" t="s">
        <v>403</v>
      </c>
      <c r="P574">
        <v>0</v>
      </c>
      <c r="Q574">
        <v>0</v>
      </c>
      <c r="R574">
        <v>1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</row>
    <row r="575" spans="1:40" x14ac:dyDescent="0.3">
      <c r="A575" t="s">
        <v>226</v>
      </c>
      <c r="B575" s="3">
        <v>2018</v>
      </c>
      <c r="C575" s="3">
        <v>51225.9296875</v>
      </c>
      <c r="D575" s="3">
        <v>172994.5</v>
      </c>
      <c r="E575" s="3">
        <v>3.5541176795959499</v>
      </c>
      <c r="F575" s="3">
        <v>0.74820214509964</v>
      </c>
      <c r="G575" s="3">
        <v>0.190003111958504</v>
      </c>
      <c r="H575" s="3">
        <v>5.28062582015991E-2</v>
      </c>
      <c r="I575" s="3">
        <v>8401.3347661396601</v>
      </c>
      <c r="J575" s="3">
        <v>1.92690312862396</v>
      </c>
      <c r="K575" s="3">
        <v>1.29326891899109</v>
      </c>
      <c r="L575" s="3">
        <f t="shared" si="8"/>
        <v>4</v>
      </c>
      <c r="M575">
        <f>VLOOKUP(A575,Sheet2!$B$2:$E$186,2,FALSE)</f>
        <v>96</v>
      </c>
      <c r="N575" t="s">
        <v>391</v>
      </c>
      <c r="O575" t="s">
        <v>403</v>
      </c>
      <c r="P575">
        <v>0</v>
      </c>
      <c r="Q575">
        <v>0</v>
      </c>
      <c r="R575">
        <v>1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</row>
    <row r="576" spans="1:40" x14ac:dyDescent="0.3">
      <c r="A576" t="s">
        <v>226</v>
      </c>
      <c r="B576" s="3">
        <v>2019</v>
      </c>
      <c r="C576" s="3">
        <v>54021.7109375</v>
      </c>
      <c r="D576" s="3">
        <v>194205.296875</v>
      </c>
      <c r="E576" s="3">
        <v>3.73694944381714</v>
      </c>
      <c r="F576" s="3">
        <v>0.837435662746429</v>
      </c>
      <c r="G576" s="3">
        <v>0.179674357175827</v>
      </c>
      <c r="H576" s="3">
        <v>5.2474722266197198E-2</v>
      </c>
      <c r="I576" s="3">
        <v>8679.4090930967104</v>
      </c>
      <c r="J576" s="3">
        <v>1.9430067539215099</v>
      </c>
      <c r="K576" s="3">
        <v>1.2583765983581501</v>
      </c>
      <c r="L576" s="3">
        <f t="shared" si="8"/>
        <v>5</v>
      </c>
      <c r="M576">
        <f>VLOOKUP(A576,Sheet2!$B$2:$E$186,2,FALSE)</f>
        <v>96</v>
      </c>
      <c r="N576" t="s">
        <v>391</v>
      </c>
      <c r="O576" t="s">
        <v>403</v>
      </c>
      <c r="P576">
        <v>0</v>
      </c>
      <c r="Q576">
        <v>0</v>
      </c>
      <c r="R576">
        <v>1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</row>
    <row r="577" spans="1:47" x14ac:dyDescent="0.3">
      <c r="A577" t="s">
        <v>226</v>
      </c>
      <c r="B577" s="3">
        <v>2020</v>
      </c>
      <c r="C577" s="3">
        <v>55791.63671875</v>
      </c>
      <c r="D577" s="3">
        <v>214621.0625</v>
      </c>
      <c r="E577" s="3">
        <v>3.9232921600341801</v>
      </c>
      <c r="F577" s="3">
        <v>0.92135250568389904</v>
      </c>
      <c r="G577" s="3">
        <v>0.16877701878547699</v>
      </c>
      <c r="H577" s="3">
        <v>5.1584266126155902E-2</v>
      </c>
      <c r="I577" s="3">
        <v>9045.7878338247901</v>
      </c>
      <c r="J577" s="3">
        <v>1.9595041275024401</v>
      </c>
      <c r="K577" s="3">
        <v>1.1376584768295299</v>
      </c>
      <c r="L577" s="3">
        <f t="shared" si="8"/>
        <v>6</v>
      </c>
      <c r="M577">
        <f>VLOOKUP(A577,Sheet2!$B$2:$E$186,2,FALSE)</f>
        <v>96</v>
      </c>
      <c r="N577" t="s">
        <v>391</v>
      </c>
      <c r="O577" t="s">
        <v>403</v>
      </c>
      <c r="P577">
        <v>0</v>
      </c>
      <c r="Q577">
        <v>0</v>
      </c>
      <c r="R577">
        <v>1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</row>
    <row r="578" spans="1:47" x14ac:dyDescent="0.3">
      <c r="A578" t="s">
        <v>228</v>
      </c>
      <c r="B578" s="3">
        <v>2015</v>
      </c>
      <c r="C578" s="3">
        <v>103250.6171875</v>
      </c>
      <c r="D578" s="3">
        <v>444329.84375</v>
      </c>
      <c r="E578" s="3">
        <v>2.3143465518951398</v>
      </c>
      <c r="F578" s="3">
        <v>0.91898816823959395</v>
      </c>
      <c r="G578" s="3">
        <v>0.145435810089111</v>
      </c>
      <c r="H578" s="3">
        <v>3.5414740443229703E-2</v>
      </c>
      <c r="I578" s="3">
        <v>1507.5</v>
      </c>
      <c r="J578" s="3"/>
      <c r="K578" s="3"/>
      <c r="L578" s="3">
        <f t="shared" si="8"/>
        <v>1</v>
      </c>
      <c r="M578">
        <f>VLOOKUP(A578,Sheet2!$B$2:$E$186,2,FALSE)</f>
        <v>97</v>
      </c>
      <c r="N578" t="s">
        <v>391</v>
      </c>
      <c r="O578" t="s">
        <v>392</v>
      </c>
      <c r="P578">
        <v>0</v>
      </c>
      <c r="Q578">
        <v>0</v>
      </c>
      <c r="R578">
        <v>1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1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</row>
    <row r="579" spans="1:47" x14ac:dyDescent="0.3">
      <c r="A579" t="s">
        <v>228</v>
      </c>
      <c r="B579" s="3">
        <v>2016</v>
      </c>
      <c r="C579" s="3">
        <v>104864.1640625</v>
      </c>
      <c r="D579" s="3">
        <v>463204.21875</v>
      </c>
      <c r="E579" s="3">
        <v>2.22026538848877</v>
      </c>
      <c r="F579" s="3">
        <v>0.95749413967132602</v>
      </c>
      <c r="G579" s="3">
        <v>0.17152373492717701</v>
      </c>
      <c r="H579" s="3">
        <v>3.5254478454589802E-2</v>
      </c>
      <c r="I579" s="3">
        <v>1507.5</v>
      </c>
      <c r="J579" s="3"/>
      <c r="K579" s="3"/>
      <c r="L579" s="3">
        <f t="shared" ref="L579:L642" si="9">B579-2014</f>
        <v>2</v>
      </c>
      <c r="M579">
        <f>VLOOKUP(A579,Sheet2!$B$2:$E$186,2,FALSE)</f>
        <v>97</v>
      </c>
      <c r="N579" t="s">
        <v>391</v>
      </c>
      <c r="O579" t="s">
        <v>392</v>
      </c>
      <c r="P579">
        <v>0</v>
      </c>
      <c r="Q579">
        <v>0</v>
      </c>
      <c r="R579">
        <v>1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1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</row>
    <row r="580" spans="1:47" x14ac:dyDescent="0.3">
      <c r="A580" t="s">
        <v>228</v>
      </c>
      <c r="B580" s="3">
        <v>2017</v>
      </c>
      <c r="C580" s="3">
        <v>105821.3515625</v>
      </c>
      <c r="D580" s="3">
        <v>480966.84375</v>
      </c>
      <c r="E580" s="3">
        <v>2.1148142814636199</v>
      </c>
      <c r="F580" s="3">
        <v>0.99495178461074796</v>
      </c>
      <c r="G580" s="3">
        <v>0.16740237176418299</v>
      </c>
      <c r="H580" s="3">
        <v>3.5294003784656497E-2</v>
      </c>
      <c r="I580" s="3">
        <v>1507.5</v>
      </c>
      <c r="J580" s="3"/>
      <c r="K580" s="3"/>
      <c r="L580" s="3">
        <f t="shared" si="9"/>
        <v>3</v>
      </c>
      <c r="M580">
        <f>VLOOKUP(A580,Sheet2!$B$2:$E$186,2,FALSE)</f>
        <v>97</v>
      </c>
      <c r="N580" t="s">
        <v>391</v>
      </c>
      <c r="O580" t="s">
        <v>392</v>
      </c>
      <c r="P580">
        <v>0</v>
      </c>
      <c r="Q580">
        <v>0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1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</row>
    <row r="581" spans="1:47" x14ac:dyDescent="0.3">
      <c r="A581" t="s">
        <v>228</v>
      </c>
      <c r="B581" s="3">
        <v>2018</v>
      </c>
      <c r="C581" s="3">
        <v>103860.1640625</v>
      </c>
      <c r="D581" s="3">
        <v>499652.84375</v>
      </c>
      <c r="E581" s="3">
        <v>2.0077238082885702</v>
      </c>
      <c r="F581" s="3">
        <v>1.0358753204345701</v>
      </c>
      <c r="G581" s="3">
        <v>0.16851308941841101</v>
      </c>
      <c r="H581" s="3">
        <v>3.5591837018728298E-2</v>
      </c>
      <c r="I581" s="3">
        <v>1507.5</v>
      </c>
      <c r="J581" s="3"/>
      <c r="K581" s="3"/>
      <c r="L581" s="3">
        <f t="shared" si="9"/>
        <v>4</v>
      </c>
      <c r="M581">
        <f>VLOOKUP(A581,Sheet2!$B$2:$E$186,2,FALSE)</f>
        <v>97</v>
      </c>
      <c r="N581" t="s">
        <v>391</v>
      </c>
      <c r="O581" t="s">
        <v>392</v>
      </c>
      <c r="P581">
        <v>0</v>
      </c>
      <c r="Q581">
        <v>0</v>
      </c>
      <c r="R581">
        <v>1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1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</row>
    <row r="582" spans="1:47" x14ac:dyDescent="0.3">
      <c r="A582" t="s">
        <v>228</v>
      </c>
      <c r="B582" s="3">
        <v>2019</v>
      </c>
      <c r="C582" s="3">
        <v>96796.6328125</v>
      </c>
      <c r="D582" s="3">
        <v>504050.28125</v>
      </c>
      <c r="E582" s="3">
        <v>1.9052232503891</v>
      </c>
      <c r="F582" s="3">
        <v>1.0411800146102901</v>
      </c>
      <c r="G582" s="3">
        <v>0.171931818127632</v>
      </c>
      <c r="H582" s="3">
        <v>3.5405851900577497E-2</v>
      </c>
      <c r="I582" s="3">
        <v>1507.5</v>
      </c>
      <c r="J582" s="3"/>
      <c r="K582" s="3"/>
      <c r="L582" s="3">
        <f t="shared" si="9"/>
        <v>5</v>
      </c>
      <c r="M582">
        <f>VLOOKUP(A582,Sheet2!$B$2:$E$186,2,FALSE)</f>
        <v>97</v>
      </c>
      <c r="N582" t="s">
        <v>391</v>
      </c>
      <c r="O582" t="s">
        <v>392</v>
      </c>
      <c r="P582">
        <v>0</v>
      </c>
      <c r="Q582">
        <v>0</v>
      </c>
      <c r="R582">
        <v>1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1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</row>
    <row r="583" spans="1:47" x14ac:dyDescent="0.3">
      <c r="A583" t="s">
        <v>228</v>
      </c>
      <c r="B583" s="3">
        <v>2020</v>
      </c>
      <c r="C583" s="3">
        <v>72987.7734375</v>
      </c>
      <c r="D583" s="3">
        <v>494918.34375</v>
      </c>
      <c r="E583" s="3">
        <v>1.6805721521377599</v>
      </c>
      <c r="F583" s="3">
        <v>1.01225650310516</v>
      </c>
      <c r="G583" s="3">
        <v>7.31011256575584E-2</v>
      </c>
      <c r="H583" s="3">
        <v>3.4305747598409701E-2</v>
      </c>
      <c r="I583" s="3">
        <v>4189.7142144052104</v>
      </c>
      <c r="J583" s="3"/>
      <c r="K583" s="3"/>
      <c r="L583" s="3">
        <f t="shared" si="9"/>
        <v>6</v>
      </c>
      <c r="M583">
        <f>VLOOKUP(A583,Sheet2!$B$2:$E$186,2,FALSE)</f>
        <v>97</v>
      </c>
      <c r="N583" t="s">
        <v>391</v>
      </c>
      <c r="O583" t="s">
        <v>392</v>
      </c>
      <c r="P583">
        <v>0</v>
      </c>
      <c r="Q583">
        <v>0</v>
      </c>
      <c r="R583">
        <v>1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1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</row>
    <row r="584" spans="1:47" s="2" customFormat="1" x14ac:dyDescent="0.3">
      <c r="A584" t="s">
        <v>231</v>
      </c>
      <c r="B584" s="3">
        <v>2015</v>
      </c>
      <c r="C584" s="3">
        <v>8659.5341796875</v>
      </c>
      <c r="D584" s="3">
        <v>16994.498046875</v>
      </c>
      <c r="E584" s="3">
        <v>0.98029214143753096</v>
      </c>
      <c r="F584" s="3"/>
      <c r="G584" s="3"/>
      <c r="H584" s="3">
        <v>5.7731103152036702E-2</v>
      </c>
      <c r="I584" s="3">
        <v>1</v>
      </c>
      <c r="J584" s="3">
        <v>1.7970608472824099</v>
      </c>
      <c r="K584" s="3"/>
      <c r="L584" s="3">
        <f t="shared" si="9"/>
        <v>1</v>
      </c>
      <c r="M584">
        <f>VLOOKUP(A584,Sheet2!$B$2:$E$186,2,FALSE)</f>
        <v>98</v>
      </c>
      <c r="N584" t="s">
        <v>387</v>
      </c>
      <c r="O584" t="s">
        <v>398</v>
      </c>
      <c r="P584">
        <v>0</v>
      </c>
      <c r="Q584">
        <v>0</v>
      </c>
      <c r="R584">
        <v>0</v>
      </c>
      <c r="S584">
        <v>1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1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/>
      <c r="AP584"/>
      <c r="AQ584"/>
      <c r="AR584"/>
      <c r="AS584"/>
      <c r="AT584"/>
      <c r="AU584"/>
    </row>
    <row r="585" spans="1:47" s="2" customFormat="1" x14ac:dyDescent="0.3">
      <c r="A585" t="s">
        <v>231</v>
      </c>
      <c r="B585" s="3">
        <v>2016</v>
      </c>
      <c r="C585" s="3">
        <v>8734.8779296875</v>
      </c>
      <c r="D585" s="3">
        <v>17741.708984375</v>
      </c>
      <c r="E585" s="3">
        <v>1.0136349201202399</v>
      </c>
      <c r="F585" s="3"/>
      <c r="G585" s="3"/>
      <c r="H585" s="3">
        <v>5.7455427944660201E-2</v>
      </c>
      <c r="I585" s="3">
        <v>1</v>
      </c>
      <c r="J585" s="3">
        <v>1.8119138479232799</v>
      </c>
      <c r="K585" s="3"/>
      <c r="L585" s="3">
        <f t="shared" si="9"/>
        <v>2</v>
      </c>
      <c r="M585">
        <f>VLOOKUP(A585,Sheet2!$B$2:$E$186,2,FALSE)</f>
        <v>98</v>
      </c>
      <c r="N585" t="s">
        <v>387</v>
      </c>
      <c r="O585" t="s">
        <v>398</v>
      </c>
      <c r="P585">
        <v>0</v>
      </c>
      <c r="Q585">
        <v>0</v>
      </c>
      <c r="R585">
        <v>0</v>
      </c>
      <c r="S585">
        <v>1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1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/>
      <c r="AP585"/>
      <c r="AQ585"/>
      <c r="AR585"/>
      <c r="AS585"/>
      <c r="AT585"/>
      <c r="AU585"/>
    </row>
    <row r="586" spans="1:47" s="2" customFormat="1" x14ac:dyDescent="0.3">
      <c r="A586" t="s">
        <v>231</v>
      </c>
      <c r="B586" s="3">
        <v>2017</v>
      </c>
      <c r="C586" s="3">
        <v>9213.4853515625</v>
      </c>
      <c r="D586" s="3">
        <v>18100.576171875</v>
      </c>
      <c r="E586" s="3">
        <v>1.03352499008179</v>
      </c>
      <c r="F586" s="3"/>
      <c r="G586" s="3"/>
      <c r="H586" s="3">
        <v>5.6565023958683E-2</v>
      </c>
      <c r="I586" s="3">
        <v>1</v>
      </c>
      <c r="J586" s="3">
        <v>1.8597457408905</v>
      </c>
      <c r="K586" s="3"/>
      <c r="L586" s="3">
        <f t="shared" si="9"/>
        <v>3</v>
      </c>
      <c r="M586">
        <f>VLOOKUP(A586,Sheet2!$B$2:$E$186,2,FALSE)</f>
        <v>98</v>
      </c>
      <c r="N586" t="s">
        <v>387</v>
      </c>
      <c r="O586" t="s">
        <v>398</v>
      </c>
      <c r="P586">
        <v>0</v>
      </c>
      <c r="Q586">
        <v>0</v>
      </c>
      <c r="R586">
        <v>0</v>
      </c>
      <c r="S586">
        <v>1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1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/>
      <c r="AP586"/>
      <c r="AQ586"/>
      <c r="AR586"/>
      <c r="AS586"/>
      <c r="AT586"/>
      <c r="AU586"/>
    </row>
    <row r="587" spans="1:47" s="2" customFormat="1" x14ac:dyDescent="0.3">
      <c r="A587" t="s">
        <v>231</v>
      </c>
      <c r="B587" s="3">
        <v>2018</v>
      </c>
      <c r="C587" s="3">
        <v>9714.9931640625</v>
      </c>
      <c r="D587" s="3">
        <v>18558.8125</v>
      </c>
      <c r="E587" s="3">
        <v>1.0561716556549099</v>
      </c>
      <c r="F587" s="3"/>
      <c r="G587" s="3"/>
      <c r="H587" s="3">
        <v>5.5535286664962803E-2</v>
      </c>
      <c r="I587" s="3">
        <v>1</v>
      </c>
      <c r="J587" s="3">
        <v>1.90884029865265</v>
      </c>
      <c r="K587" s="3"/>
      <c r="L587" s="3">
        <f t="shared" si="9"/>
        <v>4</v>
      </c>
      <c r="M587">
        <f>VLOOKUP(A587,Sheet2!$B$2:$E$186,2,FALSE)</f>
        <v>98</v>
      </c>
      <c r="N587" t="s">
        <v>387</v>
      </c>
      <c r="O587" t="s">
        <v>398</v>
      </c>
      <c r="P587">
        <v>0</v>
      </c>
      <c r="Q587">
        <v>0</v>
      </c>
      <c r="R587">
        <v>0</v>
      </c>
      <c r="S587">
        <v>1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1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/>
      <c r="AP587"/>
      <c r="AQ587"/>
      <c r="AR587"/>
      <c r="AS587"/>
      <c r="AT587"/>
      <c r="AU587"/>
    </row>
    <row r="588" spans="1:47" s="2" customFormat="1" x14ac:dyDescent="0.3">
      <c r="A588" t="s">
        <v>231</v>
      </c>
      <c r="B588" s="3">
        <v>2019</v>
      </c>
      <c r="C588" s="3">
        <v>9479.7685546875</v>
      </c>
      <c r="D588" s="3">
        <v>18887.515625</v>
      </c>
      <c r="E588" s="3">
        <v>1.0805070400237999</v>
      </c>
      <c r="F588" s="3"/>
      <c r="G588" s="3"/>
      <c r="H588" s="3">
        <v>5.4494194686412797E-2</v>
      </c>
      <c r="I588" s="3">
        <v>1</v>
      </c>
      <c r="J588" s="3">
        <v>1.9592307806014999</v>
      </c>
      <c r="K588" s="3"/>
      <c r="L588" s="3">
        <f t="shared" si="9"/>
        <v>5</v>
      </c>
      <c r="M588">
        <f>VLOOKUP(A588,Sheet2!$B$2:$E$186,2,FALSE)</f>
        <v>98</v>
      </c>
      <c r="N588" t="s">
        <v>387</v>
      </c>
      <c r="O588" t="s">
        <v>398</v>
      </c>
      <c r="P588">
        <v>0</v>
      </c>
      <c r="Q588">
        <v>0</v>
      </c>
      <c r="R588">
        <v>0</v>
      </c>
      <c r="S588">
        <v>1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/>
      <c r="AP588"/>
      <c r="AQ588"/>
      <c r="AR588"/>
      <c r="AS588"/>
      <c r="AT588"/>
      <c r="AU588"/>
    </row>
    <row r="589" spans="1:47" s="2" customFormat="1" x14ac:dyDescent="0.3">
      <c r="A589" t="s">
        <v>231</v>
      </c>
      <c r="B589" s="3">
        <v>2020</v>
      </c>
      <c r="C589" s="3">
        <v>9140.892578125</v>
      </c>
      <c r="D589" s="3">
        <v>19431.103515625</v>
      </c>
      <c r="E589" s="3">
        <v>1.0872544050216699</v>
      </c>
      <c r="F589" s="3"/>
      <c r="G589" s="3"/>
      <c r="H589" s="3">
        <v>5.35324327647686E-2</v>
      </c>
      <c r="I589" s="3">
        <v>1</v>
      </c>
      <c r="J589" s="3">
        <v>1.976358294487</v>
      </c>
      <c r="K589" s="3"/>
      <c r="L589" s="3">
        <f t="shared" si="9"/>
        <v>6</v>
      </c>
      <c r="M589">
        <f>VLOOKUP(A589,Sheet2!$B$2:$E$186,2,FALSE)</f>
        <v>98</v>
      </c>
      <c r="N589" t="s">
        <v>387</v>
      </c>
      <c r="O589" t="s">
        <v>398</v>
      </c>
      <c r="P589">
        <v>0</v>
      </c>
      <c r="Q589">
        <v>0</v>
      </c>
      <c r="R589">
        <v>0</v>
      </c>
      <c r="S589">
        <v>1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1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/>
      <c r="AP589"/>
      <c r="AQ589"/>
      <c r="AR589"/>
      <c r="AS589"/>
      <c r="AT589"/>
      <c r="AU589"/>
    </row>
    <row r="590" spans="1:47" s="2" customFormat="1" x14ac:dyDescent="0.3">
      <c r="A590" t="s">
        <v>232</v>
      </c>
      <c r="B590" s="3">
        <v>2015</v>
      </c>
      <c r="C590" s="3">
        <v>3666.24682617188</v>
      </c>
      <c r="D590" s="3">
        <v>17061.94921875</v>
      </c>
      <c r="E590" s="3">
        <v>7.7152274549007402E-2</v>
      </c>
      <c r="F590" s="3"/>
      <c r="G590" s="3"/>
      <c r="H590" s="3">
        <v>3.8529988378286403E-2</v>
      </c>
      <c r="I590" s="3">
        <v>2.7</v>
      </c>
      <c r="J590" s="3"/>
      <c r="K590" s="3"/>
      <c r="L590" s="3">
        <f t="shared" si="9"/>
        <v>1</v>
      </c>
      <c r="M590">
        <f>VLOOKUP(A590,Sheet2!$B$2:$E$186,2,FALSE)</f>
        <v>99</v>
      </c>
      <c r="N590" t="s">
        <v>385</v>
      </c>
      <c r="O590" t="s">
        <v>386</v>
      </c>
      <c r="P590">
        <v>1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/>
      <c r="AP590"/>
      <c r="AQ590"/>
      <c r="AR590"/>
      <c r="AS590"/>
      <c r="AT590"/>
      <c r="AU590"/>
    </row>
    <row r="591" spans="1:47" s="2" customFormat="1" x14ac:dyDescent="0.3">
      <c r="A591" t="s">
        <v>232</v>
      </c>
      <c r="B591" s="3">
        <v>2016</v>
      </c>
      <c r="C591" s="3">
        <v>3791.9208984375</v>
      </c>
      <c r="D591" s="3">
        <v>17469.322265625</v>
      </c>
      <c r="E591" s="3">
        <v>7.8782401978969602E-2</v>
      </c>
      <c r="F591" s="3"/>
      <c r="G591" s="3"/>
      <c r="H591" s="3">
        <v>3.8179930299520499E-2</v>
      </c>
      <c r="I591" s="3">
        <v>2.7</v>
      </c>
      <c r="J591" s="3"/>
      <c r="K591" s="3"/>
      <c r="L591" s="3">
        <f t="shared" si="9"/>
        <v>2</v>
      </c>
      <c r="M591">
        <f>VLOOKUP(A591,Sheet2!$B$2:$E$186,2,FALSE)</f>
        <v>99</v>
      </c>
      <c r="N591" t="s">
        <v>385</v>
      </c>
      <c r="O591" t="s">
        <v>386</v>
      </c>
      <c r="P591">
        <v>1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/>
      <c r="AP591"/>
      <c r="AQ591"/>
      <c r="AR591"/>
      <c r="AS591"/>
      <c r="AT591"/>
      <c r="AU591"/>
    </row>
    <row r="592" spans="1:47" s="2" customFormat="1" x14ac:dyDescent="0.3">
      <c r="A592" t="s">
        <v>232</v>
      </c>
      <c r="B592" s="3">
        <v>2017</v>
      </c>
      <c r="C592" s="3">
        <v>3920.07373046875</v>
      </c>
      <c r="D592" s="3">
        <v>17875.013671875</v>
      </c>
      <c r="E592" s="3">
        <v>8.0403000116348294E-2</v>
      </c>
      <c r="F592" s="3"/>
      <c r="G592" s="3"/>
      <c r="H592" s="3">
        <v>3.8039289414882702E-2</v>
      </c>
      <c r="I592" s="3">
        <v>2.7</v>
      </c>
      <c r="J592" s="3"/>
      <c r="K592" s="3"/>
      <c r="L592" s="3">
        <f t="shared" si="9"/>
        <v>3</v>
      </c>
      <c r="M592">
        <f>VLOOKUP(A592,Sheet2!$B$2:$E$186,2,FALSE)</f>
        <v>99</v>
      </c>
      <c r="N592" t="s">
        <v>385</v>
      </c>
      <c r="O592" t="s">
        <v>386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/>
      <c r="AP592"/>
      <c r="AQ592"/>
      <c r="AR592"/>
      <c r="AS592"/>
      <c r="AT592"/>
      <c r="AU592"/>
    </row>
    <row r="593" spans="1:47" s="2" customFormat="1" x14ac:dyDescent="0.3">
      <c r="A593" t="s">
        <v>232</v>
      </c>
      <c r="B593" s="3">
        <v>2018</v>
      </c>
      <c r="C593" s="3">
        <v>4033.23754882813</v>
      </c>
      <c r="D593" s="3">
        <v>18314.099609375</v>
      </c>
      <c r="E593" s="3">
        <v>8.0499999225139604E-2</v>
      </c>
      <c r="F593" s="3"/>
      <c r="G593" s="3"/>
      <c r="H593" s="3">
        <v>3.7833165377378498E-2</v>
      </c>
      <c r="I593" s="3">
        <v>2.7</v>
      </c>
      <c r="J593" s="3"/>
      <c r="K593" s="3"/>
      <c r="L593" s="3">
        <f t="shared" si="9"/>
        <v>4</v>
      </c>
      <c r="M593">
        <f>VLOOKUP(A593,Sheet2!$B$2:$E$186,2,FALSE)</f>
        <v>99</v>
      </c>
      <c r="N593" t="s">
        <v>385</v>
      </c>
      <c r="O593" t="s">
        <v>386</v>
      </c>
      <c r="P593">
        <v>1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/>
      <c r="AP593"/>
      <c r="AQ593"/>
      <c r="AR593"/>
      <c r="AS593"/>
      <c r="AT593"/>
      <c r="AU593"/>
    </row>
    <row r="594" spans="1:47" s="2" customFormat="1" x14ac:dyDescent="0.3">
      <c r="A594" t="s">
        <v>232</v>
      </c>
      <c r="B594" s="3">
        <v>2019</v>
      </c>
      <c r="C594" s="3">
        <v>4004.9921875</v>
      </c>
      <c r="D594" s="3">
        <v>18721.998046875</v>
      </c>
      <c r="E594" s="3">
        <v>8.2590997219085693E-2</v>
      </c>
      <c r="F594" s="3"/>
      <c r="G594" s="3"/>
      <c r="H594" s="3">
        <v>3.7847440689802198E-2</v>
      </c>
      <c r="I594" s="3">
        <v>2.7</v>
      </c>
      <c r="J594" s="3"/>
      <c r="K594" s="3"/>
      <c r="L594" s="3">
        <f t="shared" si="9"/>
        <v>5</v>
      </c>
      <c r="M594">
        <f>VLOOKUP(A594,Sheet2!$B$2:$E$186,2,FALSE)</f>
        <v>99</v>
      </c>
      <c r="N594" t="s">
        <v>385</v>
      </c>
      <c r="O594" t="s">
        <v>386</v>
      </c>
      <c r="P594">
        <v>1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/>
      <c r="AP594"/>
      <c r="AQ594"/>
      <c r="AR594"/>
      <c r="AS594"/>
      <c r="AT594"/>
      <c r="AU594"/>
    </row>
    <row r="595" spans="1:47" s="2" customFormat="1" x14ac:dyDescent="0.3">
      <c r="A595" t="s">
        <v>232</v>
      </c>
      <c r="B595" s="3">
        <v>2020</v>
      </c>
      <c r="C595" s="3">
        <v>3029.31665039063</v>
      </c>
      <c r="D595" s="3">
        <v>18944.974609375</v>
      </c>
      <c r="E595" s="3">
        <v>5.6553002446889898E-2</v>
      </c>
      <c r="F595" s="3"/>
      <c r="G595" s="3"/>
      <c r="H595" s="3">
        <v>3.75015698373318E-2</v>
      </c>
      <c r="I595" s="3">
        <v>2.7</v>
      </c>
      <c r="J595" s="3"/>
      <c r="K595" s="3"/>
      <c r="L595" s="3">
        <f t="shared" si="9"/>
        <v>6</v>
      </c>
      <c r="M595">
        <f>VLOOKUP(A595,Sheet2!$B$2:$E$186,2,FALSE)</f>
        <v>99</v>
      </c>
      <c r="N595" t="s">
        <v>385</v>
      </c>
      <c r="O595" t="s">
        <v>386</v>
      </c>
      <c r="P595">
        <v>1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/>
      <c r="AP595"/>
      <c r="AQ595"/>
      <c r="AR595"/>
      <c r="AS595"/>
      <c r="AT595"/>
      <c r="AU595"/>
    </row>
    <row r="596" spans="1:47" x14ac:dyDescent="0.3">
      <c r="A596" t="s">
        <v>233</v>
      </c>
      <c r="B596" s="3">
        <v>2015</v>
      </c>
      <c r="C596" s="3">
        <v>284900.96875</v>
      </c>
      <c r="D596" s="3">
        <v>747761.6875</v>
      </c>
      <c r="E596" s="3">
        <v>7.8310008049011204</v>
      </c>
      <c r="F596" s="3">
        <v>0.69697725772857699</v>
      </c>
      <c r="G596" s="3">
        <v>0.18781951069831801</v>
      </c>
      <c r="H596" s="3">
        <v>6.5941713750362396E-2</v>
      </c>
      <c r="I596" s="3">
        <v>135.856912797089</v>
      </c>
      <c r="J596" s="3">
        <v>2.88331174850464</v>
      </c>
      <c r="K596" s="3">
        <v>1.07002985477448</v>
      </c>
      <c r="L596" s="3">
        <f t="shared" si="9"/>
        <v>1</v>
      </c>
      <c r="M596">
        <f>VLOOKUP(A596,Sheet2!$B$2:$E$186,2,FALSE)</f>
        <v>100</v>
      </c>
      <c r="N596" t="s">
        <v>391</v>
      </c>
      <c r="O596" t="s">
        <v>399</v>
      </c>
      <c r="P596">
        <v>0</v>
      </c>
      <c r="Q596">
        <v>0</v>
      </c>
      <c r="R596">
        <v>1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</row>
    <row r="597" spans="1:47" x14ac:dyDescent="0.3">
      <c r="A597" t="s">
        <v>233</v>
      </c>
      <c r="B597" s="3">
        <v>2016</v>
      </c>
      <c r="C597" s="3">
        <v>299298.8125</v>
      </c>
      <c r="D597" s="3">
        <v>809742.625</v>
      </c>
      <c r="E597" s="3">
        <v>7.9480004310607901</v>
      </c>
      <c r="F597" s="3">
        <v>0.75610804557800304</v>
      </c>
      <c r="G597" s="3">
        <v>0.185412377119064</v>
      </c>
      <c r="H597" s="3">
        <v>6.6377729177475003E-2</v>
      </c>
      <c r="I597" s="3">
        <v>145.58166749202601</v>
      </c>
      <c r="J597" s="3">
        <v>2.8830516338348402</v>
      </c>
      <c r="K597" s="3">
        <v>1.06174993515015</v>
      </c>
      <c r="L597" s="3">
        <f t="shared" si="9"/>
        <v>2</v>
      </c>
      <c r="M597">
        <f>VLOOKUP(A597,Sheet2!$B$2:$E$186,2,FALSE)</f>
        <v>100</v>
      </c>
      <c r="N597" t="s">
        <v>391</v>
      </c>
      <c r="O597" t="s">
        <v>399</v>
      </c>
      <c r="P597">
        <v>0</v>
      </c>
      <c r="Q597">
        <v>0</v>
      </c>
      <c r="R597">
        <v>1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</row>
    <row r="598" spans="1:47" x14ac:dyDescent="0.3">
      <c r="A598" t="s">
        <v>233</v>
      </c>
      <c r="B598" s="3">
        <v>2017</v>
      </c>
      <c r="C598" s="3">
        <v>318635.53125</v>
      </c>
      <c r="D598" s="3">
        <v>881936.6875</v>
      </c>
      <c r="E598" s="3">
        <v>8.2079992294311506</v>
      </c>
      <c r="F598" s="3">
        <v>0.82464128732681297</v>
      </c>
      <c r="G598" s="3">
        <v>0.19067607820033999</v>
      </c>
      <c r="H598" s="3">
        <v>6.6689603030681596E-2</v>
      </c>
      <c r="I598" s="3">
        <v>152.446413948767</v>
      </c>
      <c r="J598" s="3">
        <v>2.8958201408386199</v>
      </c>
      <c r="K598" s="3">
        <v>1.0540032386779801</v>
      </c>
      <c r="L598" s="3">
        <f t="shared" si="9"/>
        <v>3</v>
      </c>
      <c r="M598">
        <f>VLOOKUP(A598,Sheet2!$B$2:$E$186,2,FALSE)</f>
        <v>100</v>
      </c>
      <c r="N598" t="s">
        <v>391</v>
      </c>
      <c r="O598" t="s">
        <v>399</v>
      </c>
      <c r="P598">
        <v>0</v>
      </c>
      <c r="Q598">
        <v>0</v>
      </c>
      <c r="R598">
        <v>1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</row>
    <row r="599" spans="1:47" x14ac:dyDescent="0.3">
      <c r="A599" t="s">
        <v>233</v>
      </c>
      <c r="B599" s="3">
        <v>2018</v>
      </c>
      <c r="C599" s="3">
        <v>325996.28125</v>
      </c>
      <c r="D599" s="3">
        <v>948990.6875</v>
      </c>
      <c r="E599" s="3">
        <v>8.0150003433227504</v>
      </c>
      <c r="F599" s="3">
        <v>0.88816171884536699</v>
      </c>
      <c r="G599" s="3">
        <v>0.17456775903701799</v>
      </c>
      <c r="H599" s="3">
        <v>6.6889852285385104E-2</v>
      </c>
      <c r="I599" s="3">
        <v>162.46485873677801</v>
      </c>
      <c r="J599" s="3">
        <v>2.9086451530456499</v>
      </c>
      <c r="K599" s="3">
        <v>1.0470592975616499</v>
      </c>
      <c r="L599" s="3">
        <f t="shared" si="9"/>
        <v>4</v>
      </c>
      <c r="M599">
        <f>VLOOKUP(A599,Sheet2!$B$2:$E$186,2,FALSE)</f>
        <v>100</v>
      </c>
      <c r="N599" t="s">
        <v>391</v>
      </c>
      <c r="O599" t="s">
        <v>399</v>
      </c>
      <c r="P599">
        <v>0</v>
      </c>
      <c r="Q599">
        <v>0</v>
      </c>
      <c r="R599">
        <v>1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</row>
    <row r="600" spans="1:47" x14ac:dyDescent="0.3">
      <c r="A600" t="s">
        <v>233</v>
      </c>
      <c r="B600" s="3">
        <v>2019</v>
      </c>
      <c r="C600" s="3">
        <v>325277.53125</v>
      </c>
      <c r="D600" s="3">
        <v>996802.1875</v>
      </c>
      <c r="E600" s="3">
        <v>8.1805238723754901</v>
      </c>
      <c r="F600" s="3">
        <v>0.93022328615188599</v>
      </c>
      <c r="G600" s="3">
        <v>0.15065236389636999</v>
      </c>
      <c r="H600" s="3">
        <v>6.6559918224811596E-2</v>
      </c>
      <c r="I600" s="3">
        <v>178.74492504584799</v>
      </c>
      <c r="J600" s="3">
        <v>2.90680932998657</v>
      </c>
      <c r="K600" s="3">
        <v>1.00401699542999</v>
      </c>
      <c r="L600" s="3">
        <f t="shared" si="9"/>
        <v>5</v>
      </c>
      <c r="M600">
        <f>VLOOKUP(A600,Sheet2!$B$2:$E$186,2,FALSE)</f>
        <v>100</v>
      </c>
      <c r="N600" t="s">
        <v>391</v>
      </c>
      <c r="O600" t="s">
        <v>399</v>
      </c>
      <c r="P600">
        <v>0</v>
      </c>
      <c r="Q600">
        <v>0</v>
      </c>
      <c r="R600">
        <v>1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</row>
    <row r="601" spans="1:47" x14ac:dyDescent="0.3">
      <c r="A601" t="s">
        <v>233</v>
      </c>
      <c r="B601" s="3">
        <v>2020</v>
      </c>
      <c r="C601" s="3">
        <v>310235.03125</v>
      </c>
      <c r="D601" s="3">
        <v>1033300.25</v>
      </c>
      <c r="E601" s="3">
        <v>7.9989271163940403</v>
      </c>
      <c r="F601" s="3">
        <v>0.96178936958312999</v>
      </c>
      <c r="G601" s="3">
        <v>0.139458298683167</v>
      </c>
      <c r="H601" s="3">
        <v>6.5878845751285595E-2</v>
      </c>
      <c r="I601" s="3">
        <v>185.59255777221301</v>
      </c>
      <c r="J601" s="3">
        <v>2.9418847560882599</v>
      </c>
      <c r="K601" s="3">
        <v>1.0139030218124401</v>
      </c>
      <c r="L601" s="3">
        <f t="shared" si="9"/>
        <v>6</v>
      </c>
      <c r="M601">
        <f>VLOOKUP(A601,Sheet2!$B$2:$E$186,2,FALSE)</f>
        <v>100</v>
      </c>
      <c r="N601" t="s">
        <v>391</v>
      </c>
      <c r="O601" t="s">
        <v>399</v>
      </c>
      <c r="P601">
        <v>0</v>
      </c>
      <c r="Q601">
        <v>0</v>
      </c>
      <c r="R601">
        <v>1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</row>
    <row r="602" spans="1:47" x14ac:dyDescent="0.3">
      <c r="A602" t="s">
        <v>235</v>
      </c>
      <c r="B602" s="3">
        <v>2015</v>
      </c>
      <c r="C602" s="3">
        <v>5641.00146484375</v>
      </c>
      <c r="D602" s="3">
        <v>20416.9296875</v>
      </c>
      <c r="E602" s="3">
        <v>0.46305316686630299</v>
      </c>
      <c r="F602" s="3">
        <v>0.78830212354660001</v>
      </c>
      <c r="G602" s="3">
        <v>4.9345944076776498E-2</v>
      </c>
      <c r="H602" s="3">
        <v>3.97626757621765E-2</v>
      </c>
      <c r="I602" s="3">
        <v>12.7589308811644</v>
      </c>
      <c r="J602" s="3">
        <v>2.1820211410522501</v>
      </c>
      <c r="K602" s="3">
        <v>1.1289527416229199</v>
      </c>
      <c r="L602" s="3">
        <f t="shared" si="9"/>
        <v>1</v>
      </c>
      <c r="M602">
        <f>VLOOKUP(A602,Sheet2!$B$2:$E$186,2,FALSE)</f>
        <v>101</v>
      </c>
      <c r="N602" t="s">
        <v>387</v>
      </c>
      <c r="O602" t="s">
        <v>404</v>
      </c>
      <c r="P602">
        <v>0</v>
      </c>
      <c r="Q602">
        <v>0</v>
      </c>
      <c r="R602">
        <v>0</v>
      </c>
      <c r="S602">
        <v>1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1</v>
      </c>
      <c r="AJ602">
        <v>0</v>
      </c>
      <c r="AK602">
        <v>0</v>
      </c>
      <c r="AL602">
        <v>0</v>
      </c>
      <c r="AM602">
        <v>0</v>
      </c>
      <c r="AN602">
        <v>0</v>
      </c>
    </row>
    <row r="603" spans="1:47" x14ac:dyDescent="0.3">
      <c r="A603" t="s">
        <v>235</v>
      </c>
      <c r="B603" s="3">
        <v>2016</v>
      </c>
      <c r="C603" s="3">
        <v>5844.580078125</v>
      </c>
      <c r="D603" s="3">
        <v>21250.232421875</v>
      </c>
      <c r="E603" s="3">
        <v>0.51872873306274403</v>
      </c>
      <c r="F603" s="3">
        <v>0.81772500276565596</v>
      </c>
      <c r="G603" s="3">
        <v>4.6576321125030497E-2</v>
      </c>
      <c r="H603" s="3">
        <v>3.9206020534038502E-2</v>
      </c>
      <c r="I603" s="3">
        <v>14.7096108855267</v>
      </c>
      <c r="J603" s="3">
        <v>2.2170882225036599</v>
      </c>
      <c r="K603" s="3">
        <v>1.0294204950332599</v>
      </c>
      <c r="L603" s="3">
        <f t="shared" si="9"/>
        <v>2</v>
      </c>
      <c r="M603">
        <f>VLOOKUP(A603,Sheet2!$B$2:$E$186,2,FALSE)</f>
        <v>101</v>
      </c>
      <c r="N603" t="s">
        <v>387</v>
      </c>
      <c r="O603" t="s">
        <v>404</v>
      </c>
      <c r="P603">
        <v>0</v>
      </c>
      <c r="Q603">
        <v>0</v>
      </c>
      <c r="R603">
        <v>0</v>
      </c>
      <c r="S603">
        <v>1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1</v>
      </c>
      <c r="AJ603">
        <v>0</v>
      </c>
      <c r="AK603">
        <v>0</v>
      </c>
      <c r="AL603">
        <v>0</v>
      </c>
      <c r="AM603">
        <v>0</v>
      </c>
      <c r="AN603">
        <v>0</v>
      </c>
    </row>
    <row r="604" spans="1:47" x14ac:dyDescent="0.3">
      <c r="A604" t="s">
        <v>235</v>
      </c>
      <c r="B604" s="3">
        <v>2017</v>
      </c>
      <c r="C604" s="3">
        <v>5661.16650390625</v>
      </c>
      <c r="D604" s="3">
        <v>22043.25</v>
      </c>
      <c r="E604" s="3">
        <v>0.47713723778724698</v>
      </c>
      <c r="F604" s="3">
        <v>0.84501445293426503</v>
      </c>
      <c r="G604" s="3">
        <v>4.1138950735330602E-2</v>
      </c>
      <c r="H604" s="3">
        <v>3.8819365203380599E-2</v>
      </c>
      <c r="I604" s="3">
        <v>13.3238014244992</v>
      </c>
      <c r="J604" s="3">
        <v>2.2527191638946502</v>
      </c>
      <c r="K604" s="3">
        <v>1.0419619083404501</v>
      </c>
      <c r="L604" s="3">
        <f t="shared" si="9"/>
        <v>3</v>
      </c>
      <c r="M604">
        <f>VLOOKUP(A604,Sheet2!$B$2:$E$186,2,FALSE)</f>
        <v>101</v>
      </c>
      <c r="N604" t="s">
        <v>387</v>
      </c>
      <c r="O604" t="s">
        <v>404</v>
      </c>
      <c r="P604">
        <v>0</v>
      </c>
      <c r="Q604">
        <v>0</v>
      </c>
      <c r="R604">
        <v>0</v>
      </c>
      <c r="S604">
        <v>1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1</v>
      </c>
      <c r="AJ604">
        <v>0</v>
      </c>
      <c r="AK604">
        <v>0</v>
      </c>
      <c r="AL604">
        <v>0</v>
      </c>
      <c r="AM604">
        <v>0</v>
      </c>
      <c r="AN604">
        <v>0</v>
      </c>
    </row>
    <row r="605" spans="1:47" x14ac:dyDescent="0.3">
      <c r="A605" t="s">
        <v>235</v>
      </c>
      <c r="B605" s="3">
        <v>2018</v>
      </c>
      <c r="C605" s="3">
        <v>5577.345703125</v>
      </c>
      <c r="D605" s="3">
        <v>22869.65625</v>
      </c>
      <c r="E605" s="3">
        <v>0.47932627797126798</v>
      </c>
      <c r="F605" s="3">
        <v>0.87494152784347501</v>
      </c>
      <c r="G605" s="3">
        <v>4.5877844095230103E-2</v>
      </c>
      <c r="H605" s="3">
        <v>3.8528334349393803E-2</v>
      </c>
      <c r="I605" s="3">
        <v>13.233926471583301</v>
      </c>
      <c r="J605" s="3">
        <v>2.28892254829407</v>
      </c>
      <c r="K605" s="3">
        <v>0.99251854419708296</v>
      </c>
      <c r="L605" s="3">
        <f t="shared" si="9"/>
        <v>4</v>
      </c>
      <c r="M605">
        <f>VLOOKUP(A605,Sheet2!$B$2:$E$186,2,FALSE)</f>
        <v>101</v>
      </c>
      <c r="N605" t="s">
        <v>387</v>
      </c>
      <c r="O605" t="s">
        <v>404</v>
      </c>
      <c r="P605">
        <v>0</v>
      </c>
      <c r="Q605">
        <v>0</v>
      </c>
      <c r="R605">
        <v>0</v>
      </c>
      <c r="S605">
        <v>1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1</v>
      </c>
      <c r="AJ605">
        <v>0</v>
      </c>
      <c r="AK605">
        <v>0</v>
      </c>
      <c r="AL605">
        <v>0</v>
      </c>
      <c r="AM605">
        <v>0</v>
      </c>
      <c r="AN605">
        <v>0</v>
      </c>
    </row>
    <row r="606" spans="1:47" x14ac:dyDescent="0.3">
      <c r="A606" t="s">
        <v>235</v>
      </c>
      <c r="B606" s="3">
        <v>2019</v>
      </c>
      <c r="C606" s="3">
        <v>5498.25341796875</v>
      </c>
      <c r="D606" s="3">
        <v>23652.501953125</v>
      </c>
      <c r="E606" s="3">
        <v>0.48397594690322898</v>
      </c>
      <c r="F606" s="3">
        <v>0.915075063705444</v>
      </c>
      <c r="G606" s="3">
        <v>4.2906682938337298E-2</v>
      </c>
      <c r="H606" s="3">
        <v>3.8867287337779999E-2</v>
      </c>
      <c r="I606" s="3">
        <v>14.448427054833299</v>
      </c>
      <c r="J606" s="3">
        <v>2.22856664657593</v>
      </c>
      <c r="K606" s="3">
        <v>1.0179980993270901</v>
      </c>
      <c r="L606" s="3">
        <f t="shared" si="9"/>
        <v>5</v>
      </c>
      <c r="M606">
        <f>VLOOKUP(A606,Sheet2!$B$2:$E$186,2,FALSE)</f>
        <v>101</v>
      </c>
      <c r="N606" t="s">
        <v>387</v>
      </c>
      <c r="O606" t="s">
        <v>404</v>
      </c>
      <c r="P606">
        <v>0</v>
      </c>
      <c r="Q606">
        <v>0</v>
      </c>
      <c r="R606">
        <v>0</v>
      </c>
      <c r="S606">
        <v>1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1</v>
      </c>
      <c r="AJ606">
        <v>0</v>
      </c>
      <c r="AK606">
        <v>0</v>
      </c>
      <c r="AL606">
        <v>0</v>
      </c>
      <c r="AM606">
        <v>0</v>
      </c>
      <c r="AN606">
        <v>0</v>
      </c>
    </row>
    <row r="607" spans="1:47" x14ac:dyDescent="0.3">
      <c r="A607" t="s">
        <v>235</v>
      </c>
      <c r="B607" s="3">
        <v>2020</v>
      </c>
      <c r="C607" s="3">
        <v>5049.82373046875</v>
      </c>
      <c r="D607" s="3">
        <v>24242.890625</v>
      </c>
      <c r="E607" s="3">
        <v>0.47750735282897999</v>
      </c>
      <c r="F607" s="3">
        <v>0.95366173982620195</v>
      </c>
      <c r="G607" s="3">
        <v>3.8433495908975601E-2</v>
      </c>
      <c r="H607" s="3">
        <v>3.9958849549293497E-2</v>
      </c>
      <c r="I607" s="3">
        <v>16.459105390333299</v>
      </c>
      <c r="J607" s="3">
        <v>2.17202925682068</v>
      </c>
      <c r="K607" s="3">
        <v>1.0207930803298999</v>
      </c>
      <c r="L607" s="3">
        <f t="shared" si="9"/>
        <v>6</v>
      </c>
      <c r="M607">
        <f>VLOOKUP(A607,Sheet2!$B$2:$E$186,2,FALSE)</f>
        <v>101</v>
      </c>
      <c r="N607" t="s">
        <v>387</v>
      </c>
      <c r="O607" t="s">
        <v>404</v>
      </c>
      <c r="P607">
        <v>0</v>
      </c>
      <c r="Q607">
        <v>0</v>
      </c>
      <c r="R607">
        <v>0</v>
      </c>
      <c r="S607">
        <v>1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1</v>
      </c>
      <c r="AJ607">
        <v>0</v>
      </c>
      <c r="AK607">
        <v>0</v>
      </c>
      <c r="AL607">
        <v>0</v>
      </c>
      <c r="AM607">
        <v>0</v>
      </c>
      <c r="AN607">
        <v>0</v>
      </c>
    </row>
    <row r="608" spans="1:47" x14ac:dyDescent="0.3">
      <c r="A608" t="s">
        <v>237</v>
      </c>
      <c r="B608" s="3">
        <v>2015</v>
      </c>
      <c r="C608" s="3">
        <v>92756.578125</v>
      </c>
      <c r="D608" s="3">
        <v>416204</v>
      </c>
      <c r="E608" s="3">
        <v>1.38286256790161</v>
      </c>
      <c r="F608" s="3">
        <v>0.80456739664077803</v>
      </c>
      <c r="G608" s="3">
        <v>0.11629343777895</v>
      </c>
      <c r="H608" s="3">
        <v>3.8451313972473103E-2</v>
      </c>
      <c r="I608" s="3">
        <v>0.90129642336709603</v>
      </c>
      <c r="J608" s="3">
        <v>3.24605417251587</v>
      </c>
      <c r="K608" s="3">
        <v>0.97270578145980802</v>
      </c>
      <c r="L608" s="3">
        <f t="shared" si="9"/>
        <v>1</v>
      </c>
      <c r="M608">
        <f>VLOOKUP(A608,Sheet2!$B$2:$E$186,2,FALSE)</f>
        <v>102</v>
      </c>
      <c r="N608" t="s">
        <v>389</v>
      </c>
      <c r="O608" t="s">
        <v>406</v>
      </c>
      <c r="P608">
        <v>0</v>
      </c>
      <c r="Q608">
        <v>1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1</v>
      </c>
      <c r="AL608">
        <v>0</v>
      </c>
      <c r="AM608">
        <v>0</v>
      </c>
      <c r="AN608">
        <v>0</v>
      </c>
    </row>
    <row r="609" spans="1:40" x14ac:dyDescent="0.3">
      <c r="A609" t="s">
        <v>237</v>
      </c>
      <c r="B609" s="3">
        <v>2016</v>
      </c>
      <c r="C609" s="3">
        <v>95234.9609375</v>
      </c>
      <c r="D609" s="3">
        <v>425373.71875</v>
      </c>
      <c r="E609" s="3">
        <v>1.4127210378646899</v>
      </c>
      <c r="F609" s="3">
        <v>0.82908916473388705</v>
      </c>
      <c r="G609" s="3">
        <v>0.10812050104141201</v>
      </c>
      <c r="H609" s="3">
        <v>3.9143629372119897E-2</v>
      </c>
      <c r="I609" s="3">
        <v>0.90342143625726301</v>
      </c>
      <c r="J609" s="3">
        <v>3.2755460739135702</v>
      </c>
      <c r="K609" s="3">
        <v>0.95734840631484996</v>
      </c>
      <c r="L609" s="3">
        <f t="shared" si="9"/>
        <v>2</v>
      </c>
      <c r="M609">
        <f>VLOOKUP(A609,Sheet2!$B$2:$E$186,2,FALSE)</f>
        <v>102</v>
      </c>
      <c r="N609" t="s">
        <v>389</v>
      </c>
      <c r="O609" t="s">
        <v>406</v>
      </c>
      <c r="P609">
        <v>0</v>
      </c>
      <c r="Q609">
        <v>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1</v>
      </c>
      <c r="AL609">
        <v>0</v>
      </c>
      <c r="AM609">
        <v>0</v>
      </c>
      <c r="AN609">
        <v>0</v>
      </c>
    </row>
    <row r="610" spans="1:40" x14ac:dyDescent="0.3">
      <c r="A610" t="s">
        <v>237</v>
      </c>
      <c r="B610" s="3">
        <v>2017</v>
      </c>
      <c r="C610" s="3">
        <v>99627.421875</v>
      </c>
      <c r="D610" s="3">
        <v>436061.78125</v>
      </c>
      <c r="E610" s="3">
        <v>1.40001952648163</v>
      </c>
      <c r="F610" s="3">
        <v>0.85863685607910201</v>
      </c>
      <c r="G610" s="3">
        <v>0.11434218287468</v>
      </c>
      <c r="H610" s="3">
        <v>4.0153447538614301E-2</v>
      </c>
      <c r="I610" s="3">
        <v>0.88520550826937205</v>
      </c>
      <c r="J610" s="3">
        <v>3.2913842201232901</v>
      </c>
      <c r="K610" s="3">
        <v>0.98337578773498502</v>
      </c>
      <c r="L610" s="3">
        <f t="shared" si="9"/>
        <v>3</v>
      </c>
      <c r="M610">
        <f>VLOOKUP(A610,Sheet2!$B$2:$E$186,2,FALSE)</f>
        <v>102</v>
      </c>
      <c r="N610" t="s">
        <v>389</v>
      </c>
      <c r="O610" t="s">
        <v>406</v>
      </c>
      <c r="P610">
        <v>0</v>
      </c>
      <c r="Q610">
        <v>1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1</v>
      </c>
      <c r="AL610">
        <v>0</v>
      </c>
      <c r="AM610">
        <v>0</v>
      </c>
      <c r="AN610">
        <v>0</v>
      </c>
    </row>
    <row r="611" spans="1:40" x14ac:dyDescent="0.3">
      <c r="A611" t="s">
        <v>237</v>
      </c>
      <c r="B611" s="3">
        <v>2018</v>
      </c>
      <c r="C611" s="3">
        <v>104527.4765625</v>
      </c>
      <c r="D611" s="3">
        <v>448538.875</v>
      </c>
      <c r="E611" s="3">
        <v>1.4174768924713099</v>
      </c>
      <c r="F611" s="3">
        <v>0.89176404476165805</v>
      </c>
      <c r="G611" s="3">
        <v>0.118287459015846</v>
      </c>
      <c r="H611" s="3">
        <v>4.1336581110954299E-2</v>
      </c>
      <c r="I611" s="3">
        <v>0.84677266710811105</v>
      </c>
      <c r="J611" s="3">
        <v>3.3119556903839098</v>
      </c>
      <c r="K611" s="3">
        <v>0.99471545219421398</v>
      </c>
      <c r="L611" s="3">
        <f t="shared" si="9"/>
        <v>4</v>
      </c>
      <c r="M611">
        <f>VLOOKUP(A611,Sheet2!$B$2:$E$186,2,FALSE)</f>
        <v>102</v>
      </c>
      <c r="N611" t="s">
        <v>389</v>
      </c>
      <c r="O611" t="s">
        <v>406</v>
      </c>
      <c r="P611">
        <v>0</v>
      </c>
      <c r="Q611">
        <v>1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1</v>
      </c>
      <c r="AL611">
        <v>0</v>
      </c>
      <c r="AM611">
        <v>0</v>
      </c>
      <c r="AN611">
        <v>0</v>
      </c>
    </row>
    <row r="612" spans="1:40" x14ac:dyDescent="0.3">
      <c r="A612" t="s">
        <v>237</v>
      </c>
      <c r="B612" s="3">
        <v>2019</v>
      </c>
      <c r="C612" s="3">
        <v>109416.5859375</v>
      </c>
      <c r="D612" s="3">
        <v>462020.40625</v>
      </c>
      <c r="E612" s="3">
        <v>1.4252406358718901</v>
      </c>
      <c r="F612" s="3">
        <v>0.92717301845550504</v>
      </c>
      <c r="G612" s="3">
        <v>0.112337358295918</v>
      </c>
      <c r="H612" s="3">
        <v>4.2502600699663197E-2</v>
      </c>
      <c r="I612" s="3">
        <v>0.89327625706740899</v>
      </c>
      <c r="J612" s="3">
        <v>3.3326556682586701</v>
      </c>
      <c r="K612" s="3">
        <v>0.98648846149444602</v>
      </c>
      <c r="L612" s="3">
        <f t="shared" si="9"/>
        <v>5</v>
      </c>
      <c r="M612">
        <f>VLOOKUP(A612,Sheet2!$B$2:$E$186,2,FALSE)</f>
        <v>102</v>
      </c>
      <c r="N612" t="s">
        <v>389</v>
      </c>
      <c r="O612" t="s">
        <v>406</v>
      </c>
      <c r="P612">
        <v>0</v>
      </c>
      <c r="Q612">
        <v>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1</v>
      </c>
      <c r="AL612">
        <v>0</v>
      </c>
      <c r="AM612">
        <v>0</v>
      </c>
      <c r="AN612">
        <v>0</v>
      </c>
    </row>
    <row r="613" spans="1:40" x14ac:dyDescent="0.3">
      <c r="A613" t="s">
        <v>237</v>
      </c>
      <c r="B613" s="3">
        <v>2020</v>
      </c>
      <c r="C613" s="3">
        <v>109463.4375</v>
      </c>
      <c r="D613" s="3">
        <v>475017.03125</v>
      </c>
      <c r="E613" s="3">
        <v>1.4038563966751101</v>
      </c>
      <c r="F613" s="3">
        <v>0.95583158731460605</v>
      </c>
      <c r="G613" s="3">
        <v>0.10311046987772</v>
      </c>
      <c r="H613" s="3">
        <v>4.3209772557020201E-2</v>
      </c>
      <c r="I613" s="3">
        <v>0.87550639698799804</v>
      </c>
      <c r="J613" s="3">
        <v>3.3534851074218799</v>
      </c>
      <c r="K613" s="3">
        <v>0.96901130676269498</v>
      </c>
      <c r="L613" s="3">
        <f t="shared" si="9"/>
        <v>6</v>
      </c>
      <c r="M613">
        <f>VLOOKUP(A613,Sheet2!$B$2:$E$186,2,FALSE)</f>
        <v>102</v>
      </c>
      <c r="N613" t="s">
        <v>389</v>
      </c>
      <c r="O613" t="s">
        <v>406</v>
      </c>
      <c r="P613">
        <v>0</v>
      </c>
      <c r="Q613">
        <v>1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1</v>
      </c>
      <c r="AL613">
        <v>0</v>
      </c>
      <c r="AM613">
        <v>0</v>
      </c>
      <c r="AN613">
        <v>0</v>
      </c>
    </row>
    <row r="614" spans="1:40" x14ac:dyDescent="0.3">
      <c r="A614" t="s">
        <v>238</v>
      </c>
      <c r="B614" s="3">
        <v>2015</v>
      </c>
      <c r="C614" s="3">
        <v>55225.0390625</v>
      </c>
      <c r="D614" s="3">
        <v>261521.796875</v>
      </c>
      <c r="E614" s="3">
        <v>0.40503799915313698</v>
      </c>
      <c r="F614" s="3">
        <v>0.85371774435043302</v>
      </c>
      <c r="G614" s="3">
        <v>0.197023496031761</v>
      </c>
      <c r="H614" s="3">
        <v>4.64780293405056E-2</v>
      </c>
      <c r="I614" s="3">
        <v>0.90129642336709603</v>
      </c>
      <c r="J614" s="3">
        <v>3.1152720451354998</v>
      </c>
      <c r="K614" s="3">
        <v>1.01836490631104</v>
      </c>
      <c r="L614" s="3">
        <f t="shared" si="9"/>
        <v>1</v>
      </c>
      <c r="M614">
        <f>VLOOKUP(A614,Sheet2!$B$2:$E$186,2,FALSE)</f>
        <v>103</v>
      </c>
      <c r="N614" t="s">
        <v>389</v>
      </c>
      <c r="O614" t="s">
        <v>396</v>
      </c>
      <c r="P614">
        <v>0</v>
      </c>
      <c r="Q614">
        <v>1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1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</row>
    <row r="615" spans="1:40" x14ac:dyDescent="0.3">
      <c r="A615" t="s">
        <v>238</v>
      </c>
      <c r="B615" s="3">
        <v>2016</v>
      </c>
      <c r="C615" s="3">
        <v>57974.24609375</v>
      </c>
      <c r="D615" s="3">
        <v>268377.375</v>
      </c>
      <c r="E615" s="3">
        <v>0.41676717996597301</v>
      </c>
      <c r="F615" s="3">
        <v>0.87570953369140603</v>
      </c>
      <c r="G615" s="3">
        <v>0.201110124588013</v>
      </c>
      <c r="H615" s="3">
        <v>4.6270769089460401E-2</v>
      </c>
      <c r="I615" s="3">
        <v>0.90342143625726301</v>
      </c>
      <c r="J615" s="3">
        <v>3.15546822547913</v>
      </c>
      <c r="K615" s="3">
        <v>0.99782180786132801</v>
      </c>
      <c r="L615" s="3">
        <f t="shared" si="9"/>
        <v>2</v>
      </c>
      <c r="M615">
        <f>VLOOKUP(A615,Sheet2!$B$2:$E$186,2,FALSE)</f>
        <v>103</v>
      </c>
      <c r="N615" t="s">
        <v>389</v>
      </c>
      <c r="O615" t="s">
        <v>396</v>
      </c>
      <c r="P615">
        <v>0</v>
      </c>
      <c r="Q615">
        <v>1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1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</row>
    <row r="616" spans="1:40" x14ac:dyDescent="0.3">
      <c r="A616" t="s">
        <v>238</v>
      </c>
      <c r="B616" s="3">
        <v>2017</v>
      </c>
      <c r="C616" s="3">
        <v>58737.87890625</v>
      </c>
      <c r="D616" s="3">
        <v>275953.09375</v>
      </c>
      <c r="E616" s="3">
        <v>0.43152084946632402</v>
      </c>
      <c r="F616" s="3">
        <v>0.90136182308196999</v>
      </c>
      <c r="G616" s="3">
        <v>0.19753222167491899</v>
      </c>
      <c r="H616" s="3">
        <v>4.6130806207656902E-2</v>
      </c>
      <c r="I616" s="3">
        <v>0.88520550826937205</v>
      </c>
      <c r="J616" s="3">
        <v>3.1968929767608598</v>
      </c>
      <c r="K616" s="3">
        <v>1.0069398880004901</v>
      </c>
      <c r="L616" s="3">
        <f t="shared" si="9"/>
        <v>3</v>
      </c>
      <c r="M616">
        <f>VLOOKUP(A616,Sheet2!$B$2:$E$186,2,FALSE)</f>
        <v>103</v>
      </c>
      <c r="N616" t="s">
        <v>389</v>
      </c>
      <c r="O616" t="s">
        <v>396</v>
      </c>
      <c r="P616">
        <v>0</v>
      </c>
      <c r="Q616">
        <v>1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1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</row>
    <row r="617" spans="1:40" x14ac:dyDescent="0.3">
      <c r="A617" t="s">
        <v>238</v>
      </c>
      <c r="B617" s="3">
        <v>2018</v>
      </c>
      <c r="C617" s="3">
        <v>59454.07421875</v>
      </c>
      <c r="D617" s="3">
        <v>281823.3125</v>
      </c>
      <c r="E617" s="3">
        <v>0.44686830043792702</v>
      </c>
      <c r="F617" s="3">
        <v>0.91853612661361705</v>
      </c>
      <c r="G617" s="3">
        <v>0.181451350450516</v>
      </c>
      <c r="H617" s="3">
        <v>4.5802511274814599E-2</v>
      </c>
      <c r="I617" s="3">
        <v>0.84677266710811105</v>
      </c>
      <c r="J617" s="3">
        <v>3.2395930290222199</v>
      </c>
      <c r="K617" s="3">
        <v>0.98125058412551902</v>
      </c>
      <c r="L617" s="3">
        <f t="shared" si="9"/>
        <v>4</v>
      </c>
      <c r="M617">
        <f>VLOOKUP(A617,Sheet2!$B$2:$E$186,2,FALSE)</f>
        <v>103</v>
      </c>
      <c r="N617" t="s">
        <v>389</v>
      </c>
      <c r="O617" t="s">
        <v>396</v>
      </c>
      <c r="P617">
        <v>0</v>
      </c>
      <c r="Q617">
        <v>1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1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</row>
    <row r="618" spans="1:40" x14ac:dyDescent="0.3">
      <c r="A618" t="s">
        <v>238</v>
      </c>
      <c r="B618" s="3">
        <v>2019</v>
      </c>
      <c r="C618" s="3">
        <v>61187.66796875</v>
      </c>
      <c r="D618" s="3">
        <v>290155.59375</v>
      </c>
      <c r="E618" s="3">
        <v>0.46196901798248302</v>
      </c>
      <c r="F618" s="3">
        <v>0.94578039646148704</v>
      </c>
      <c r="G618" s="3">
        <v>0.175038322806358</v>
      </c>
      <c r="H618" s="3">
        <v>4.5398201793432201E-2</v>
      </c>
      <c r="I618" s="3">
        <v>0.89327625706740899</v>
      </c>
      <c r="J618" s="3">
        <v>3.2836177349090598</v>
      </c>
      <c r="K618" s="3">
        <v>0.99306082725524902</v>
      </c>
      <c r="L618" s="3">
        <f t="shared" si="9"/>
        <v>5</v>
      </c>
      <c r="M618">
        <f>VLOOKUP(A618,Sheet2!$B$2:$E$186,2,FALSE)</f>
        <v>103</v>
      </c>
      <c r="N618" t="s">
        <v>389</v>
      </c>
      <c r="O618" t="s">
        <v>396</v>
      </c>
      <c r="P618">
        <v>0</v>
      </c>
      <c r="Q618">
        <v>1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1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</row>
    <row r="619" spans="1:40" x14ac:dyDescent="0.3">
      <c r="A619" t="s">
        <v>238</v>
      </c>
      <c r="B619" s="3">
        <v>2020</v>
      </c>
      <c r="C619" s="3">
        <v>60630.96875</v>
      </c>
      <c r="D619" s="3">
        <v>296799.59375</v>
      </c>
      <c r="E619" s="3">
        <v>0.47082617878913902</v>
      </c>
      <c r="F619" s="3">
        <v>0.96563327312469505</v>
      </c>
      <c r="G619" s="3">
        <v>0.17090281844139099</v>
      </c>
      <c r="H619" s="3">
        <v>4.5112282037734999E-2</v>
      </c>
      <c r="I619" s="3">
        <v>0.87550639698799804</v>
      </c>
      <c r="J619" s="3">
        <v>3.32901906967163</v>
      </c>
      <c r="K619" s="3">
        <v>0.95451521873474099</v>
      </c>
      <c r="L619" s="3">
        <f t="shared" si="9"/>
        <v>6</v>
      </c>
      <c r="M619">
        <f>VLOOKUP(A619,Sheet2!$B$2:$E$186,2,FALSE)</f>
        <v>103</v>
      </c>
      <c r="N619" t="s">
        <v>389</v>
      </c>
      <c r="O619" t="s">
        <v>396</v>
      </c>
      <c r="P619">
        <v>0</v>
      </c>
      <c r="Q619">
        <v>1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1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</row>
    <row r="620" spans="1:40" x14ac:dyDescent="0.3">
      <c r="A620" t="s">
        <v>239</v>
      </c>
      <c r="B620" s="3">
        <v>2015</v>
      </c>
      <c r="C620" s="3">
        <v>54718.078125</v>
      </c>
      <c r="D620" s="3">
        <v>487592.8125</v>
      </c>
      <c r="E620" s="3">
        <v>0.89071893692016602</v>
      </c>
      <c r="F620" s="3">
        <v>0.90262466669082597</v>
      </c>
      <c r="G620" s="3">
        <v>3.7462513893842697E-2</v>
      </c>
      <c r="H620" s="3">
        <v>2.8612207621336001E-2</v>
      </c>
      <c r="I620" s="3">
        <v>0.90129642336709603</v>
      </c>
      <c r="J620" s="3">
        <v>3.0831527709960902</v>
      </c>
      <c r="K620" s="3">
        <v>0.84714102745056197</v>
      </c>
      <c r="L620" s="3">
        <f t="shared" si="9"/>
        <v>1</v>
      </c>
      <c r="M620">
        <f>VLOOKUP(A620,Sheet2!$B$2:$E$186,2,FALSE)</f>
        <v>104</v>
      </c>
      <c r="N620" t="s">
        <v>389</v>
      </c>
      <c r="O620" t="s">
        <v>406</v>
      </c>
      <c r="P620">
        <v>0</v>
      </c>
      <c r="Q620">
        <v>1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1</v>
      </c>
      <c r="AL620">
        <v>0</v>
      </c>
      <c r="AM620">
        <v>0</v>
      </c>
      <c r="AN620">
        <v>0</v>
      </c>
    </row>
    <row r="621" spans="1:40" x14ac:dyDescent="0.3">
      <c r="A621" t="s">
        <v>239</v>
      </c>
      <c r="B621" s="3">
        <v>2016</v>
      </c>
      <c r="C621" s="3">
        <v>56114.30859375</v>
      </c>
      <c r="D621" s="3">
        <v>488150.46875</v>
      </c>
      <c r="E621" s="3">
        <v>0.88800048828125</v>
      </c>
      <c r="F621" s="3">
        <v>0.90935802459716797</v>
      </c>
      <c r="G621" s="3">
        <v>3.58259417116642E-2</v>
      </c>
      <c r="H621" s="3">
        <v>2.8705269098281899E-2</v>
      </c>
      <c r="I621" s="3">
        <v>0.90342143625726301</v>
      </c>
      <c r="J621" s="3">
        <v>3.0936627388000502</v>
      </c>
      <c r="K621" s="3">
        <v>0.86756998300552401</v>
      </c>
      <c r="L621" s="3">
        <f t="shared" si="9"/>
        <v>2</v>
      </c>
      <c r="M621">
        <f>VLOOKUP(A621,Sheet2!$B$2:$E$186,2,FALSE)</f>
        <v>104</v>
      </c>
      <c r="N621" t="s">
        <v>389</v>
      </c>
      <c r="O621" t="s">
        <v>406</v>
      </c>
      <c r="P621">
        <v>0</v>
      </c>
      <c r="Q621">
        <v>1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1</v>
      </c>
      <c r="AL621">
        <v>0</v>
      </c>
      <c r="AM621">
        <v>0</v>
      </c>
      <c r="AN621">
        <v>0</v>
      </c>
    </row>
    <row r="622" spans="1:40" x14ac:dyDescent="0.3">
      <c r="A622" t="s">
        <v>239</v>
      </c>
      <c r="B622" s="3">
        <v>2017</v>
      </c>
      <c r="C622" s="3">
        <v>58021.60546875</v>
      </c>
      <c r="D622" s="3">
        <v>490180.84375</v>
      </c>
      <c r="E622" s="3">
        <v>0.88810855150222801</v>
      </c>
      <c r="F622" s="3">
        <v>0.92155361175537098</v>
      </c>
      <c r="G622" s="3">
        <v>3.5141237080097198E-2</v>
      </c>
      <c r="H622" s="3">
        <v>2.8986640274524699E-2</v>
      </c>
      <c r="I622" s="3">
        <v>0.88520550826937205</v>
      </c>
      <c r="J622" s="3">
        <v>3.1156737804412802</v>
      </c>
      <c r="K622" s="3">
        <v>0.90377122163772605</v>
      </c>
      <c r="L622" s="3">
        <f t="shared" si="9"/>
        <v>3</v>
      </c>
      <c r="M622">
        <f>VLOOKUP(A622,Sheet2!$B$2:$E$186,2,FALSE)</f>
        <v>104</v>
      </c>
      <c r="N622" t="s">
        <v>389</v>
      </c>
      <c r="O622" t="s">
        <v>406</v>
      </c>
      <c r="P622">
        <v>0</v>
      </c>
      <c r="Q622">
        <v>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1</v>
      </c>
      <c r="AL622">
        <v>0</v>
      </c>
      <c r="AM622">
        <v>0</v>
      </c>
      <c r="AN622">
        <v>0</v>
      </c>
    </row>
    <row r="623" spans="1:40" x14ac:dyDescent="0.3">
      <c r="A623" t="s">
        <v>239</v>
      </c>
      <c r="B623" s="3">
        <v>2018</v>
      </c>
      <c r="C623" s="3">
        <v>60522.171875</v>
      </c>
      <c r="D623" s="3">
        <v>494157.59375</v>
      </c>
      <c r="E623" s="3">
        <v>0.90600347518920898</v>
      </c>
      <c r="F623" s="3">
        <v>0.94053345918655396</v>
      </c>
      <c r="G623" s="3">
        <v>3.4637898206710802E-2</v>
      </c>
      <c r="H623" s="3">
        <v>2.93869134038687E-2</v>
      </c>
      <c r="I623" s="3">
        <v>0.84677266710811105</v>
      </c>
      <c r="J623" s="3">
        <v>3.1378412246704102</v>
      </c>
      <c r="K623" s="3">
        <v>0.92709690332412698</v>
      </c>
      <c r="L623" s="3">
        <f t="shared" si="9"/>
        <v>4</v>
      </c>
      <c r="M623">
        <f>VLOOKUP(A623,Sheet2!$B$2:$E$186,2,FALSE)</f>
        <v>104</v>
      </c>
      <c r="N623" t="s">
        <v>389</v>
      </c>
      <c r="O623" t="s">
        <v>406</v>
      </c>
      <c r="P623">
        <v>0</v>
      </c>
      <c r="Q623">
        <v>1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1</v>
      </c>
      <c r="AL623">
        <v>0</v>
      </c>
      <c r="AM623">
        <v>0</v>
      </c>
      <c r="AN623">
        <v>0</v>
      </c>
    </row>
    <row r="624" spans="1:40" x14ac:dyDescent="0.3">
      <c r="A624" t="s">
        <v>239</v>
      </c>
      <c r="B624" s="3">
        <v>2019</v>
      </c>
      <c r="C624" s="3">
        <v>60930.92578125</v>
      </c>
      <c r="D624" s="3">
        <v>497877.46875</v>
      </c>
      <c r="E624" s="3">
        <v>0.92422884702682495</v>
      </c>
      <c r="F624" s="3">
        <v>0.95909702777862604</v>
      </c>
      <c r="G624" s="3">
        <v>3.16057465970516E-2</v>
      </c>
      <c r="H624" s="3">
        <v>2.9816718772053701E-2</v>
      </c>
      <c r="I624" s="3">
        <v>0.89327625706740899</v>
      </c>
      <c r="J624" s="3">
        <v>3.1503238677978498</v>
      </c>
      <c r="K624" s="3">
        <v>0.92789155244827304</v>
      </c>
      <c r="L624" s="3">
        <f t="shared" si="9"/>
        <v>5</v>
      </c>
      <c r="M624">
        <f>VLOOKUP(A624,Sheet2!$B$2:$E$186,2,FALSE)</f>
        <v>104</v>
      </c>
      <c r="N624" t="s">
        <v>389</v>
      </c>
      <c r="O624" t="s">
        <v>406</v>
      </c>
      <c r="P624">
        <v>0</v>
      </c>
      <c r="Q624">
        <v>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1</v>
      </c>
      <c r="AL624">
        <v>0</v>
      </c>
      <c r="AM624">
        <v>0</v>
      </c>
      <c r="AN624">
        <v>0</v>
      </c>
    </row>
    <row r="625" spans="1:40" x14ac:dyDescent="0.3">
      <c r="A625" t="s">
        <v>239</v>
      </c>
      <c r="B625" s="3">
        <v>2020</v>
      </c>
      <c r="C625" s="3">
        <v>58817.09375</v>
      </c>
      <c r="D625" s="3">
        <v>500833.5</v>
      </c>
      <c r="E625" s="3">
        <v>0.91756761074066195</v>
      </c>
      <c r="F625" s="3">
        <v>0.97381561994552601</v>
      </c>
      <c r="G625" s="3">
        <v>2.79625337570906E-2</v>
      </c>
      <c r="H625" s="3">
        <v>3.0171150341629999E-2</v>
      </c>
      <c r="I625" s="3">
        <v>0.87550639698799804</v>
      </c>
      <c r="J625" s="3">
        <v>3.1651487350463898</v>
      </c>
      <c r="K625" s="3">
        <v>0.91855031251907404</v>
      </c>
      <c r="L625" s="3">
        <f t="shared" si="9"/>
        <v>6</v>
      </c>
      <c r="M625">
        <f>VLOOKUP(A625,Sheet2!$B$2:$E$186,2,FALSE)</f>
        <v>104</v>
      </c>
      <c r="N625" t="s">
        <v>389</v>
      </c>
      <c r="O625" t="s">
        <v>406</v>
      </c>
      <c r="P625">
        <v>0</v>
      </c>
      <c r="Q625">
        <v>1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1</v>
      </c>
      <c r="AL625">
        <v>0</v>
      </c>
      <c r="AM625">
        <v>0</v>
      </c>
      <c r="AN625">
        <v>0</v>
      </c>
    </row>
    <row r="626" spans="1:40" x14ac:dyDescent="0.3">
      <c r="A626" t="s">
        <v>240</v>
      </c>
      <c r="B626" s="3">
        <v>2015</v>
      </c>
      <c r="C626" s="3">
        <v>45273.25</v>
      </c>
      <c r="D626" s="3">
        <v>185362.71875</v>
      </c>
      <c r="E626" s="3">
        <v>0.39669999480247498</v>
      </c>
      <c r="F626" s="3">
        <v>0.79364550113678001</v>
      </c>
      <c r="G626" s="3">
        <v>0.29744151234626798</v>
      </c>
      <c r="H626" s="3">
        <v>3.62048633396626E-2</v>
      </c>
      <c r="I626" s="3">
        <v>7.9849604166666701</v>
      </c>
      <c r="J626" s="3">
        <v>2.6942543983459499</v>
      </c>
      <c r="K626" s="3">
        <v>1.413534283638</v>
      </c>
      <c r="L626" s="3">
        <f t="shared" si="9"/>
        <v>1</v>
      </c>
      <c r="M626">
        <f>VLOOKUP(A626,Sheet2!$B$2:$E$186,2,FALSE)</f>
        <v>105</v>
      </c>
      <c r="N626" t="s">
        <v>391</v>
      </c>
      <c r="O626" t="s">
        <v>405</v>
      </c>
      <c r="P626">
        <v>0</v>
      </c>
      <c r="Q626">
        <v>0</v>
      </c>
      <c r="R626">
        <v>1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1</v>
      </c>
      <c r="AK626">
        <v>0</v>
      </c>
      <c r="AL626">
        <v>0</v>
      </c>
      <c r="AM626">
        <v>0</v>
      </c>
      <c r="AN626">
        <v>0</v>
      </c>
    </row>
    <row r="627" spans="1:40" x14ac:dyDescent="0.3">
      <c r="A627" t="s">
        <v>240</v>
      </c>
      <c r="B627" s="3">
        <v>2016</v>
      </c>
      <c r="C627" s="3">
        <v>44965.7890625</v>
      </c>
      <c r="D627" s="3">
        <v>198223.71875</v>
      </c>
      <c r="E627" s="3">
        <v>0.38969999551773099</v>
      </c>
      <c r="F627" s="3">
        <v>0.84899699687957797</v>
      </c>
      <c r="G627" s="3">
        <v>0.27767452597618097</v>
      </c>
      <c r="H627" s="3">
        <v>3.59141863882542E-2</v>
      </c>
      <c r="I627" s="3">
        <v>7.9950642500000004</v>
      </c>
      <c r="J627" s="3">
        <v>2.7176380157470699</v>
      </c>
      <c r="K627" s="3">
        <v>1.2820196151733401</v>
      </c>
      <c r="L627" s="3">
        <f t="shared" si="9"/>
        <v>2</v>
      </c>
      <c r="M627">
        <f>VLOOKUP(A627,Sheet2!$B$2:$E$186,2,FALSE)</f>
        <v>105</v>
      </c>
      <c r="N627" t="s">
        <v>391</v>
      </c>
      <c r="O627" t="s">
        <v>405</v>
      </c>
      <c r="P627">
        <v>0</v>
      </c>
      <c r="Q627">
        <v>0</v>
      </c>
      <c r="R627">
        <v>1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1</v>
      </c>
      <c r="AK627">
        <v>0</v>
      </c>
      <c r="AL627">
        <v>0</v>
      </c>
      <c r="AM627">
        <v>0</v>
      </c>
      <c r="AN627">
        <v>0</v>
      </c>
    </row>
    <row r="628" spans="1:40" x14ac:dyDescent="0.3">
      <c r="A628" t="s">
        <v>240</v>
      </c>
      <c r="B628" s="3">
        <v>2017</v>
      </c>
      <c r="C628" s="3">
        <v>49399.4765625</v>
      </c>
      <c r="D628" s="3">
        <v>210177.328125</v>
      </c>
      <c r="E628" s="3">
        <v>0.37990003824233998</v>
      </c>
      <c r="F628" s="3">
        <v>0.90023273229598999</v>
      </c>
      <c r="G628" s="3">
        <v>0.28200247883796697</v>
      </c>
      <c r="H628" s="3">
        <v>3.5496439784765202E-2</v>
      </c>
      <c r="I628" s="3">
        <v>8.0260010000000008</v>
      </c>
      <c r="J628" s="3">
        <v>2.75988793373108</v>
      </c>
      <c r="K628" s="3">
        <v>1.2331024408340501</v>
      </c>
      <c r="L628" s="3">
        <f t="shared" si="9"/>
        <v>3</v>
      </c>
      <c r="M628">
        <f>VLOOKUP(A628,Sheet2!$B$2:$E$186,2,FALSE)</f>
        <v>105</v>
      </c>
      <c r="N628" t="s">
        <v>391</v>
      </c>
      <c r="O628" t="s">
        <v>405</v>
      </c>
      <c r="P628">
        <v>0</v>
      </c>
      <c r="Q628">
        <v>0</v>
      </c>
      <c r="R628">
        <v>1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1</v>
      </c>
      <c r="AK628">
        <v>0</v>
      </c>
      <c r="AL628">
        <v>0</v>
      </c>
      <c r="AM628">
        <v>0</v>
      </c>
      <c r="AN628">
        <v>0</v>
      </c>
    </row>
    <row r="629" spans="1:40" x14ac:dyDescent="0.3">
      <c r="A629" t="s">
        <v>240</v>
      </c>
      <c r="B629" s="3">
        <v>2018</v>
      </c>
      <c r="C629" s="3">
        <v>52563.69140625</v>
      </c>
      <c r="D629" s="3">
        <v>219929.625</v>
      </c>
      <c r="E629" s="3">
        <v>0.38550001382827798</v>
      </c>
      <c r="F629" s="3">
        <v>0.94347751140594505</v>
      </c>
      <c r="G629" s="3">
        <v>0.28907442092895502</v>
      </c>
      <c r="H629" s="3">
        <v>3.5322140902280801E-2</v>
      </c>
      <c r="I629" s="3">
        <v>8.0725074166666708</v>
      </c>
      <c r="J629" s="3">
        <v>2.8039000034332302</v>
      </c>
      <c r="K629" s="3">
        <v>1.1850060224533101</v>
      </c>
      <c r="L629" s="3">
        <f t="shared" si="9"/>
        <v>4</v>
      </c>
      <c r="M629">
        <f>VLOOKUP(A629,Sheet2!$B$2:$E$186,2,FALSE)</f>
        <v>105</v>
      </c>
      <c r="N629" t="s">
        <v>391</v>
      </c>
      <c r="O629" t="s">
        <v>405</v>
      </c>
      <c r="P629">
        <v>0</v>
      </c>
      <c r="Q629">
        <v>0</v>
      </c>
      <c r="R629">
        <v>1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1</v>
      </c>
      <c r="AK629">
        <v>0</v>
      </c>
      <c r="AL629">
        <v>0</v>
      </c>
      <c r="AM629">
        <v>0</v>
      </c>
      <c r="AN629">
        <v>0</v>
      </c>
    </row>
    <row r="630" spans="1:40" x14ac:dyDescent="0.3">
      <c r="A630" t="s">
        <v>240</v>
      </c>
      <c r="B630" s="3">
        <v>2019</v>
      </c>
      <c r="C630" s="3">
        <v>51216.23828125</v>
      </c>
      <c r="D630" s="3">
        <v>226321.75</v>
      </c>
      <c r="E630" s="3">
        <v>0.38779997825622597</v>
      </c>
      <c r="F630" s="3">
        <v>0.96967279911041304</v>
      </c>
      <c r="G630" s="3">
        <v>0.27935758233070401</v>
      </c>
      <c r="H630" s="3">
        <v>3.5114791244268397E-2</v>
      </c>
      <c r="I630" s="3">
        <v>8.0704703333333292</v>
      </c>
      <c r="J630" s="3">
        <v>2.8497655391693102</v>
      </c>
      <c r="K630" s="3">
        <v>1.10932052135468</v>
      </c>
      <c r="L630" s="3">
        <f t="shared" si="9"/>
        <v>5</v>
      </c>
      <c r="M630">
        <f>VLOOKUP(A630,Sheet2!$B$2:$E$186,2,FALSE)</f>
        <v>105</v>
      </c>
      <c r="N630" t="s">
        <v>391</v>
      </c>
      <c r="O630" t="s">
        <v>405</v>
      </c>
      <c r="P630">
        <v>0</v>
      </c>
      <c r="Q630">
        <v>0</v>
      </c>
      <c r="R630">
        <v>1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1</v>
      </c>
      <c r="AK630">
        <v>0</v>
      </c>
      <c r="AL630">
        <v>0</v>
      </c>
      <c r="AM630">
        <v>0</v>
      </c>
      <c r="AN630">
        <v>0</v>
      </c>
    </row>
    <row r="631" spans="1:40" x14ac:dyDescent="0.3">
      <c r="A631" t="s">
        <v>240</v>
      </c>
      <c r="B631" s="3">
        <v>2020</v>
      </c>
      <c r="C631" s="3">
        <v>23387.302734375</v>
      </c>
      <c r="D631" s="3">
        <v>230801.0625</v>
      </c>
      <c r="E631" s="3">
        <v>0.395099997520447</v>
      </c>
      <c r="F631" s="3">
        <v>0.98578071594238303</v>
      </c>
      <c r="G631" s="3">
        <v>0.10607535392046</v>
      </c>
      <c r="H631" s="3">
        <v>3.4562647342681899E-2</v>
      </c>
      <c r="I631" s="3">
        <v>7.9890619166666701</v>
      </c>
      <c r="J631" s="3">
        <v>2.89758253097534</v>
      </c>
      <c r="K631" s="3">
        <v>0.98192691802978505</v>
      </c>
      <c r="L631" s="3">
        <f t="shared" si="9"/>
        <v>6</v>
      </c>
      <c r="M631">
        <f>VLOOKUP(A631,Sheet2!$B$2:$E$186,2,FALSE)</f>
        <v>105</v>
      </c>
      <c r="N631" t="s">
        <v>391</v>
      </c>
      <c r="O631" t="s">
        <v>405</v>
      </c>
      <c r="P631">
        <v>0</v>
      </c>
      <c r="Q631">
        <v>0</v>
      </c>
      <c r="R631">
        <v>1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1</v>
      </c>
      <c r="AK631">
        <v>0</v>
      </c>
      <c r="AL631">
        <v>0</v>
      </c>
      <c r="AM631">
        <v>0</v>
      </c>
      <c r="AN631">
        <v>0</v>
      </c>
    </row>
    <row r="632" spans="1:40" x14ac:dyDescent="0.3">
      <c r="A632" t="s">
        <v>242</v>
      </c>
      <c r="B632" s="3">
        <v>2015</v>
      </c>
      <c r="C632" s="3">
        <v>289891</v>
      </c>
      <c r="D632" s="3">
        <v>1037884.0625</v>
      </c>
      <c r="E632" s="3">
        <v>11.217365264892599</v>
      </c>
      <c r="F632" s="3">
        <v>0.771872758865356</v>
      </c>
      <c r="G632" s="3">
        <v>0.115186490118504</v>
      </c>
      <c r="H632" s="3">
        <v>5.16168512403965E-2</v>
      </c>
      <c r="I632" s="3">
        <v>9.7643482795011103</v>
      </c>
      <c r="J632" s="3">
        <v>1.85103631019592</v>
      </c>
      <c r="K632" s="3">
        <v>1.02552974224091</v>
      </c>
      <c r="L632" s="3">
        <f t="shared" si="9"/>
        <v>1</v>
      </c>
      <c r="M632">
        <f>VLOOKUP(A632,Sheet2!$B$2:$E$186,2,FALSE)</f>
        <v>106</v>
      </c>
      <c r="N632" t="s">
        <v>387</v>
      </c>
      <c r="O632" t="s">
        <v>407</v>
      </c>
      <c r="P632">
        <v>0</v>
      </c>
      <c r="Q632">
        <v>0</v>
      </c>
      <c r="R632">
        <v>0</v>
      </c>
      <c r="S632">
        <v>1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1</v>
      </c>
      <c r="AM632">
        <v>0</v>
      </c>
      <c r="AN632">
        <v>0</v>
      </c>
    </row>
    <row r="633" spans="1:40" x14ac:dyDescent="0.3">
      <c r="A633" t="s">
        <v>242</v>
      </c>
      <c r="B633" s="3">
        <v>2016</v>
      </c>
      <c r="C633" s="3">
        <v>291401.84375</v>
      </c>
      <c r="D633" s="3">
        <v>1090464.125</v>
      </c>
      <c r="E633" s="3">
        <v>11.1260423660278</v>
      </c>
      <c r="F633" s="3">
        <v>0.81558251380920399</v>
      </c>
      <c r="G633" s="3">
        <v>0.114532850682735</v>
      </c>
      <c r="H633" s="3">
        <v>5.1864732056856197E-2</v>
      </c>
      <c r="I633" s="3">
        <v>9.8074760315024996</v>
      </c>
      <c r="J633" s="3">
        <v>1.87187135219574</v>
      </c>
      <c r="K633" s="3">
        <v>1.0342432260513299</v>
      </c>
      <c r="L633" s="3">
        <f t="shared" si="9"/>
        <v>2</v>
      </c>
      <c r="M633">
        <f>VLOOKUP(A633,Sheet2!$B$2:$E$186,2,FALSE)</f>
        <v>106</v>
      </c>
      <c r="N633" t="s">
        <v>387</v>
      </c>
      <c r="O633" t="s">
        <v>407</v>
      </c>
      <c r="P633">
        <v>0</v>
      </c>
      <c r="Q633">
        <v>0</v>
      </c>
      <c r="R633">
        <v>0</v>
      </c>
      <c r="S633">
        <v>1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1</v>
      </c>
      <c r="AM633">
        <v>0</v>
      </c>
      <c r="AN633">
        <v>0</v>
      </c>
    </row>
    <row r="634" spans="1:40" x14ac:dyDescent="0.3">
      <c r="A634" t="s">
        <v>242</v>
      </c>
      <c r="B634" s="3">
        <v>2017</v>
      </c>
      <c r="C634" s="3">
        <v>306140.75</v>
      </c>
      <c r="D634" s="3">
        <v>1142240.375</v>
      </c>
      <c r="E634" s="3">
        <v>11.1917572021484</v>
      </c>
      <c r="F634" s="3">
        <v>0.85698026418685902</v>
      </c>
      <c r="G634" s="3">
        <v>0.114354312419891</v>
      </c>
      <c r="H634" s="3">
        <v>5.2287023514509201E-2</v>
      </c>
      <c r="I634" s="3">
        <v>9.6919978888288991</v>
      </c>
      <c r="J634" s="3">
        <v>1.8929409980773899</v>
      </c>
      <c r="K634" s="3">
        <v>1.03317630290985</v>
      </c>
      <c r="L634" s="3">
        <f t="shared" si="9"/>
        <v>3</v>
      </c>
      <c r="M634">
        <f>VLOOKUP(A634,Sheet2!$B$2:$E$186,2,FALSE)</f>
        <v>106</v>
      </c>
      <c r="N634" t="s">
        <v>387</v>
      </c>
      <c r="O634" t="s">
        <v>407</v>
      </c>
      <c r="P634">
        <v>0</v>
      </c>
      <c r="Q634">
        <v>0</v>
      </c>
      <c r="R634">
        <v>0</v>
      </c>
      <c r="S634">
        <v>1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1</v>
      </c>
      <c r="AM634">
        <v>0</v>
      </c>
      <c r="AN634">
        <v>0</v>
      </c>
    </row>
    <row r="635" spans="1:40" x14ac:dyDescent="0.3">
      <c r="A635" t="s">
        <v>242</v>
      </c>
      <c r="B635" s="3">
        <v>2018</v>
      </c>
      <c r="C635" s="3">
        <v>315525.75</v>
      </c>
      <c r="D635" s="3">
        <v>1194168.75</v>
      </c>
      <c r="E635" s="3">
        <v>11.4201860427856</v>
      </c>
      <c r="F635" s="3">
        <v>0.89840918779373202</v>
      </c>
      <c r="G635" s="3">
        <v>0.116106636822224</v>
      </c>
      <c r="H635" s="3">
        <v>5.2536115050315899E-2</v>
      </c>
      <c r="I635" s="3">
        <v>9.3861024209197197</v>
      </c>
      <c r="J635" s="3">
        <v>1.9142477512359599</v>
      </c>
      <c r="K635" s="3">
        <v>1.02844870090485</v>
      </c>
      <c r="L635" s="3">
        <f t="shared" si="9"/>
        <v>4</v>
      </c>
      <c r="M635">
        <f>VLOOKUP(A635,Sheet2!$B$2:$E$186,2,FALSE)</f>
        <v>106</v>
      </c>
      <c r="N635" t="s">
        <v>387</v>
      </c>
      <c r="O635" t="s">
        <v>407</v>
      </c>
      <c r="P635">
        <v>0</v>
      </c>
      <c r="Q635">
        <v>0</v>
      </c>
      <c r="R635">
        <v>0</v>
      </c>
      <c r="S635">
        <v>1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1</v>
      </c>
      <c r="AM635">
        <v>0</v>
      </c>
      <c r="AN635">
        <v>0</v>
      </c>
    </row>
    <row r="636" spans="1:40" x14ac:dyDescent="0.3">
      <c r="A636" t="s">
        <v>242</v>
      </c>
      <c r="B636" s="3">
        <v>2019</v>
      </c>
      <c r="C636" s="3">
        <v>324647.53125</v>
      </c>
      <c r="D636" s="3">
        <v>1245164.625</v>
      </c>
      <c r="E636" s="3">
        <v>11.431804656982401</v>
      </c>
      <c r="F636" s="3">
        <v>0.93921798467636097</v>
      </c>
      <c r="G636" s="3">
        <v>0.118811756372452</v>
      </c>
      <c r="H636" s="3">
        <v>5.2794482558965697E-2</v>
      </c>
      <c r="I636" s="3">
        <v>9.6170760995074396</v>
      </c>
      <c r="J636" s="3">
        <v>1.9357943534851101</v>
      </c>
      <c r="K636" s="3">
        <v>1.01898837089539</v>
      </c>
      <c r="L636" s="3">
        <f t="shared" si="9"/>
        <v>5</v>
      </c>
      <c r="M636">
        <f>VLOOKUP(A636,Sheet2!$B$2:$E$186,2,FALSE)</f>
        <v>106</v>
      </c>
      <c r="N636" t="s">
        <v>387</v>
      </c>
      <c r="O636" t="s">
        <v>407</v>
      </c>
      <c r="P636">
        <v>0</v>
      </c>
      <c r="Q636">
        <v>0</v>
      </c>
      <c r="R636">
        <v>0</v>
      </c>
      <c r="S636">
        <v>1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1</v>
      </c>
      <c r="AM636">
        <v>0</v>
      </c>
      <c r="AN636">
        <v>0</v>
      </c>
    </row>
    <row r="637" spans="1:40" x14ac:dyDescent="0.3">
      <c r="A637" t="s">
        <v>242</v>
      </c>
      <c r="B637" s="3">
        <v>2020</v>
      </c>
      <c r="C637" s="3">
        <v>301343.625</v>
      </c>
      <c r="D637" s="3">
        <v>1282119.25</v>
      </c>
      <c r="E637" s="3">
        <v>11.441918373107899</v>
      </c>
      <c r="F637" s="3">
        <v>0.96577489376068104</v>
      </c>
      <c r="G637" s="3">
        <v>0.10577722638845399</v>
      </c>
      <c r="H637" s="3">
        <v>5.2773054689168902E-2</v>
      </c>
      <c r="I637" s="3">
        <v>9.4968473222196899</v>
      </c>
      <c r="J637" s="3">
        <v>1.9575835466384901</v>
      </c>
      <c r="K637" s="3">
        <v>0.96066772937774703</v>
      </c>
      <c r="L637" s="3">
        <f t="shared" si="9"/>
        <v>6</v>
      </c>
      <c r="M637">
        <f>VLOOKUP(A637,Sheet2!$B$2:$E$186,2,FALSE)</f>
        <v>106</v>
      </c>
      <c r="N637" t="s">
        <v>387</v>
      </c>
      <c r="O637" t="s">
        <v>407</v>
      </c>
      <c r="P637">
        <v>0</v>
      </c>
      <c r="Q637">
        <v>0</v>
      </c>
      <c r="R637">
        <v>0</v>
      </c>
      <c r="S637">
        <v>1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1</v>
      </c>
      <c r="AM637">
        <v>0</v>
      </c>
      <c r="AN637">
        <v>0</v>
      </c>
    </row>
    <row r="638" spans="1:40" x14ac:dyDescent="0.3">
      <c r="A638" t="s">
        <v>244</v>
      </c>
      <c r="B638" s="3">
        <v>2015</v>
      </c>
      <c r="C638" s="3">
        <v>37330.57421875</v>
      </c>
      <c r="D638" s="3">
        <v>135708.984375</v>
      </c>
      <c r="E638" s="3">
        <v>1.09358382225037</v>
      </c>
      <c r="F638" s="3">
        <v>0.82204598188400302</v>
      </c>
      <c r="G638" s="3">
        <v>6.5950229763984694E-2</v>
      </c>
      <c r="H638" s="3">
        <v>5.2869364619255101E-2</v>
      </c>
      <c r="I638" s="3">
        <v>18.818475145289302</v>
      </c>
      <c r="J638" s="3">
        <v>3.1078186035156299</v>
      </c>
      <c r="K638" s="3">
        <v>0.84806180000305198</v>
      </c>
      <c r="L638" s="3">
        <f t="shared" si="9"/>
        <v>1</v>
      </c>
      <c r="M638">
        <f>VLOOKUP(A638,Sheet2!$B$2:$E$186,2,FALSE)</f>
        <v>107</v>
      </c>
      <c r="N638" t="s">
        <v>389</v>
      </c>
      <c r="O638" t="s">
        <v>400</v>
      </c>
      <c r="P638">
        <v>0</v>
      </c>
      <c r="Q638">
        <v>1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</row>
    <row r="639" spans="1:40" x14ac:dyDescent="0.3">
      <c r="A639" t="s">
        <v>244</v>
      </c>
      <c r="B639" s="3">
        <v>2016</v>
      </c>
      <c r="C639" s="3">
        <v>39064.95703125</v>
      </c>
      <c r="D639" s="3">
        <v>137255.640625</v>
      </c>
      <c r="E639" s="3">
        <v>1.0646831989288299</v>
      </c>
      <c r="F639" s="3">
        <v>0.84067952632904097</v>
      </c>
      <c r="G639" s="3">
        <v>7.7781930565834101E-2</v>
      </c>
      <c r="H639" s="3">
        <v>5.37443608045578E-2</v>
      </c>
      <c r="I639" s="3">
        <v>19.923827563342002</v>
      </c>
      <c r="J639" s="3">
        <v>3.1130499839782702</v>
      </c>
      <c r="K639" s="3">
        <v>0.866288542747498</v>
      </c>
      <c r="L639" s="3">
        <f t="shared" si="9"/>
        <v>2</v>
      </c>
      <c r="M639">
        <f>VLOOKUP(A639,Sheet2!$B$2:$E$186,2,FALSE)</f>
        <v>107</v>
      </c>
      <c r="N639" t="s">
        <v>389</v>
      </c>
      <c r="O639" t="s">
        <v>400</v>
      </c>
      <c r="P639">
        <v>0</v>
      </c>
      <c r="Q639">
        <v>1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</row>
    <row r="640" spans="1:40" x14ac:dyDescent="0.3">
      <c r="A640" t="s">
        <v>244</v>
      </c>
      <c r="B640" s="3">
        <v>2017</v>
      </c>
      <c r="C640" s="3">
        <v>40696.16015625</v>
      </c>
      <c r="D640" s="3">
        <v>139371.140625</v>
      </c>
      <c r="E640" s="3">
        <v>1.0233196020126301</v>
      </c>
      <c r="F640" s="3">
        <v>0.86263775825500499</v>
      </c>
      <c r="G640" s="3">
        <v>0.118082590401173</v>
      </c>
      <c r="H640" s="3">
        <v>5.4976876825094202E-2</v>
      </c>
      <c r="I640" s="3">
        <v>18.499034887352799</v>
      </c>
      <c r="J640" s="3">
        <v>3.1182901859283398</v>
      </c>
      <c r="K640" s="3">
        <v>0.914778172969818</v>
      </c>
      <c r="L640" s="3">
        <f t="shared" si="9"/>
        <v>3</v>
      </c>
      <c r="M640">
        <f>VLOOKUP(A640,Sheet2!$B$2:$E$186,2,FALSE)</f>
        <v>107</v>
      </c>
      <c r="N640" t="s">
        <v>389</v>
      </c>
      <c r="O640" t="s">
        <v>400</v>
      </c>
      <c r="P640">
        <v>0</v>
      </c>
      <c r="Q640">
        <v>1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</row>
    <row r="641" spans="1:47" x14ac:dyDescent="0.3">
      <c r="A641" t="s">
        <v>244</v>
      </c>
      <c r="B641" s="3">
        <v>2018</v>
      </c>
      <c r="C641" s="3">
        <v>42354.76953125</v>
      </c>
      <c r="D641" s="3">
        <v>142547.234375</v>
      </c>
      <c r="E641" s="3">
        <v>0.99496209621429399</v>
      </c>
      <c r="F641" s="3">
        <v>0.89200919866561901</v>
      </c>
      <c r="G641" s="3">
        <v>0.104019053280354</v>
      </c>
      <c r="H641" s="3">
        <v>5.6454509496688801E-2</v>
      </c>
      <c r="I641" s="3">
        <v>16.8020517223502</v>
      </c>
      <c r="J641" s="3">
        <v>3.1235392093658398</v>
      </c>
      <c r="K641" s="3">
        <v>0.94740915298461903</v>
      </c>
      <c r="L641" s="3">
        <f t="shared" si="9"/>
        <v>4</v>
      </c>
      <c r="M641">
        <f>VLOOKUP(A641,Sheet2!$B$2:$E$186,2,FALSE)</f>
        <v>107</v>
      </c>
      <c r="N641" t="s">
        <v>389</v>
      </c>
      <c r="O641" t="s">
        <v>400</v>
      </c>
      <c r="P641">
        <v>0</v>
      </c>
      <c r="Q641">
        <v>1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</row>
    <row r="642" spans="1:47" x14ac:dyDescent="0.3">
      <c r="A642" t="s">
        <v>244</v>
      </c>
      <c r="B642" s="3">
        <v>2019</v>
      </c>
      <c r="C642" s="3">
        <v>43859.34375</v>
      </c>
      <c r="D642" s="3">
        <v>146596.90625</v>
      </c>
      <c r="E642" s="3">
        <v>1.0105828046798699</v>
      </c>
      <c r="F642" s="3">
        <v>0.92719548940658603</v>
      </c>
      <c r="G642" s="3">
        <v>0.123230651021004</v>
      </c>
      <c r="H642" s="3">
        <v>5.8097660541534403E-2</v>
      </c>
      <c r="I642" s="3">
        <v>17.573468866487499</v>
      </c>
      <c r="J642" s="3">
        <v>3.1196017265319802</v>
      </c>
      <c r="K642" s="3">
        <v>0.969471216201782</v>
      </c>
      <c r="L642" s="3">
        <f t="shared" si="9"/>
        <v>5</v>
      </c>
      <c r="M642">
        <f>VLOOKUP(A642,Sheet2!$B$2:$E$186,2,FALSE)</f>
        <v>107</v>
      </c>
      <c r="N642" t="s">
        <v>389</v>
      </c>
      <c r="O642" t="s">
        <v>400</v>
      </c>
      <c r="P642">
        <v>0</v>
      </c>
      <c r="Q642">
        <v>1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</row>
    <row r="643" spans="1:47" x14ac:dyDescent="0.3">
      <c r="A643" t="s">
        <v>244</v>
      </c>
      <c r="B643" s="3">
        <v>2020</v>
      </c>
      <c r="C643" s="3">
        <v>40229.5546875</v>
      </c>
      <c r="D643" s="3">
        <v>150861.21875</v>
      </c>
      <c r="E643" s="3">
        <v>0.99850946664810203</v>
      </c>
      <c r="F643" s="3">
        <v>0.96091926097869895</v>
      </c>
      <c r="G643" s="3">
        <v>0.11530005186796199</v>
      </c>
      <c r="H643" s="3">
        <v>5.9503015130758299E-2</v>
      </c>
      <c r="I643" s="3">
        <v>17.321835209183099</v>
      </c>
      <c r="J643" s="3">
        <v>3.1274816989898699</v>
      </c>
      <c r="K643" s="3">
        <v>0.95120698213577304</v>
      </c>
      <c r="L643" s="3">
        <f t="shared" ref="L643:L706" si="10">B643-2014</f>
        <v>6</v>
      </c>
      <c r="M643">
        <f>VLOOKUP(A643,Sheet2!$B$2:$E$186,2,FALSE)</f>
        <v>107</v>
      </c>
      <c r="N643" t="s">
        <v>389</v>
      </c>
      <c r="O643" t="s">
        <v>400</v>
      </c>
      <c r="P643">
        <v>0</v>
      </c>
      <c r="Q643">
        <v>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</row>
    <row r="644" spans="1:47" s="2" customFormat="1" x14ac:dyDescent="0.3">
      <c r="A644" t="s">
        <v>246</v>
      </c>
      <c r="B644" s="3">
        <v>2015</v>
      </c>
      <c r="C644" s="3">
        <v>41574.52734375</v>
      </c>
      <c r="D644" s="3">
        <v>107079.015625</v>
      </c>
      <c r="E644" s="3">
        <v>13.3174343109131</v>
      </c>
      <c r="F644" s="3"/>
      <c r="G644" s="3"/>
      <c r="H644" s="3">
        <v>4.3899025768041597E-2</v>
      </c>
      <c r="I644" s="3">
        <v>2933.50833333333</v>
      </c>
      <c r="J644" s="3">
        <v>1.68684959411621</v>
      </c>
      <c r="K644" s="3"/>
      <c r="L644" s="3">
        <f t="shared" si="10"/>
        <v>1</v>
      </c>
      <c r="M644">
        <f>VLOOKUP(A644,Sheet2!$B$2:$E$186,2,FALSE)</f>
        <v>108</v>
      </c>
      <c r="N644" t="s">
        <v>387</v>
      </c>
      <c r="O644" t="s">
        <v>397</v>
      </c>
      <c r="P644">
        <v>0</v>
      </c>
      <c r="Q644">
        <v>0</v>
      </c>
      <c r="R644">
        <v>0</v>
      </c>
      <c r="S644">
        <v>1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1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/>
      <c r="AP644"/>
      <c r="AQ644"/>
      <c r="AR644"/>
      <c r="AS644"/>
      <c r="AT644"/>
      <c r="AU644"/>
    </row>
    <row r="645" spans="1:47" s="2" customFormat="1" x14ac:dyDescent="0.3">
      <c r="A645" t="s">
        <v>246</v>
      </c>
      <c r="B645" s="3">
        <v>2016</v>
      </c>
      <c r="C645" s="3">
        <v>43234.65625</v>
      </c>
      <c r="D645" s="3">
        <v>111639.25</v>
      </c>
      <c r="E645" s="3">
        <v>13.7094020843506</v>
      </c>
      <c r="F645" s="3"/>
      <c r="G645" s="3"/>
      <c r="H645" s="3">
        <v>4.2930822819471401E-2</v>
      </c>
      <c r="I645" s="3">
        <v>3176.5391666666701</v>
      </c>
      <c r="J645" s="3">
        <v>1.6960139274597199</v>
      </c>
      <c r="K645" s="3"/>
      <c r="L645" s="3">
        <f t="shared" si="10"/>
        <v>2</v>
      </c>
      <c r="M645">
        <f>VLOOKUP(A645,Sheet2!$B$2:$E$186,2,FALSE)</f>
        <v>108</v>
      </c>
      <c r="N645" t="s">
        <v>387</v>
      </c>
      <c r="O645" t="s">
        <v>397</v>
      </c>
      <c r="P645">
        <v>0</v>
      </c>
      <c r="Q645">
        <v>0</v>
      </c>
      <c r="R645">
        <v>0</v>
      </c>
      <c r="S645">
        <v>1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1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/>
      <c r="AP645"/>
      <c r="AQ645"/>
      <c r="AR645"/>
      <c r="AS645"/>
      <c r="AT645"/>
      <c r="AU645"/>
    </row>
    <row r="646" spans="1:47" s="2" customFormat="1" x14ac:dyDescent="0.3">
      <c r="A646" t="s">
        <v>246</v>
      </c>
      <c r="B646" s="3">
        <v>2017</v>
      </c>
      <c r="C646" s="3">
        <v>44935.2109375</v>
      </c>
      <c r="D646" s="3">
        <v>116017.5</v>
      </c>
      <c r="E646" s="3">
        <v>14.109846115112299</v>
      </c>
      <c r="F646" s="3"/>
      <c r="G646" s="3"/>
      <c r="H646" s="3">
        <v>4.1936766356229803E-2</v>
      </c>
      <c r="I646" s="3">
        <v>3116.11</v>
      </c>
      <c r="J646" s="3">
        <v>1.70522820949554</v>
      </c>
      <c r="K646" s="3"/>
      <c r="L646" s="3">
        <f t="shared" si="10"/>
        <v>3</v>
      </c>
      <c r="M646">
        <f>VLOOKUP(A646,Sheet2!$B$2:$E$186,2,FALSE)</f>
        <v>108</v>
      </c>
      <c r="N646" t="s">
        <v>387</v>
      </c>
      <c r="O646" t="s">
        <v>397</v>
      </c>
      <c r="P646">
        <v>0</v>
      </c>
      <c r="Q646">
        <v>0</v>
      </c>
      <c r="R646">
        <v>0</v>
      </c>
      <c r="S646">
        <v>1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1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/>
      <c r="AP646"/>
      <c r="AQ646"/>
      <c r="AR646"/>
      <c r="AS646"/>
      <c r="AT646"/>
      <c r="AU646"/>
    </row>
    <row r="647" spans="1:47" s="2" customFormat="1" x14ac:dyDescent="0.3">
      <c r="A647" t="s">
        <v>246</v>
      </c>
      <c r="B647" s="3">
        <v>2018</v>
      </c>
      <c r="C647" s="3">
        <v>46370.6015625</v>
      </c>
      <c r="D647" s="3">
        <v>121458.0859375</v>
      </c>
      <c r="E647" s="3">
        <v>14.523251533508301</v>
      </c>
      <c r="F647" s="3"/>
      <c r="G647" s="3"/>
      <c r="H647" s="3">
        <v>4.1128598153591198E-2</v>
      </c>
      <c r="I647" s="3">
        <v>3334.75225490196</v>
      </c>
      <c r="J647" s="3">
        <v>1.7131768465042101</v>
      </c>
      <c r="K647" s="3"/>
      <c r="L647" s="3">
        <f t="shared" si="10"/>
        <v>4</v>
      </c>
      <c r="M647">
        <f>VLOOKUP(A647,Sheet2!$B$2:$E$186,2,FALSE)</f>
        <v>108</v>
      </c>
      <c r="N647" t="s">
        <v>387</v>
      </c>
      <c r="O647" t="s">
        <v>397</v>
      </c>
      <c r="P647">
        <v>0</v>
      </c>
      <c r="Q647">
        <v>0</v>
      </c>
      <c r="R647">
        <v>0</v>
      </c>
      <c r="S647">
        <v>1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1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/>
      <c r="AP647"/>
      <c r="AQ647"/>
      <c r="AR647"/>
      <c r="AS647"/>
      <c r="AT647"/>
      <c r="AU647"/>
    </row>
    <row r="648" spans="1:47" s="2" customFormat="1" x14ac:dyDescent="0.3">
      <c r="A648" t="s">
        <v>246</v>
      </c>
      <c r="B648" s="3">
        <v>2019</v>
      </c>
      <c r="C648" s="3">
        <v>48416.1171875</v>
      </c>
      <c r="D648" s="3">
        <v>128040.7734375</v>
      </c>
      <c r="E648" s="3">
        <v>14.9513912200928</v>
      </c>
      <c r="F648" s="3"/>
      <c r="G648" s="3"/>
      <c r="H648" s="3">
        <v>4.0391575545072597E-2</v>
      </c>
      <c r="I648" s="3">
        <v>3618.3218581607198</v>
      </c>
      <c r="J648" s="3">
        <v>1.7201874256134</v>
      </c>
      <c r="K648" s="3"/>
      <c r="L648" s="3">
        <f t="shared" si="10"/>
        <v>5</v>
      </c>
      <c r="M648">
        <f>VLOOKUP(A648,Sheet2!$B$2:$E$186,2,FALSE)</f>
        <v>108</v>
      </c>
      <c r="N648" t="s">
        <v>387</v>
      </c>
      <c r="O648" t="s">
        <v>397</v>
      </c>
      <c r="P648">
        <v>0</v>
      </c>
      <c r="Q648">
        <v>0</v>
      </c>
      <c r="R648">
        <v>0</v>
      </c>
      <c r="S648">
        <v>1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1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/>
      <c r="AP648"/>
      <c r="AQ648"/>
      <c r="AR648"/>
      <c r="AS648"/>
      <c r="AT648"/>
      <c r="AU648"/>
    </row>
    <row r="649" spans="1:47" s="2" customFormat="1" x14ac:dyDescent="0.3">
      <c r="A649" t="s">
        <v>246</v>
      </c>
      <c r="B649" s="3">
        <v>2020</v>
      </c>
      <c r="C649" s="3">
        <v>44960.33203125</v>
      </c>
      <c r="D649" s="3">
        <v>133303.453125</v>
      </c>
      <c r="E649" s="3">
        <v>15.1578588485718</v>
      </c>
      <c r="F649" s="3"/>
      <c r="G649" s="3"/>
      <c r="H649" s="3">
        <v>3.9284389466047301E-2</v>
      </c>
      <c r="I649" s="3">
        <v>3787.7540581757398</v>
      </c>
      <c r="J649" s="3">
        <v>1.7272267341613801</v>
      </c>
      <c r="K649" s="3"/>
      <c r="L649" s="3">
        <f t="shared" si="10"/>
        <v>6</v>
      </c>
      <c r="M649">
        <f>VLOOKUP(A649,Sheet2!$B$2:$E$186,2,FALSE)</f>
        <v>108</v>
      </c>
      <c r="N649" t="s">
        <v>387</v>
      </c>
      <c r="O649" t="s">
        <v>397</v>
      </c>
      <c r="P649">
        <v>0</v>
      </c>
      <c r="Q649">
        <v>0</v>
      </c>
      <c r="R649">
        <v>0</v>
      </c>
      <c r="S649">
        <v>1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1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/>
      <c r="AP649"/>
      <c r="AQ649"/>
      <c r="AR649"/>
      <c r="AS649"/>
      <c r="AT649"/>
      <c r="AU649"/>
    </row>
    <row r="650" spans="1:47" s="2" customFormat="1" x14ac:dyDescent="0.3">
      <c r="A650" t="s">
        <v>248</v>
      </c>
      <c r="B650" s="3">
        <v>2015</v>
      </c>
      <c r="C650" s="3">
        <v>8266.0673828125</v>
      </c>
      <c r="D650" s="3">
        <v>54391.01171875</v>
      </c>
      <c r="E650" s="3">
        <v>0.21715335547924</v>
      </c>
      <c r="F650" s="3"/>
      <c r="G650" s="3"/>
      <c r="H650" s="3">
        <v>4.7970037907361998E-2</v>
      </c>
      <c r="I650" s="3">
        <v>15.3663312211982</v>
      </c>
      <c r="J650" s="3">
        <v>2.0094838142395002</v>
      </c>
      <c r="K650" s="3"/>
      <c r="L650" s="3">
        <f t="shared" si="10"/>
        <v>1</v>
      </c>
      <c r="M650">
        <f>VLOOKUP(A650,Sheet2!$B$2:$E$186,2,FALSE)</f>
        <v>109</v>
      </c>
      <c r="N650" t="s">
        <v>391</v>
      </c>
      <c r="O650" t="s">
        <v>399</v>
      </c>
      <c r="P650">
        <v>0</v>
      </c>
      <c r="Q650">
        <v>0</v>
      </c>
      <c r="R650">
        <v>1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/>
      <c r="AP650"/>
      <c r="AQ650"/>
      <c r="AR650"/>
      <c r="AS650"/>
      <c r="AT650"/>
      <c r="AU650"/>
    </row>
    <row r="651" spans="1:47" s="2" customFormat="1" x14ac:dyDescent="0.3">
      <c r="A651" t="s">
        <v>248</v>
      </c>
      <c r="B651" s="3">
        <v>2016</v>
      </c>
      <c r="C651" s="3">
        <v>8809.3330078125</v>
      </c>
      <c r="D651" s="3">
        <v>59740.06640625</v>
      </c>
      <c r="E651" s="3">
        <v>0.22935190796852101</v>
      </c>
      <c r="F651" s="3"/>
      <c r="G651" s="3"/>
      <c r="H651" s="3">
        <v>4.80754412710667E-2</v>
      </c>
      <c r="I651" s="3">
        <v>15.3684076818158</v>
      </c>
      <c r="J651" s="3">
        <v>2.05971360206604</v>
      </c>
      <c r="K651" s="3"/>
      <c r="L651" s="3">
        <f t="shared" si="10"/>
        <v>2</v>
      </c>
      <c r="M651">
        <f>VLOOKUP(A651,Sheet2!$B$2:$E$186,2,FALSE)</f>
        <v>109</v>
      </c>
      <c r="N651" t="s">
        <v>391</v>
      </c>
      <c r="O651" t="s">
        <v>399</v>
      </c>
      <c r="P651">
        <v>0</v>
      </c>
      <c r="Q651">
        <v>0</v>
      </c>
      <c r="R651">
        <v>1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/>
      <c r="AP651"/>
      <c r="AQ651"/>
      <c r="AR651"/>
      <c r="AS651"/>
      <c r="AT651"/>
      <c r="AU651"/>
    </row>
    <row r="652" spans="1:47" s="2" customFormat="1" x14ac:dyDescent="0.3">
      <c r="A652" t="s">
        <v>248</v>
      </c>
      <c r="B652" s="3">
        <v>2017</v>
      </c>
      <c r="C652" s="3">
        <v>9430.791015625</v>
      </c>
      <c r="D652" s="3">
        <v>65388.29296875</v>
      </c>
      <c r="E652" s="3">
        <v>0.25342464447021501</v>
      </c>
      <c r="F652" s="3"/>
      <c r="G652" s="3"/>
      <c r="H652" s="3">
        <v>4.8176072537899003E-2</v>
      </c>
      <c r="I652" s="3">
        <v>15.3869685099846</v>
      </c>
      <c r="J652" s="3">
        <v>2.1111986637115501</v>
      </c>
      <c r="K652" s="3"/>
      <c r="L652" s="3">
        <f t="shared" si="10"/>
        <v>3</v>
      </c>
      <c r="M652">
        <f>VLOOKUP(A652,Sheet2!$B$2:$E$186,2,FALSE)</f>
        <v>109</v>
      </c>
      <c r="N652" t="s">
        <v>391</v>
      </c>
      <c r="O652" t="s">
        <v>399</v>
      </c>
      <c r="P652">
        <v>0</v>
      </c>
      <c r="Q652">
        <v>0</v>
      </c>
      <c r="R652">
        <v>1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/>
      <c r="AP652"/>
      <c r="AQ652"/>
      <c r="AR652"/>
      <c r="AS652"/>
      <c r="AT652"/>
      <c r="AU652"/>
    </row>
    <row r="653" spans="1:47" s="2" customFormat="1" x14ac:dyDescent="0.3">
      <c r="A653" t="s">
        <v>248</v>
      </c>
      <c r="B653" s="3">
        <v>2018</v>
      </c>
      <c r="C653" s="3">
        <v>10248.251953125</v>
      </c>
      <c r="D653" s="3">
        <v>73017.7421875</v>
      </c>
      <c r="E653" s="3">
        <v>0.27846613526344299</v>
      </c>
      <c r="F653" s="3"/>
      <c r="G653" s="3"/>
      <c r="H653" s="3">
        <v>4.8406668007373803E-2</v>
      </c>
      <c r="I653" s="3">
        <v>15.3908372695852</v>
      </c>
      <c r="J653" s="3">
        <v>2.2087917327880899</v>
      </c>
      <c r="K653" s="3"/>
      <c r="L653" s="3">
        <f t="shared" si="10"/>
        <v>4</v>
      </c>
      <c r="M653">
        <f>VLOOKUP(A653,Sheet2!$B$2:$E$186,2,FALSE)</f>
        <v>109</v>
      </c>
      <c r="N653" t="s">
        <v>391</v>
      </c>
      <c r="O653" t="s">
        <v>399</v>
      </c>
      <c r="P653">
        <v>0</v>
      </c>
      <c r="Q653">
        <v>0</v>
      </c>
      <c r="R653">
        <v>1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/>
      <c r="AP653"/>
      <c r="AQ653"/>
      <c r="AR653"/>
      <c r="AS653"/>
      <c r="AT653"/>
      <c r="AU653"/>
    </row>
    <row r="654" spans="1:47" s="2" customFormat="1" x14ac:dyDescent="0.3">
      <c r="A654" t="s">
        <v>248</v>
      </c>
      <c r="B654" s="3">
        <v>2019</v>
      </c>
      <c r="C654" s="3">
        <v>10996.2041015625</v>
      </c>
      <c r="D654" s="3">
        <v>79972.9296875</v>
      </c>
      <c r="E654" s="3">
        <v>0.304450362920761</v>
      </c>
      <c r="F654" s="3"/>
      <c r="G654" s="3"/>
      <c r="H654" s="3">
        <v>4.8621591180563001E-2</v>
      </c>
      <c r="I654" s="3">
        <v>15.382041922683101</v>
      </c>
      <c r="J654" s="3">
        <v>2.3185791969299299</v>
      </c>
      <c r="K654" s="3"/>
      <c r="L654" s="3">
        <f t="shared" si="10"/>
        <v>5</v>
      </c>
      <c r="M654">
        <f>VLOOKUP(A654,Sheet2!$B$2:$E$186,2,FALSE)</f>
        <v>109</v>
      </c>
      <c r="N654" t="s">
        <v>391</v>
      </c>
      <c r="O654" t="s">
        <v>399</v>
      </c>
      <c r="P654">
        <v>0</v>
      </c>
      <c r="Q654">
        <v>0</v>
      </c>
      <c r="R654">
        <v>1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/>
      <c r="AP654"/>
      <c r="AQ654"/>
      <c r="AR654"/>
      <c r="AS654"/>
      <c r="AT654"/>
      <c r="AU654"/>
    </row>
    <row r="655" spans="1:47" s="2" customFormat="1" x14ac:dyDescent="0.3">
      <c r="A655" t="s">
        <v>248</v>
      </c>
      <c r="B655" s="3">
        <v>2020</v>
      </c>
      <c r="C655" s="3">
        <v>7377.482421875</v>
      </c>
      <c r="D655" s="3">
        <v>80878</v>
      </c>
      <c r="E655" s="3">
        <v>0.28880354762077298</v>
      </c>
      <c r="F655" s="3"/>
      <c r="G655" s="3"/>
      <c r="H655" s="3">
        <v>4.8089865595102303E-2</v>
      </c>
      <c r="I655" s="3">
        <v>15.381269527870501</v>
      </c>
      <c r="J655" s="3">
        <v>2.4425106048584002</v>
      </c>
      <c r="K655" s="3"/>
      <c r="L655" s="3">
        <f t="shared" si="10"/>
        <v>6</v>
      </c>
      <c r="M655">
        <f>VLOOKUP(A655,Sheet2!$B$2:$E$186,2,FALSE)</f>
        <v>109</v>
      </c>
      <c r="N655" t="s">
        <v>391</v>
      </c>
      <c r="O655" t="s">
        <v>399</v>
      </c>
      <c r="P655">
        <v>0</v>
      </c>
      <c r="Q655">
        <v>0</v>
      </c>
      <c r="R655">
        <v>1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/>
      <c r="AP655"/>
      <c r="AQ655"/>
      <c r="AR655"/>
      <c r="AS655"/>
      <c r="AT655"/>
      <c r="AU655"/>
    </row>
    <row r="656" spans="1:47" x14ac:dyDescent="0.3">
      <c r="A656" t="s">
        <v>250</v>
      </c>
      <c r="B656" s="3">
        <v>2015</v>
      </c>
      <c r="C656" s="3">
        <v>2452705.25</v>
      </c>
      <c r="D656" s="3">
        <v>9423436</v>
      </c>
      <c r="E656" s="3">
        <v>50.611331939697301</v>
      </c>
      <c r="F656" s="3">
        <v>0.90061146020889304</v>
      </c>
      <c r="G656" s="3">
        <v>0.12808196246624001</v>
      </c>
      <c r="H656" s="3">
        <v>3.7473276257515002E-2</v>
      </c>
      <c r="I656" s="3">
        <v>15.848266666666699</v>
      </c>
      <c r="J656" s="3">
        <v>2.6965396404266402</v>
      </c>
      <c r="K656" s="3">
        <v>1.11209273338318</v>
      </c>
      <c r="L656" s="3">
        <f t="shared" si="10"/>
        <v>1</v>
      </c>
      <c r="M656">
        <f>VLOOKUP(A656,Sheet2!$B$2:$E$186,2,FALSE)</f>
        <v>110</v>
      </c>
      <c r="N656" t="s">
        <v>385</v>
      </c>
      <c r="O656" t="s">
        <v>401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1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</row>
    <row r="657" spans="1:47" x14ac:dyDescent="0.3">
      <c r="A657" t="s">
        <v>250</v>
      </c>
      <c r="B657" s="3">
        <v>2016</v>
      </c>
      <c r="C657" s="3">
        <v>2496179.25</v>
      </c>
      <c r="D657" s="3">
        <v>9648700</v>
      </c>
      <c r="E657" s="3">
        <v>51.594753265380902</v>
      </c>
      <c r="F657" s="3">
        <v>0.925689697265625</v>
      </c>
      <c r="G657" s="3">
        <v>0.12609891593456299</v>
      </c>
      <c r="H657" s="3">
        <v>3.7933152168989202E-2</v>
      </c>
      <c r="I657" s="3">
        <v>18.664058333333301</v>
      </c>
      <c r="J657" s="3">
        <v>2.7164463996887198</v>
      </c>
      <c r="K657" s="3">
        <v>1.09901535511017</v>
      </c>
      <c r="L657" s="3">
        <f t="shared" si="10"/>
        <v>2</v>
      </c>
      <c r="M657">
        <f>VLOOKUP(A657,Sheet2!$B$2:$E$186,2,FALSE)</f>
        <v>110</v>
      </c>
      <c r="N657" t="s">
        <v>385</v>
      </c>
      <c r="O657" t="s">
        <v>401</v>
      </c>
      <c r="P657">
        <v>1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1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</row>
    <row r="658" spans="1:47" x14ac:dyDescent="0.3">
      <c r="A658" t="s">
        <v>250</v>
      </c>
      <c r="B658" s="3">
        <v>2017</v>
      </c>
      <c r="C658" s="3">
        <v>2542901</v>
      </c>
      <c r="D658" s="3">
        <v>9855634</v>
      </c>
      <c r="E658" s="3">
        <v>52.340747833252003</v>
      </c>
      <c r="F658" s="3">
        <v>0.94812250137329102</v>
      </c>
      <c r="G658" s="3">
        <v>0.12632647156715399</v>
      </c>
      <c r="H658" s="3">
        <v>3.8312826305627802E-2</v>
      </c>
      <c r="I658" s="3">
        <v>18.9265166666667</v>
      </c>
      <c r="J658" s="3">
        <v>2.73650026321411</v>
      </c>
      <c r="K658" s="3">
        <v>1.0850811004638701</v>
      </c>
      <c r="L658" s="3">
        <f t="shared" si="10"/>
        <v>3</v>
      </c>
      <c r="M658">
        <f>VLOOKUP(A658,Sheet2!$B$2:$E$186,2,FALSE)</f>
        <v>110</v>
      </c>
      <c r="N658" t="s">
        <v>385</v>
      </c>
      <c r="O658" t="s">
        <v>401</v>
      </c>
      <c r="P658">
        <v>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1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</row>
    <row r="659" spans="1:47" x14ac:dyDescent="0.3">
      <c r="A659" t="s">
        <v>250</v>
      </c>
      <c r="B659" s="3">
        <v>2018</v>
      </c>
      <c r="C659" s="3">
        <v>2593049</v>
      </c>
      <c r="D659" s="3">
        <v>10053732</v>
      </c>
      <c r="E659" s="3">
        <v>53.721195220947301</v>
      </c>
      <c r="F659" s="3">
        <v>0.96985989809036299</v>
      </c>
      <c r="G659" s="3">
        <v>0.123961679637432</v>
      </c>
      <c r="H659" s="3">
        <v>3.8607534021139103E-2</v>
      </c>
      <c r="I659" s="3">
        <v>19.244341666666699</v>
      </c>
      <c r="J659" s="3">
        <v>2.7567019462585498</v>
      </c>
      <c r="K659" s="3">
        <v>1.0693709850311299</v>
      </c>
      <c r="L659" s="3">
        <f t="shared" si="10"/>
        <v>4</v>
      </c>
      <c r="M659">
        <f>VLOOKUP(A659,Sheet2!$B$2:$E$186,2,FALSE)</f>
        <v>110</v>
      </c>
      <c r="N659" t="s">
        <v>385</v>
      </c>
      <c r="O659" t="s">
        <v>401</v>
      </c>
      <c r="P659">
        <v>1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1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</row>
    <row r="660" spans="1:47" x14ac:dyDescent="0.3">
      <c r="A660" t="s">
        <v>250</v>
      </c>
      <c r="B660" s="3">
        <v>2019</v>
      </c>
      <c r="C660" s="3">
        <v>2582866.5</v>
      </c>
      <c r="D660" s="3">
        <v>10215500</v>
      </c>
      <c r="E660" s="3">
        <v>55.189243316650398</v>
      </c>
      <c r="F660" s="3">
        <v>0.98654973506927501</v>
      </c>
      <c r="G660" s="3">
        <v>0.121729739010334</v>
      </c>
      <c r="H660" s="3">
        <v>3.8773298263549798E-2</v>
      </c>
      <c r="I660" s="3">
        <v>19.263633333333299</v>
      </c>
      <c r="J660" s="3">
        <v>2.7770528793335001</v>
      </c>
      <c r="K660" s="3">
        <v>1.04107093811035</v>
      </c>
      <c r="L660" s="3">
        <f t="shared" si="10"/>
        <v>5</v>
      </c>
      <c r="M660">
        <f>VLOOKUP(A660,Sheet2!$B$2:$E$186,2,FALSE)</f>
        <v>110</v>
      </c>
      <c r="N660" t="s">
        <v>385</v>
      </c>
      <c r="O660" t="s">
        <v>401</v>
      </c>
      <c r="P660">
        <v>1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1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</row>
    <row r="661" spans="1:47" x14ac:dyDescent="0.3">
      <c r="A661" t="s">
        <v>250</v>
      </c>
      <c r="B661" s="3">
        <v>2020</v>
      </c>
      <c r="C661" s="3">
        <v>2367093</v>
      </c>
      <c r="D661" s="3">
        <v>10279037</v>
      </c>
      <c r="E661" s="3">
        <v>51.381484985351598</v>
      </c>
      <c r="F661" s="3">
        <v>0.98997533321380604</v>
      </c>
      <c r="G661" s="3">
        <v>9.9860265851020799E-2</v>
      </c>
      <c r="H661" s="3">
        <v>3.8583993911743199E-2</v>
      </c>
      <c r="I661" s="3">
        <v>21.4856083333333</v>
      </c>
      <c r="J661" s="3">
        <v>2.7975540161132799</v>
      </c>
      <c r="K661" s="3">
        <v>0.96007323265075695</v>
      </c>
      <c r="L661" s="3">
        <f t="shared" si="10"/>
        <v>6</v>
      </c>
      <c r="M661">
        <f>VLOOKUP(A661,Sheet2!$B$2:$E$186,2,FALSE)</f>
        <v>110</v>
      </c>
      <c r="N661" t="s">
        <v>385</v>
      </c>
      <c r="O661" t="s">
        <v>401</v>
      </c>
      <c r="P661">
        <v>1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1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</row>
    <row r="662" spans="1:47" x14ac:dyDescent="0.3">
      <c r="A662" t="s">
        <v>252</v>
      </c>
      <c r="B662" s="3">
        <v>2015</v>
      </c>
      <c r="C662" s="3">
        <v>35776.6171875</v>
      </c>
      <c r="D662" s="3">
        <v>140797.578125</v>
      </c>
      <c r="E662" s="3">
        <v>0.807925224304199</v>
      </c>
      <c r="F662" s="3">
        <v>0.79789197444915805</v>
      </c>
      <c r="G662" s="3">
        <v>0.121040783822536</v>
      </c>
      <c r="H662" s="3">
        <v>3.6824248731136301E-2</v>
      </c>
      <c r="I662" s="3">
        <v>55.537075000000002</v>
      </c>
      <c r="J662" s="3"/>
      <c r="K662" s="3"/>
      <c r="L662" s="3">
        <f t="shared" si="10"/>
        <v>1</v>
      </c>
      <c r="M662">
        <f>VLOOKUP(A662,Sheet2!$B$2:$E$186,2,FALSE)</f>
        <v>111</v>
      </c>
      <c r="N662" t="s">
        <v>389</v>
      </c>
      <c r="O662" t="s">
        <v>390</v>
      </c>
      <c r="P662">
        <v>0</v>
      </c>
      <c r="Q662">
        <v>1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</row>
    <row r="663" spans="1:47" x14ac:dyDescent="0.3">
      <c r="A663" t="s">
        <v>252</v>
      </c>
      <c r="B663" s="3">
        <v>2016</v>
      </c>
      <c r="C663" s="3">
        <v>36795.6640625</v>
      </c>
      <c r="D663" s="3">
        <v>146906.34375</v>
      </c>
      <c r="E663" s="3">
        <v>0.815274298191071</v>
      </c>
      <c r="F663" s="3">
        <v>0.83546048402786299</v>
      </c>
      <c r="G663" s="3">
        <v>0.123650245368481</v>
      </c>
      <c r="H663" s="3">
        <v>3.71898040175438E-2</v>
      </c>
      <c r="I663" s="3">
        <v>55.731724999999997</v>
      </c>
      <c r="J663" s="3"/>
      <c r="K663" s="3"/>
      <c r="L663" s="3">
        <f t="shared" si="10"/>
        <v>2</v>
      </c>
      <c r="M663">
        <f>VLOOKUP(A663,Sheet2!$B$2:$E$186,2,FALSE)</f>
        <v>111</v>
      </c>
      <c r="N663" t="s">
        <v>389</v>
      </c>
      <c r="O663" t="s">
        <v>390</v>
      </c>
      <c r="P663">
        <v>0</v>
      </c>
      <c r="Q663">
        <v>1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</row>
    <row r="664" spans="1:47" x14ac:dyDescent="0.3">
      <c r="A664" t="s">
        <v>252</v>
      </c>
      <c r="B664" s="3">
        <v>2017</v>
      </c>
      <c r="C664" s="3">
        <v>37193.63671875</v>
      </c>
      <c r="D664" s="3">
        <v>154122.65625</v>
      </c>
      <c r="E664" s="3">
        <v>0.83407741785049405</v>
      </c>
      <c r="F664" s="3">
        <v>0.88045752048492398</v>
      </c>
      <c r="G664" s="3">
        <v>0.15146544575691201</v>
      </c>
      <c r="H664" s="3">
        <v>3.7761539220809902E-2</v>
      </c>
      <c r="I664" s="3">
        <v>54.665458333333298</v>
      </c>
      <c r="J664" s="3"/>
      <c r="K664" s="3"/>
      <c r="L664" s="3">
        <f t="shared" si="10"/>
        <v>3</v>
      </c>
      <c r="M664">
        <f>VLOOKUP(A664,Sheet2!$B$2:$E$186,2,FALSE)</f>
        <v>111</v>
      </c>
      <c r="N664" t="s">
        <v>389</v>
      </c>
      <c r="O664" t="s">
        <v>390</v>
      </c>
      <c r="P664">
        <v>0</v>
      </c>
      <c r="Q664">
        <v>1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1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</row>
    <row r="665" spans="1:47" x14ac:dyDescent="0.3">
      <c r="A665" t="s">
        <v>252</v>
      </c>
      <c r="B665" s="3">
        <v>2018</v>
      </c>
      <c r="C665" s="3">
        <v>38265.03515625</v>
      </c>
      <c r="D665" s="3">
        <v>158279.828125</v>
      </c>
      <c r="E665" s="3">
        <v>0.83017611503601096</v>
      </c>
      <c r="F665" s="3">
        <v>0.90680855512618996</v>
      </c>
      <c r="G665" s="3">
        <v>0.12382207810878799</v>
      </c>
      <c r="H665" s="3">
        <v>3.8264334201812703E-2</v>
      </c>
      <c r="I665" s="3">
        <v>52.107108333333301</v>
      </c>
      <c r="J665" s="3"/>
      <c r="K665" s="3"/>
      <c r="L665" s="3">
        <f t="shared" si="10"/>
        <v>4</v>
      </c>
      <c r="M665">
        <f>VLOOKUP(A665,Sheet2!$B$2:$E$186,2,FALSE)</f>
        <v>111</v>
      </c>
      <c r="N665" t="s">
        <v>389</v>
      </c>
      <c r="O665" t="s">
        <v>390</v>
      </c>
      <c r="P665">
        <v>0</v>
      </c>
      <c r="Q665">
        <v>1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1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</row>
    <row r="666" spans="1:47" x14ac:dyDescent="0.3">
      <c r="A666" t="s">
        <v>252</v>
      </c>
      <c r="B666" s="3">
        <v>2019</v>
      </c>
      <c r="C666" s="3">
        <v>39761.26953125</v>
      </c>
      <c r="D666" s="3">
        <v>163137.25</v>
      </c>
      <c r="E666" s="3">
        <v>0.844279825687408</v>
      </c>
      <c r="F666" s="3">
        <v>0.93693345785141002</v>
      </c>
      <c r="G666" s="3">
        <v>0.12366771697998</v>
      </c>
      <c r="H666" s="3">
        <v>3.8511306047439603E-2</v>
      </c>
      <c r="I666" s="3">
        <v>54.947200000000002</v>
      </c>
      <c r="J666" s="3"/>
      <c r="K666" s="3"/>
      <c r="L666" s="3">
        <f t="shared" si="10"/>
        <v>5</v>
      </c>
      <c r="M666">
        <f>VLOOKUP(A666,Sheet2!$B$2:$E$186,2,FALSE)</f>
        <v>111</v>
      </c>
      <c r="N666" t="s">
        <v>389</v>
      </c>
      <c r="O666" t="s">
        <v>390</v>
      </c>
      <c r="P666">
        <v>0</v>
      </c>
      <c r="Q666">
        <v>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</row>
    <row r="667" spans="1:47" x14ac:dyDescent="0.3">
      <c r="A667" t="s">
        <v>252</v>
      </c>
      <c r="B667" s="3">
        <v>2020</v>
      </c>
      <c r="C667" s="3">
        <v>37897.1640625</v>
      </c>
      <c r="D667" s="3">
        <v>167793.1875</v>
      </c>
      <c r="E667" s="3">
        <v>0.78357809782028198</v>
      </c>
      <c r="F667" s="3">
        <v>0.96703469753265403</v>
      </c>
      <c r="G667" s="3">
        <v>0.108592644333839</v>
      </c>
      <c r="H667" s="3">
        <v>3.8852952420711503E-2</v>
      </c>
      <c r="I667" s="3">
        <v>54.144325000000002</v>
      </c>
      <c r="J667" s="3"/>
      <c r="K667" s="3"/>
      <c r="L667" s="3">
        <f t="shared" si="10"/>
        <v>6</v>
      </c>
      <c r="M667">
        <f>VLOOKUP(A667,Sheet2!$B$2:$E$186,2,FALSE)</f>
        <v>111</v>
      </c>
      <c r="N667" t="s">
        <v>389</v>
      </c>
      <c r="O667" t="s">
        <v>390</v>
      </c>
      <c r="P667">
        <v>0</v>
      </c>
      <c r="Q667">
        <v>1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</row>
    <row r="668" spans="1:47" s="2" customFormat="1" x14ac:dyDescent="0.3">
      <c r="A668" t="s">
        <v>254</v>
      </c>
      <c r="B668" s="3">
        <v>2015</v>
      </c>
      <c r="C668" s="3">
        <v>37193.9921875</v>
      </c>
      <c r="D668" s="3">
        <v>49102.06640625</v>
      </c>
      <c r="E668" s="3">
        <v>5.8238787651062003</v>
      </c>
      <c r="F668" s="3"/>
      <c r="G668" s="3"/>
      <c r="H668" s="3">
        <v>5.9512108564376803E-2</v>
      </c>
      <c r="I668" s="3">
        <v>591.21169798260996</v>
      </c>
      <c r="J668" s="3">
        <v>1.3078984022140501</v>
      </c>
      <c r="K668" s="3"/>
      <c r="L668" s="3">
        <f t="shared" si="10"/>
        <v>1</v>
      </c>
      <c r="M668">
        <f>VLOOKUP(A668,Sheet2!$B$2:$E$186,2,FALSE)</f>
        <v>112</v>
      </c>
      <c r="N668" t="s">
        <v>387</v>
      </c>
      <c r="O668" t="s">
        <v>398</v>
      </c>
      <c r="P668">
        <v>0</v>
      </c>
      <c r="Q668">
        <v>0</v>
      </c>
      <c r="R668">
        <v>0</v>
      </c>
      <c r="S668">
        <v>1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/>
      <c r="AP668"/>
      <c r="AQ668"/>
      <c r="AR668"/>
      <c r="AS668"/>
      <c r="AT668"/>
      <c r="AU668"/>
    </row>
    <row r="669" spans="1:47" s="2" customFormat="1" x14ac:dyDescent="0.3">
      <c r="A669" t="s">
        <v>254</v>
      </c>
      <c r="B669" s="3">
        <v>2016</v>
      </c>
      <c r="C669" s="3">
        <v>40505.95703125</v>
      </c>
      <c r="D669" s="3">
        <v>54020.421875</v>
      </c>
      <c r="E669" s="3">
        <v>5.4577794075012198</v>
      </c>
      <c r="F669" s="3"/>
      <c r="G669" s="3"/>
      <c r="H669" s="3">
        <v>5.7127445936203003E-2</v>
      </c>
      <c r="I669" s="3">
        <v>592.60561506302201</v>
      </c>
      <c r="J669" s="3">
        <v>1.32565605640411</v>
      </c>
      <c r="K669" s="3"/>
      <c r="L669" s="3">
        <f t="shared" si="10"/>
        <v>2</v>
      </c>
      <c r="M669">
        <f>VLOOKUP(A669,Sheet2!$B$2:$E$186,2,FALSE)</f>
        <v>112</v>
      </c>
      <c r="N669" t="s">
        <v>387</v>
      </c>
      <c r="O669" t="s">
        <v>398</v>
      </c>
      <c r="P669">
        <v>0</v>
      </c>
      <c r="Q669">
        <v>0</v>
      </c>
      <c r="R669">
        <v>0</v>
      </c>
      <c r="S669">
        <v>1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1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/>
      <c r="AP669"/>
      <c r="AQ669"/>
      <c r="AR669"/>
      <c r="AS669"/>
      <c r="AT669"/>
      <c r="AU669"/>
    </row>
    <row r="670" spans="1:47" s="2" customFormat="1" x14ac:dyDescent="0.3">
      <c r="A670" t="s">
        <v>254</v>
      </c>
      <c r="B670" s="3">
        <v>2017</v>
      </c>
      <c r="C670" s="3">
        <v>43231.30078125</v>
      </c>
      <c r="D670" s="3">
        <v>58545.8828125</v>
      </c>
      <c r="E670" s="3">
        <v>6.0116410255432102</v>
      </c>
      <c r="F670" s="3"/>
      <c r="G670" s="3"/>
      <c r="H670" s="3">
        <v>5.5142212659120601E-2</v>
      </c>
      <c r="I670" s="3">
        <v>580.65674958785803</v>
      </c>
      <c r="J670" s="3">
        <v>1.34365475177765</v>
      </c>
      <c r="K670" s="3"/>
      <c r="L670" s="3">
        <f t="shared" si="10"/>
        <v>3</v>
      </c>
      <c r="M670">
        <f>VLOOKUP(A670,Sheet2!$B$2:$E$186,2,FALSE)</f>
        <v>112</v>
      </c>
      <c r="N670" t="s">
        <v>387</v>
      </c>
      <c r="O670" t="s">
        <v>398</v>
      </c>
      <c r="P670">
        <v>0</v>
      </c>
      <c r="Q670">
        <v>0</v>
      </c>
      <c r="R670">
        <v>0</v>
      </c>
      <c r="S670">
        <v>1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1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/>
      <c r="AP670"/>
      <c r="AQ670"/>
      <c r="AR670"/>
      <c r="AS670"/>
      <c r="AT670"/>
      <c r="AU670"/>
    </row>
    <row r="671" spans="1:47" s="2" customFormat="1" x14ac:dyDescent="0.3">
      <c r="A671" t="s">
        <v>254</v>
      </c>
      <c r="B671" s="3">
        <v>2018</v>
      </c>
      <c r="C671" s="3">
        <v>46159.171875</v>
      </c>
      <c r="D671" s="3">
        <v>63574.2578125</v>
      </c>
      <c r="E671" s="3">
        <v>5.9489364624023402</v>
      </c>
      <c r="F671" s="3"/>
      <c r="G671" s="3"/>
      <c r="H671" s="3">
        <v>5.3422346711158801E-2</v>
      </c>
      <c r="I671" s="3">
        <v>555.44645839822601</v>
      </c>
      <c r="J671" s="3">
        <v>1.3618978261947601</v>
      </c>
      <c r="K671" s="3"/>
      <c r="L671" s="3">
        <f t="shared" si="10"/>
        <v>4</v>
      </c>
      <c r="M671">
        <f>VLOOKUP(A671,Sheet2!$B$2:$E$186,2,FALSE)</f>
        <v>112</v>
      </c>
      <c r="N671" t="s">
        <v>387</v>
      </c>
      <c r="O671" t="s">
        <v>398</v>
      </c>
      <c r="P671">
        <v>0</v>
      </c>
      <c r="Q671">
        <v>0</v>
      </c>
      <c r="R671">
        <v>0</v>
      </c>
      <c r="S671">
        <v>1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1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/>
      <c r="AP671"/>
      <c r="AQ671"/>
      <c r="AR671"/>
      <c r="AS671"/>
      <c r="AT671"/>
      <c r="AU671"/>
    </row>
    <row r="672" spans="1:47" s="2" customFormat="1" x14ac:dyDescent="0.3">
      <c r="A672" t="s">
        <v>254</v>
      </c>
      <c r="B672" s="3">
        <v>2019</v>
      </c>
      <c r="C672" s="3">
        <v>49059.56640625</v>
      </c>
      <c r="D672" s="3">
        <v>69789.8203125</v>
      </c>
      <c r="E672" s="3">
        <v>6.0910372734069798</v>
      </c>
      <c r="F672" s="3"/>
      <c r="G672" s="3"/>
      <c r="H672" s="3">
        <v>5.2273754030466101E-2</v>
      </c>
      <c r="I672" s="3">
        <v>585.91101318036897</v>
      </c>
      <c r="J672" s="3">
        <v>1.38038861751556</v>
      </c>
      <c r="K672" s="3"/>
      <c r="L672" s="3">
        <f t="shared" si="10"/>
        <v>5</v>
      </c>
      <c r="M672">
        <f>VLOOKUP(A672,Sheet2!$B$2:$E$186,2,FALSE)</f>
        <v>112</v>
      </c>
      <c r="N672" t="s">
        <v>387</v>
      </c>
      <c r="O672" t="s">
        <v>398</v>
      </c>
      <c r="P672">
        <v>0</v>
      </c>
      <c r="Q672">
        <v>0</v>
      </c>
      <c r="R672">
        <v>0</v>
      </c>
      <c r="S672">
        <v>1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1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/>
      <c r="AP672"/>
      <c r="AQ672"/>
      <c r="AR672"/>
      <c r="AS672"/>
      <c r="AT672"/>
      <c r="AU672"/>
    </row>
    <row r="673" spans="1:47" s="2" customFormat="1" x14ac:dyDescent="0.3">
      <c r="A673" t="s">
        <v>254</v>
      </c>
      <c r="B673" s="3">
        <v>2020</v>
      </c>
      <c r="C673" s="3">
        <v>49388.875</v>
      </c>
      <c r="D673" s="3">
        <v>76384</v>
      </c>
      <c r="E673" s="3">
        <v>6.2362217903137198</v>
      </c>
      <c r="F673" s="3"/>
      <c r="G673" s="3"/>
      <c r="H673" s="3">
        <v>5.0958994776010499E-2</v>
      </c>
      <c r="I673" s="3">
        <v>575.58600451094503</v>
      </c>
      <c r="J673" s="3">
        <v>1.39913046360016</v>
      </c>
      <c r="K673" s="3"/>
      <c r="L673" s="3">
        <f t="shared" si="10"/>
        <v>6</v>
      </c>
      <c r="M673">
        <f>VLOOKUP(A673,Sheet2!$B$2:$E$186,2,FALSE)</f>
        <v>112</v>
      </c>
      <c r="N673" t="s">
        <v>387</v>
      </c>
      <c r="O673" t="s">
        <v>398</v>
      </c>
      <c r="P673">
        <v>0</v>
      </c>
      <c r="Q673">
        <v>0</v>
      </c>
      <c r="R673">
        <v>0</v>
      </c>
      <c r="S673">
        <v>1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/>
      <c r="AP673"/>
      <c r="AQ673"/>
      <c r="AR673"/>
      <c r="AS673"/>
      <c r="AT673"/>
      <c r="AU673"/>
    </row>
    <row r="674" spans="1:47" x14ac:dyDescent="0.3">
      <c r="A674" t="s">
        <v>255</v>
      </c>
      <c r="B674" s="3">
        <v>2015</v>
      </c>
      <c r="C674" s="3">
        <v>16858.537109375</v>
      </c>
      <c r="D674" s="3">
        <v>58549.90234375</v>
      </c>
      <c r="E674" s="3">
        <v>0.20329511165618899</v>
      </c>
      <c r="F674" s="3">
        <v>0.72048646211624201</v>
      </c>
      <c r="G674" s="3">
        <v>0.21234735846519501</v>
      </c>
      <c r="H674" s="3">
        <v>6.3294872641563402E-2</v>
      </c>
      <c r="I674" s="3">
        <v>0.90129642336709603</v>
      </c>
      <c r="J674" s="3">
        <v>3.1890711784362802</v>
      </c>
      <c r="K674" s="3">
        <v>1.0216799974441499</v>
      </c>
      <c r="L674" s="3">
        <f t="shared" si="10"/>
        <v>1</v>
      </c>
      <c r="M674">
        <f>VLOOKUP(A674,Sheet2!$B$2:$E$186,2,FALSE)</f>
        <v>113</v>
      </c>
      <c r="N674" t="s">
        <v>389</v>
      </c>
      <c r="O674" t="s">
        <v>390</v>
      </c>
      <c r="P674">
        <v>0</v>
      </c>
      <c r="Q674">
        <v>1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</row>
    <row r="675" spans="1:47" x14ac:dyDescent="0.3">
      <c r="A675" t="s">
        <v>255</v>
      </c>
      <c r="B675" s="3">
        <v>2016</v>
      </c>
      <c r="C675" s="3">
        <v>17545.982421875</v>
      </c>
      <c r="D675" s="3">
        <v>61643.0625</v>
      </c>
      <c r="E675" s="3">
        <v>0.215085700154305</v>
      </c>
      <c r="F675" s="3">
        <v>0.76589053869247403</v>
      </c>
      <c r="G675" s="3">
        <v>0.19818478822708099</v>
      </c>
      <c r="H675" s="3">
        <v>6.5414071083068903E-2</v>
      </c>
      <c r="I675" s="3">
        <v>0.90342143625726301</v>
      </c>
      <c r="J675" s="3">
        <v>3.2065000534057599</v>
      </c>
      <c r="K675" s="3">
        <v>0.96808207035064697</v>
      </c>
      <c r="L675" s="3">
        <f t="shared" si="10"/>
        <v>2</v>
      </c>
      <c r="M675">
        <f>VLOOKUP(A675,Sheet2!$B$2:$E$186,2,FALSE)</f>
        <v>113</v>
      </c>
      <c r="N675" t="s">
        <v>389</v>
      </c>
      <c r="O675" t="s">
        <v>390</v>
      </c>
      <c r="P675">
        <v>0</v>
      </c>
      <c r="Q675">
        <v>1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</row>
    <row r="676" spans="1:47" x14ac:dyDescent="0.3">
      <c r="A676" t="s">
        <v>255</v>
      </c>
      <c r="B676" s="3">
        <v>2017</v>
      </c>
      <c r="C676" s="3">
        <v>19822.06640625</v>
      </c>
      <c r="D676" s="3">
        <v>64397.2421875</v>
      </c>
      <c r="E676" s="3">
        <v>0.225291982293129</v>
      </c>
      <c r="F676" s="3">
        <v>0.80037432909011796</v>
      </c>
      <c r="G676" s="3">
        <v>0.23860278725624101</v>
      </c>
      <c r="H676" s="3">
        <v>6.5864689648151398E-2</v>
      </c>
      <c r="I676" s="3">
        <v>0.88520550826937205</v>
      </c>
      <c r="J676" s="3">
        <v>3.2671420574188201</v>
      </c>
      <c r="K676" s="3">
        <v>0.96277213096618697</v>
      </c>
      <c r="L676" s="3">
        <f t="shared" si="10"/>
        <v>3</v>
      </c>
      <c r="M676">
        <f>VLOOKUP(A676,Sheet2!$B$2:$E$186,2,FALSE)</f>
        <v>113</v>
      </c>
      <c r="N676" t="s">
        <v>389</v>
      </c>
      <c r="O676" t="s">
        <v>390</v>
      </c>
      <c r="P676">
        <v>0</v>
      </c>
      <c r="Q676">
        <v>1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1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</row>
    <row r="677" spans="1:47" x14ac:dyDescent="0.3">
      <c r="A677" t="s">
        <v>255</v>
      </c>
      <c r="B677" s="3">
        <v>2018</v>
      </c>
      <c r="C677" s="3">
        <v>21247.095703125</v>
      </c>
      <c r="D677" s="3">
        <v>67535.2734375</v>
      </c>
      <c r="E677" s="3">
        <v>0.240593671798706</v>
      </c>
      <c r="F677" s="3">
        <v>0.84067475795745905</v>
      </c>
      <c r="G677" s="3">
        <v>0.228509351611137</v>
      </c>
      <c r="H677" s="3">
        <v>6.4654096961021396E-2</v>
      </c>
      <c r="I677" s="3">
        <v>0.84677266710811105</v>
      </c>
      <c r="J677" s="3">
        <v>3.3289308547973602</v>
      </c>
      <c r="K677" s="3">
        <v>0.98020416498184204</v>
      </c>
      <c r="L677" s="3">
        <f t="shared" si="10"/>
        <v>4</v>
      </c>
      <c r="M677">
        <f>VLOOKUP(A677,Sheet2!$B$2:$E$186,2,FALSE)</f>
        <v>113</v>
      </c>
      <c r="N677" t="s">
        <v>389</v>
      </c>
      <c r="O677" t="s">
        <v>390</v>
      </c>
      <c r="P677">
        <v>0</v>
      </c>
      <c r="Q677">
        <v>1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1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</row>
    <row r="678" spans="1:47" x14ac:dyDescent="0.3">
      <c r="A678" t="s">
        <v>255</v>
      </c>
      <c r="B678" s="3">
        <v>2019</v>
      </c>
      <c r="C678" s="3">
        <v>22114.9765625</v>
      </c>
      <c r="D678" s="3">
        <v>71102.4765625</v>
      </c>
      <c r="E678" s="3">
        <v>0.25492680072784402</v>
      </c>
      <c r="F678" s="3">
        <v>0.88742750883102395</v>
      </c>
      <c r="G678" s="3">
        <v>0.21590735018253299</v>
      </c>
      <c r="H678" s="3">
        <v>6.3610799610614804E-2</v>
      </c>
      <c r="I678" s="3">
        <v>0.89327625706740899</v>
      </c>
      <c r="J678" s="3">
        <v>3.37115406990051</v>
      </c>
      <c r="K678" s="3">
        <v>0.97671949863433805</v>
      </c>
      <c r="L678" s="3">
        <f t="shared" si="10"/>
        <v>5</v>
      </c>
      <c r="M678">
        <f>VLOOKUP(A678,Sheet2!$B$2:$E$186,2,FALSE)</f>
        <v>113</v>
      </c>
      <c r="N678" t="s">
        <v>389</v>
      </c>
      <c r="O678" t="s">
        <v>390</v>
      </c>
      <c r="P678">
        <v>0</v>
      </c>
      <c r="Q678">
        <v>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1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</row>
    <row r="679" spans="1:47" x14ac:dyDescent="0.3">
      <c r="A679" t="s">
        <v>255</v>
      </c>
      <c r="B679" s="3">
        <v>2020</v>
      </c>
      <c r="C679" s="3">
        <v>21376.8984375</v>
      </c>
      <c r="D679" s="3">
        <v>74456.546875</v>
      </c>
      <c r="E679" s="3">
        <v>0.26418572664260898</v>
      </c>
      <c r="F679" s="3">
        <v>0.92934960126876798</v>
      </c>
      <c r="G679" s="3">
        <v>0.199045971035957</v>
      </c>
      <c r="H679" s="3">
        <v>6.2620915472507505E-2</v>
      </c>
      <c r="I679" s="3">
        <v>0.87550639698799804</v>
      </c>
      <c r="J679" s="3">
        <v>3.41391253471375</v>
      </c>
      <c r="K679" s="3">
        <v>0.943780958652496</v>
      </c>
      <c r="L679" s="3">
        <f t="shared" si="10"/>
        <v>6</v>
      </c>
      <c r="M679">
        <f>VLOOKUP(A679,Sheet2!$B$2:$E$186,2,FALSE)</f>
        <v>113</v>
      </c>
      <c r="N679" t="s">
        <v>389</v>
      </c>
      <c r="O679" t="s">
        <v>390</v>
      </c>
      <c r="P679">
        <v>0</v>
      </c>
      <c r="Q679">
        <v>1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</row>
    <row r="680" spans="1:47" s="2" customFormat="1" x14ac:dyDescent="0.3">
      <c r="A680" t="s">
        <v>256</v>
      </c>
      <c r="B680" s="3">
        <v>2015</v>
      </c>
      <c r="C680" s="3">
        <v>354552.875</v>
      </c>
      <c r="D680" s="3">
        <v>722686.3125</v>
      </c>
      <c r="E680" s="3">
        <v>21.7002983093262</v>
      </c>
      <c r="F680" s="3"/>
      <c r="G680" s="3"/>
      <c r="H680" s="3">
        <v>7.4900783598423004E-2</v>
      </c>
      <c r="I680" s="3">
        <v>1162.6153286255401</v>
      </c>
      <c r="J680" s="3">
        <v>1.7902144193649301</v>
      </c>
      <c r="K680" s="3"/>
      <c r="L680" s="3">
        <f t="shared" si="10"/>
        <v>1</v>
      </c>
      <c r="M680">
        <f>VLOOKUP(A680,Sheet2!$B$2:$E$186,2,FALSE)</f>
        <v>114</v>
      </c>
      <c r="N680" t="s">
        <v>391</v>
      </c>
      <c r="O680" t="s">
        <v>403</v>
      </c>
      <c r="P680">
        <v>0</v>
      </c>
      <c r="Q680">
        <v>0</v>
      </c>
      <c r="R680">
        <v>1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/>
      <c r="AP680"/>
      <c r="AQ680"/>
      <c r="AR680"/>
      <c r="AS680"/>
      <c r="AT680"/>
      <c r="AU680"/>
    </row>
    <row r="681" spans="1:47" s="2" customFormat="1" x14ac:dyDescent="0.3">
      <c r="A681" t="s">
        <v>256</v>
      </c>
      <c r="B681" s="3">
        <v>2016</v>
      </c>
      <c r="C681" s="3">
        <v>369210.4375</v>
      </c>
      <c r="D681" s="3">
        <v>820006.0625</v>
      </c>
      <c r="E681" s="3">
        <v>21.8145942687988</v>
      </c>
      <c r="F681" s="3"/>
      <c r="G681" s="3"/>
      <c r="H681" s="3">
        <v>7.4190914630889906E-2</v>
      </c>
      <c r="I681" s="3">
        <v>1234.8695166666701</v>
      </c>
      <c r="J681" s="3">
        <v>1.80347120761871</v>
      </c>
      <c r="K681" s="3"/>
      <c r="L681" s="3">
        <f t="shared" si="10"/>
        <v>2</v>
      </c>
      <c r="M681">
        <f>VLOOKUP(A681,Sheet2!$B$2:$E$186,2,FALSE)</f>
        <v>114</v>
      </c>
      <c r="N681" t="s">
        <v>391</v>
      </c>
      <c r="O681" t="s">
        <v>403</v>
      </c>
      <c r="P681">
        <v>0</v>
      </c>
      <c r="Q681">
        <v>0</v>
      </c>
      <c r="R681">
        <v>1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/>
      <c r="AP681"/>
      <c r="AQ681"/>
      <c r="AR681"/>
      <c r="AS681"/>
      <c r="AT681"/>
      <c r="AU681"/>
    </row>
    <row r="682" spans="1:47" s="2" customFormat="1" x14ac:dyDescent="0.3">
      <c r="A682" t="s">
        <v>256</v>
      </c>
      <c r="B682" s="3">
        <v>2017</v>
      </c>
      <c r="C682" s="3">
        <v>388716.3125</v>
      </c>
      <c r="D682" s="3">
        <v>928572.25</v>
      </c>
      <c r="E682" s="3">
        <v>21.941400527954102</v>
      </c>
      <c r="F682" s="3"/>
      <c r="G682" s="3"/>
      <c r="H682" s="3">
        <v>7.3252424597740201E-2</v>
      </c>
      <c r="I682" s="3">
        <v>1360.35870704085</v>
      </c>
      <c r="J682" s="3">
        <v>1.8168261051178001</v>
      </c>
      <c r="K682" s="3"/>
      <c r="L682" s="3">
        <f t="shared" si="10"/>
        <v>3</v>
      </c>
      <c r="M682">
        <f>VLOOKUP(A682,Sheet2!$B$2:$E$186,2,FALSE)</f>
        <v>114</v>
      </c>
      <c r="N682" t="s">
        <v>391</v>
      </c>
      <c r="O682" t="s">
        <v>403</v>
      </c>
      <c r="P682">
        <v>0</v>
      </c>
      <c r="Q682">
        <v>0</v>
      </c>
      <c r="R682">
        <v>1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/>
      <c r="AP682"/>
      <c r="AQ682"/>
      <c r="AR682"/>
      <c r="AS682"/>
      <c r="AT682"/>
      <c r="AU682"/>
    </row>
    <row r="683" spans="1:47" s="2" customFormat="1" x14ac:dyDescent="0.3">
      <c r="A683" t="s">
        <v>256</v>
      </c>
      <c r="B683" s="3">
        <v>2018</v>
      </c>
      <c r="C683" s="3">
        <v>405143.875</v>
      </c>
      <c r="D683" s="3">
        <v>1024984</v>
      </c>
      <c r="E683" s="3">
        <v>22.615800857543899</v>
      </c>
      <c r="F683" s="3"/>
      <c r="G683" s="3"/>
      <c r="H683" s="3">
        <v>7.1688175201416002E-2</v>
      </c>
      <c r="I683" s="3">
        <v>1429.8079752010699</v>
      </c>
      <c r="J683" s="3">
        <v>1.8302798271179199</v>
      </c>
      <c r="K683" s="3"/>
      <c r="L683" s="3">
        <f t="shared" si="10"/>
        <v>4</v>
      </c>
      <c r="M683">
        <f>VLOOKUP(A683,Sheet2!$B$2:$E$186,2,FALSE)</f>
        <v>114</v>
      </c>
      <c r="N683" t="s">
        <v>391</v>
      </c>
      <c r="O683" t="s">
        <v>403</v>
      </c>
      <c r="P683">
        <v>0</v>
      </c>
      <c r="Q683">
        <v>0</v>
      </c>
      <c r="R683">
        <v>1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/>
      <c r="AP683"/>
      <c r="AQ683"/>
      <c r="AR683"/>
      <c r="AS683"/>
      <c r="AT683"/>
      <c r="AU683"/>
    </row>
    <row r="684" spans="1:47" s="2" customFormat="1" x14ac:dyDescent="0.3">
      <c r="A684" t="s">
        <v>256</v>
      </c>
      <c r="B684" s="3">
        <v>2019</v>
      </c>
      <c r="C684" s="3">
        <v>424999.1875</v>
      </c>
      <c r="D684" s="3">
        <v>1121899</v>
      </c>
      <c r="E684" s="3">
        <v>22.174036026001001</v>
      </c>
      <c r="F684" s="3"/>
      <c r="G684" s="3"/>
      <c r="H684" s="3">
        <v>6.9500833749771104E-2</v>
      </c>
      <c r="I684" s="3">
        <v>1518.2551166666699</v>
      </c>
      <c r="J684" s="3">
        <v>1.8438333272934</v>
      </c>
      <c r="K684" s="3"/>
      <c r="L684" s="3">
        <f t="shared" si="10"/>
        <v>5</v>
      </c>
      <c r="M684">
        <f>VLOOKUP(A684,Sheet2!$B$2:$E$186,2,FALSE)</f>
        <v>114</v>
      </c>
      <c r="N684" t="s">
        <v>391</v>
      </c>
      <c r="O684" t="s">
        <v>403</v>
      </c>
      <c r="P684">
        <v>0</v>
      </c>
      <c r="Q684">
        <v>0</v>
      </c>
      <c r="R684">
        <v>1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/>
      <c r="AP684"/>
      <c r="AQ684"/>
      <c r="AR684"/>
      <c r="AS684"/>
      <c r="AT684"/>
      <c r="AU684"/>
    </row>
    <row r="685" spans="1:47" s="2" customFormat="1" x14ac:dyDescent="0.3">
      <c r="A685" t="s">
        <v>256</v>
      </c>
      <c r="B685" s="3">
        <v>2020</v>
      </c>
      <c r="C685" s="3">
        <v>418932.15625</v>
      </c>
      <c r="D685" s="3">
        <v>1202734.125</v>
      </c>
      <c r="E685" s="3">
        <v>22.0143527984619</v>
      </c>
      <c r="F685" s="3"/>
      <c r="G685" s="3"/>
      <c r="H685" s="3">
        <v>6.7380271852016504E-2</v>
      </c>
      <c r="I685" s="3">
        <v>1381.61916666667</v>
      </c>
      <c r="J685" s="3">
        <v>1.8574870824813801</v>
      </c>
      <c r="K685" s="3"/>
      <c r="L685" s="3">
        <f t="shared" si="10"/>
        <v>6</v>
      </c>
      <c r="M685">
        <f>VLOOKUP(A685,Sheet2!$B$2:$E$186,2,FALSE)</f>
        <v>114</v>
      </c>
      <c r="N685" t="s">
        <v>391</v>
      </c>
      <c r="O685" t="s">
        <v>403</v>
      </c>
      <c r="P685">
        <v>0</v>
      </c>
      <c r="Q685">
        <v>0</v>
      </c>
      <c r="R685">
        <v>1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/>
      <c r="AP685"/>
      <c r="AQ685"/>
      <c r="AR685"/>
      <c r="AS685"/>
      <c r="AT685"/>
      <c r="AU685"/>
    </row>
    <row r="686" spans="1:47" s="2" customFormat="1" x14ac:dyDescent="0.3">
      <c r="A686" t="s">
        <v>258</v>
      </c>
      <c r="B686" s="3">
        <v>2015</v>
      </c>
      <c r="C686" s="3">
        <v>13125.6298828125</v>
      </c>
      <c r="D686" s="3">
        <v>39198.05078125</v>
      </c>
      <c r="E686" s="3">
        <v>0.22170099616050701</v>
      </c>
      <c r="F686" s="3"/>
      <c r="G686" s="3"/>
      <c r="H686" s="3">
        <v>3.8878317922353703E-2</v>
      </c>
      <c r="I686" s="3">
        <v>0.90129642336709603</v>
      </c>
      <c r="J686" s="3"/>
      <c r="K686" s="3"/>
      <c r="L686" s="3">
        <f t="shared" si="10"/>
        <v>1</v>
      </c>
      <c r="M686">
        <f>VLOOKUP(A686,Sheet2!$B$2:$E$186,2,FALSE)</f>
        <v>115</v>
      </c>
      <c r="N686" t="s">
        <v>389</v>
      </c>
      <c r="O686" t="s">
        <v>390</v>
      </c>
      <c r="P686">
        <v>0</v>
      </c>
      <c r="Q686">
        <v>1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/>
      <c r="AP686"/>
      <c r="AQ686"/>
      <c r="AR686"/>
      <c r="AS686"/>
      <c r="AT686"/>
      <c r="AU686"/>
    </row>
    <row r="687" spans="1:47" s="2" customFormat="1" x14ac:dyDescent="0.3">
      <c r="A687" t="s">
        <v>258</v>
      </c>
      <c r="B687" s="3">
        <v>2016</v>
      </c>
      <c r="C687" s="3">
        <v>13512.7421875</v>
      </c>
      <c r="D687" s="3">
        <v>41460.6328125</v>
      </c>
      <c r="E687" s="3">
        <v>0.22420600056648299</v>
      </c>
      <c r="F687" s="3"/>
      <c r="G687" s="3"/>
      <c r="H687" s="3">
        <v>3.9360214024782202E-2</v>
      </c>
      <c r="I687" s="3">
        <v>0.90342143625726301</v>
      </c>
      <c r="J687" s="3"/>
      <c r="K687" s="3"/>
      <c r="L687" s="3">
        <f t="shared" si="10"/>
        <v>2</v>
      </c>
      <c r="M687">
        <f>VLOOKUP(A687,Sheet2!$B$2:$E$186,2,FALSE)</f>
        <v>115</v>
      </c>
      <c r="N687" t="s">
        <v>389</v>
      </c>
      <c r="O687" t="s">
        <v>390</v>
      </c>
      <c r="P687">
        <v>0</v>
      </c>
      <c r="Q687">
        <v>1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1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/>
      <c r="AP687"/>
      <c r="AQ687"/>
      <c r="AR687"/>
      <c r="AS687"/>
      <c r="AT687"/>
      <c r="AU687"/>
    </row>
    <row r="688" spans="1:47" s="2" customFormat="1" x14ac:dyDescent="0.3">
      <c r="A688" t="s">
        <v>258</v>
      </c>
      <c r="B688" s="3">
        <v>2017</v>
      </c>
      <c r="C688" s="3">
        <v>14150.064453125</v>
      </c>
      <c r="D688" s="3">
        <v>44318.7578125</v>
      </c>
      <c r="E688" s="3">
        <v>0.22928799688816101</v>
      </c>
      <c r="F688" s="3"/>
      <c r="G688" s="3"/>
      <c r="H688" s="3">
        <v>4.0093898773193401E-2</v>
      </c>
      <c r="I688" s="3">
        <v>0.88520550826937205</v>
      </c>
      <c r="J688" s="3"/>
      <c r="K688" s="3"/>
      <c r="L688" s="3">
        <f t="shared" si="10"/>
        <v>3</v>
      </c>
      <c r="M688">
        <f>VLOOKUP(A688,Sheet2!$B$2:$E$186,2,FALSE)</f>
        <v>115</v>
      </c>
      <c r="N688" t="s">
        <v>389</v>
      </c>
      <c r="O688" t="s">
        <v>390</v>
      </c>
      <c r="P688">
        <v>0</v>
      </c>
      <c r="Q688">
        <v>1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1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/>
      <c r="AP688"/>
      <c r="AQ688"/>
      <c r="AR688"/>
      <c r="AS688"/>
      <c r="AT688"/>
      <c r="AU688"/>
    </row>
    <row r="689" spans="1:47" s="2" customFormat="1" x14ac:dyDescent="0.3">
      <c r="A689" t="s">
        <v>258</v>
      </c>
      <c r="B689" s="3">
        <v>2018</v>
      </c>
      <c r="C689" s="3">
        <v>14868.58984375</v>
      </c>
      <c r="D689" s="3">
        <v>47707.56640625</v>
      </c>
      <c r="E689" s="3">
        <v>0.23742699623107899</v>
      </c>
      <c r="F689" s="3"/>
      <c r="G689" s="3"/>
      <c r="H689" s="3">
        <v>4.0910739451646798E-2</v>
      </c>
      <c r="I689" s="3">
        <v>0.84677266710811105</v>
      </c>
      <c r="J689" s="3"/>
      <c r="K689" s="3"/>
      <c r="L689" s="3">
        <f t="shared" si="10"/>
        <v>4</v>
      </c>
      <c r="M689">
        <f>VLOOKUP(A689,Sheet2!$B$2:$E$186,2,FALSE)</f>
        <v>115</v>
      </c>
      <c r="N689" t="s">
        <v>389</v>
      </c>
      <c r="O689" t="s">
        <v>390</v>
      </c>
      <c r="P689">
        <v>0</v>
      </c>
      <c r="Q689">
        <v>1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1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/>
      <c r="AP689"/>
      <c r="AQ689"/>
      <c r="AR689"/>
      <c r="AS689"/>
      <c r="AT689"/>
      <c r="AU689"/>
    </row>
    <row r="690" spans="1:47" s="2" customFormat="1" x14ac:dyDescent="0.3">
      <c r="A690" t="s">
        <v>258</v>
      </c>
      <c r="B690" s="3">
        <v>2019</v>
      </c>
      <c r="C690" s="3">
        <v>15472.6943359375</v>
      </c>
      <c r="D690" s="3">
        <v>50852.9453125</v>
      </c>
      <c r="E690" s="3">
        <v>0.24379199743270899</v>
      </c>
      <c r="F690" s="3"/>
      <c r="G690" s="3"/>
      <c r="H690" s="3">
        <v>4.1501592844724697E-2</v>
      </c>
      <c r="I690" s="3">
        <v>0.89327625706740899</v>
      </c>
      <c r="J690" s="3"/>
      <c r="K690" s="3"/>
      <c r="L690" s="3">
        <f t="shared" si="10"/>
        <v>5</v>
      </c>
      <c r="M690">
        <f>VLOOKUP(A690,Sheet2!$B$2:$E$186,2,FALSE)</f>
        <v>115</v>
      </c>
      <c r="N690" t="s">
        <v>389</v>
      </c>
      <c r="O690" t="s">
        <v>390</v>
      </c>
      <c r="P690">
        <v>0</v>
      </c>
      <c r="Q690">
        <v>1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/>
      <c r="AP690"/>
      <c r="AQ690"/>
      <c r="AR690"/>
      <c r="AS690"/>
      <c r="AT690"/>
      <c r="AU690"/>
    </row>
    <row r="691" spans="1:47" s="2" customFormat="1" x14ac:dyDescent="0.3">
      <c r="A691" t="s">
        <v>258</v>
      </c>
      <c r="B691" s="3">
        <v>2020</v>
      </c>
      <c r="C691" s="3">
        <v>13104.306640625</v>
      </c>
      <c r="D691" s="3">
        <v>53258.15625</v>
      </c>
      <c r="E691" s="3">
        <v>0.21934899687767001</v>
      </c>
      <c r="F691" s="3"/>
      <c r="G691" s="3"/>
      <c r="H691" s="3">
        <v>4.15641814470291E-2</v>
      </c>
      <c r="I691" s="3">
        <v>0.87550639698799804</v>
      </c>
      <c r="J691" s="3"/>
      <c r="K691" s="3"/>
      <c r="L691" s="3">
        <f t="shared" si="10"/>
        <v>6</v>
      </c>
      <c r="M691">
        <f>VLOOKUP(A691,Sheet2!$B$2:$E$186,2,FALSE)</f>
        <v>115</v>
      </c>
      <c r="N691" t="s">
        <v>389</v>
      </c>
      <c r="O691" t="s">
        <v>390</v>
      </c>
      <c r="P691">
        <v>0</v>
      </c>
      <c r="Q691">
        <v>1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/>
      <c r="AP691"/>
      <c r="AQ691"/>
      <c r="AR691"/>
      <c r="AS691"/>
      <c r="AT691"/>
      <c r="AU691"/>
    </row>
    <row r="692" spans="1:47" x14ac:dyDescent="0.3">
      <c r="A692" t="s">
        <v>259</v>
      </c>
      <c r="B692" s="3">
        <v>2015</v>
      </c>
      <c r="C692" s="3">
        <v>36839.45703125</v>
      </c>
      <c r="D692" s="3">
        <v>178644.984375</v>
      </c>
      <c r="E692" s="3">
        <v>1.2572336196899401</v>
      </c>
      <c r="F692" s="3">
        <v>0.87158542871475198</v>
      </c>
      <c r="G692" s="3">
        <v>4.9953781068325001E-2</v>
      </c>
      <c r="H692" s="3">
        <v>5.3768411278724698E-2</v>
      </c>
      <c r="I692" s="3">
        <v>1970.3091666666701</v>
      </c>
      <c r="J692" s="3">
        <v>2.8901238441467298</v>
      </c>
      <c r="K692" s="3">
        <v>0.72546619176864602</v>
      </c>
      <c r="L692" s="3">
        <f t="shared" si="10"/>
        <v>1</v>
      </c>
      <c r="M692">
        <f>VLOOKUP(A692,Sheet2!$B$2:$E$186,2,FALSE)</f>
        <v>116</v>
      </c>
      <c r="N692" t="s">
        <v>391</v>
      </c>
      <c r="O692" t="s">
        <v>405</v>
      </c>
      <c r="P692">
        <v>0</v>
      </c>
      <c r="Q692">
        <v>0</v>
      </c>
      <c r="R692">
        <v>1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1</v>
      </c>
      <c r="AK692">
        <v>0</v>
      </c>
      <c r="AL692">
        <v>0</v>
      </c>
      <c r="AM692">
        <v>0</v>
      </c>
      <c r="AN692">
        <v>0</v>
      </c>
    </row>
    <row r="693" spans="1:47" x14ac:dyDescent="0.3">
      <c r="A693" t="s">
        <v>259</v>
      </c>
      <c r="B693" s="3">
        <v>2016</v>
      </c>
      <c r="C693" s="3">
        <v>37388.3125</v>
      </c>
      <c r="D693" s="3">
        <v>178914.09375</v>
      </c>
      <c r="E693" s="3">
        <v>1.2535424232482899</v>
      </c>
      <c r="F693" s="3">
        <v>0.86046832799911499</v>
      </c>
      <c r="G693" s="3">
        <v>5.9633947908878299E-2</v>
      </c>
      <c r="H693" s="3">
        <v>5.1932640373706797E-2</v>
      </c>
      <c r="I693" s="3">
        <v>2140.2908640611599</v>
      </c>
      <c r="J693" s="3">
        <v>2.9098193645477299</v>
      </c>
      <c r="K693" s="3">
        <v>0.74957215785980202</v>
      </c>
      <c r="L693" s="3">
        <f t="shared" si="10"/>
        <v>2</v>
      </c>
      <c r="M693">
        <f>VLOOKUP(A693,Sheet2!$B$2:$E$186,2,FALSE)</f>
        <v>116</v>
      </c>
      <c r="N693" t="s">
        <v>391</v>
      </c>
      <c r="O693" t="s">
        <v>405</v>
      </c>
      <c r="P693">
        <v>0</v>
      </c>
      <c r="Q693">
        <v>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1</v>
      </c>
      <c r="AK693">
        <v>0</v>
      </c>
      <c r="AL693">
        <v>0</v>
      </c>
      <c r="AM693">
        <v>0</v>
      </c>
      <c r="AN693">
        <v>0</v>
      </c>
    </row>
    <row r="694" spans="1:47" x14ac:dyDescent="0.3">
      <c r="A694" t="s">
        <v>259</v>
      </c>
      <c r="B694" s="3">
        <v>2017</v>
      </c>
      <c r="C694" s="3">
        <v>39495.71875</v>
      </c>
      <c r="D694" s="3">
        <v>182194.8125</v>
      </c>
      <c r="E694" s="3">
        <v>1.2999860048294101</v>
      </c>
      <c r="F694" s="3">
        <v>0.86837887763977095</v>
      </c>
      <c r="G694" s="3">
        <v>7.7935807406902299E-2</v>
      </c>
      <c r="H694" s="3">
        <v>5.0380434840917601E-2</v>
      </c>
      <c r="I694" s="3">
        <v>2439.7772011124398</v>
      </c>
      <c r="J694" s="3">
        <v>2.9296493530273402</v>
      </c>
      <c r="K694" s="3">
        <v>0.80326730012893699</v>
      </c>
      <c r="L694" s="3">
        <f t="shared" si="10"/>
        <v>3</v>
      </c>
      <c r="M694">
        <f>VLOOKUP(A694,Sheet2!$B$2:$E$186,2,FALSE)</f>
        <v>116</v>
      </c>
      <c r="N694" t="s">
        <v>391</v>
      </c>
      <c r="O694" t="s">
        <v>405</v>
      </c>
      <c r="P694">
        <v>0</v>
      </c>
      <c r="Q694">
        <v>0</v>
      </c>
      <c r="R694">
        <v>1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1</v>
      </c>
      <c r="AK694">
        <v>0</v>
      </c>
      <c r="AL694">
        <v>0</v>
      </c>
      <c r="AM694">
        <v>0</v>
      </c>
      <c r="AN694">
        <v>0</v>
      </c>
    </row>
    <row r="695" spans="1:47" x14ac:dyDescent="0.3">
      <c r="A695" t="s">
        <v>259</v>
      </c>
      <c r="B695" s="3">
        <v>2018</v>
      </c>
      <c r="C695" s="3">
        <v>42554.73046875</v>
      </c>
      <c r="D695" s="3">
        <v>189396.3125</v>
      </c>
      <c r="E695" s="3">
        <v>1.3277620077133201</v>
      </c>
      <c r="F695" s="3">
        <v>0.905436992645264</v>
      </c>
      <c r="G695" s="3">
        <v>8.5538908839225797E-2</v>
      </c>
      <c r="H695" s="3">
        <v>4.9762349575758001E-2</v>
      </c>
      <c r="I695" s="3">
        <v>2472.4840511423499</v>
      </c>
      <c r="J695" s="3">
        <v>2.9496145248413099</v>
      </c>
      <c r="K695" s="3">
        <v>0.94096118211746205</v>
      </c>
      <c r="L695" s="3">
        <f t="shared" si="10"/>
        <v>4</v>
      </c>
      <c r="M695">
        <f>VLOOKUP(A695,Sheet2!$B$2:$E$186,2,FALSE)</f>
        <v>116</v>
      </c>
      <c r="N695" t="s">
        <v>391</v>
      </c>
      <c r="O695" t="s">
        <v>405</v>
      </c>
      <c r="P695">
        <v>0</v>
      </c>
      <c r="Q695">
        <v>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1</v>
      </c>
      <c r="AK695">
        <v>0</v>
      </c>
      <c r="AL695">
        <v>0</v>
      </c>
      <c r="AM695">
        <v>0</v>
      </c>
      <c r="AN695">
        <v>0</v>
      </c>
    </row>
    <row r="696" spans="1:47" x14ac:dyDescent="0.3">
      <c r="A696" t="s">
        <v>259</v>
      </c>
      <c r="B696" s="3">
        <v>2019</v>
      </c>
      <c r="C696" s="3">
        <v>44938.734375</v>
      </c>
      <c r="D696" s="3">
        <v>198526.4375</v>
      </c>
      <c r="E696" s="3">
        <v>1.4171441793441799</v>
      </c>
      <c r="F696" s="3">
        <v>0.94937032461166404</v>
      </c>
      <c r="G696" s="3">
        <v>9.3786463141441401E-2</v>
      </c>
      <c r="H696" s="3">
        <v>4.97802086174488E-2</v>
      </c>
      <c r="I696" s="3">
        <v>2663.5413982016298</v>
      </c>
      <c r="J696" s="3">
        <v>2.81514573097229</v>
      </c>
      <c r="K696" s="3">
        <v>0.95104467868804898</v>
      </c>
      <c r="L696" s="3">
        <f t="shared" si="10"/>
        <v>5</v>
      </c>
      <c r="M696">
        <f>VLOOKUP(A696,Sheet2!$B$2:$E$186,2,FALSE)</f>
        <v>116</v>
      </c>
      <c r="N696" t="s">
        <v>391</v>
      </c>
      <c r="O696" t="s">
        <v>405</v>
      </c>
      <c r="P696">
        <v>0</v>
      </c>
      <c r="Q696">
        <v>0</v>
      </c>
      <c r="R696">
        <v>1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1</v>
      </c>
      <c r="AK696">
        <v>0</v>
      </c>
      <c r="AL696">
        <v>0</v>
      </c>
      <c r="AM696">
        <v>0</v>
      </c>
      <c r="AN696">
        <v>0</v>
      </c>
    </row>
    <row r="697" spans="1:47" x14ac:dyDescent="0.3">
      <c r="A697" t="s">
        <v>259</v>
      </c>
      <c r="B697" s="3">
        <v>2020</v>
      </c>
      <c r="C697" s="3">
        <v>42890.546875</v>
      </c>
      <c r="D697" s="3">
        <v>203512.28125</v>
      </c>
      <c r="E697" s="3">
        <v>1.37493300437927</v>
      </c>
      <c r="F697" s="3">
        <v>0.96050119400024403</v>
      </c>
      <c r="G697" s="3">
        <v>6.8623431026935605E-2</v>
      </c>
      <c r="H697" s="3">
        <v>4.8871904611587497E-2</v>
      </c>
      <c r="I697" s="3">
        <v>2813.2898353264</v>
      </c>
      <c r="J697" s="3">
        <v>2.68680739402771</v>
      </c>
      <c r="K697" s="3">
        <v>0.87389272451400801</v>
      </c>
      <c r="L697" s="3">
        <f t="shared" si="10"/>
        <v>6</v>
      </c>
      <c r="M697">
        <f>VLOOKUP(A697,Sheet2!$B$2:$E$186,2,FALSE)</f>
        <v>116</v>
      </c>
      <c r="N697" t="s">
        <v>391</v>
      </c>
      <c r="O697" t="s">
        <v>405</v>
      </c>
      <c r="P697">
        <v>0</v>
      </c>
      <c r="Q697">
        <v>0</v>
      </c>
      <c r="R697">
        <v>1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1</v>
      </c>
      <c r="AK697">
        <v>0</v>
      </c>
      <c r="AL697">
        <v>0</v>
      </c>
      <c r="AM697">
        <v>0</v>
      </c>
      <c r="AN697">
        <v>0</v>
      </c>
    </row>
    <row r="698" spans="1:47" x14ac:dyDescent="0.3">
      <c r="A698" t="s">
        <v>261</v>
      </c>
      <c r="B698" s="3">
        <v>2015</v>
      </c>
      <c r="C698" s="3">
        <v>40354.25</v>
      </c>
      <c r="D698" s="3">
        <v>187136.578125</v>
      </c>
      <c r="E698" s="3">
        <v>9.8042497634887695</v>
      </c>
      <c r="F698" s="3">
        <v>0.81596350669860795</v>
      </c>
      <c r="G698" s="3">
        <v>5.6371584534645101E-2</v>
      </c>
      <c r="H698" s="3">
        <v>5.2440781146287897E-2</v>
      </c>
      <c r="I698" s="3">
        <v>39.982474146540603</v>
      </c>
      <c r="J698" s="3">
        <v>1.2070908546447801</v>
      </c>
      <c r="K698" s="3">
        <v>1.0732673406601001</v>
      </c>
      <c r="L698" s="3">
        <f t="shared" si="10"/>
        <v>1</v>
      </c>
      <c r="M698">
        <f>VLOOKUP(A698,Sheet2!$B$2:$E$186,2,FALSE)</f>
        <v>117</v>
      </c>
      <c r="N698" t="s">
        <v>387</v>
      </c>
      <c r="O698" t="s">
        <v>397</v>
      </c>
      <c r="P698">
        <v>0</v>
      </c>
      <c r="Q698">
        <v>0</v>
      </c>
      <c r="R698">
        <v>0</v>
      </c>
      <c r="S698">
        <v>1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1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</row>
    <row r="699" spans="1:47" x14ac:dyDescent="0.3">
      <c r="A699" t="s">
        <v>261</v>
      </c>
      <c r="B699" s="3">
        <v>2016</v>
      </c>
      <c r="C699" s="3">
        <v>42249.68359375</v>
      </c>
      <c r="D699" s="3">
        <v>204064.78125</v>
      </c>
      <c r="E699" s="3">
        <v>10.145484924316399</v>
      </c>
      <c r="F699" s="3">
        <v>0.89376997947692904</v>
      </c>
      <c r="G699" s="3">
        <v>4.2386576533317601E-2</v>
      </c>
      <c r="H699" s="3">
        <v>5.2303459495306001E-2</v>
      </c>
      <c r="I699" s="3">
        <v>63.056232731037099</v>
      </c>
      <c r="J699" s="3">
        <v>1.2123947143554701</v>
      </c>
      <c r="K699" s="3">
        <v>1.0906338691711399</v>
      </c>
      <c r="L699" s="3">
        <f t="shared" si="10"/>
        <v>2</v>
      </c>
      <c r="M699">
        <f>VLOOKUP(A699,Sheet2!$B$2:$E$186,2,FALSE)</f>
        <v>117</v>
      </c>
      <c r="N699" t="s">
        <v>387</v>
      </c>
      <c r="O699" t="s">
        <v>397</v>
      </c>
      <c r="P699">
        <v>0</v>
      </c>
      <c r="Q699">
        <v>0</v>
      </c>
      <c r="R699">
        <v>0</v>
      </c>
      <c r="S699">
        <v>1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1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</row>
    <row r="700" spans="1:47" x14ac:dyDescent="0.3">
      <c r="A700" t="s">
        <v>261</v>
      </c>
      <c r="B700" s="3">
        <v>2017</v>
      </c>
      <c r="C700" s="3">
        <v>43364.31640625</v>
      </c>
      <c r="D700" s="3">
        <v>204104.953125</v>
      </c>
      <c r="E700" s="3">
        <v>10.324724197387701</v>
      </c>
      <c r="F700" s="3">
        <v>0.87695932388305697</v>
      </c>
      <c r="G700" s="3">
        <v>3.7549339234828998E-2</v>
      </c>
      <c r="H700" s="3">
        <v>5.1357876509427997E-2</v>
      </c>
      <c r="I700" s="3">
        <v>63.584322913398999</v>
      </c>
      <c r="J700" s="3">
        <v>1.2177219390869101</v>
      </c>
      <c r="K700" s="3">
        <v>1.0377211570739699</v>
      </c>
      <c r="L700" s="3">
        <f t="shared" si="10"/>
        <v>3</v>
      </c>
      <c r="M700">
        <f>VLOOKUP(A700,Sheet2!$B$2:$E$186,2,FALSE)</f>
        <v>117</v>
      </c>
      <c r="N700" t="s">
        <v>387</v>
      </c>
      <c r="O700" t="s">
        <v>397</v>
      </c>
      <c r="P700">
        <v>0</v>
      </c>
      <c r="Q700">
        <v>0</v>
      </c>
      <c r="R700">
        <v>0</v>
      </c>
      <c r="S700">
        <v>1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1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</row>
    <row r="701" spans="1:47" x14ac:dyDescent="0.3">
      <c r="A701" t="s">
        <v>261</v>
      </c>
      <c r="B701" s="3">
        <v>2018</v>
      </c>
      <c r="C701" s="3">
        <v>44875.53515625</v>
      </c>
      <c r="D701" s="3">
        <v>217076.953125</v>
      </c>
      <c r="E701" s="3">
        <v>10.647118568420399</v>
      </c>
      <c r="F701" s="3">
        <v>0.95165342092514005</v>
      </c>
      <c r="G701" s="3">
        <v>4.06211949884892E-2</v>
      </c>
      <c r="H701" s="3">
        <v>5.0804916769266101E-2</v>
      </c>
      <c r="I701" s="3">
        <v>60.326207643202203</v>
      </c>
      <c r="J701" s="3">
        <v>1.2230726480484</v>
      </c>
      <c r="K701" s="3">
        <v>1.0840530395507799</v>
      </c>
      <c r="L701" s="3">
        <f t="shared" si="10"/>
        <v>4</v>
      </c>
      <c r="M701">
        <f>VLOOKUP(A701,Sheet2!$B$2:$E$186,2,FALSE)</f>
        <v>117</v>
      </c>
      <c r="N701" t="s">
        <v>387</v>
      </c>
      <c r="O701" t="s">
        <v>397</v>
      </c>
      <c r="P701">
        <v>0</v>
      </c>
      <c r="Q701">
        <v>0</v>
      </c>
      <c r="R701">
        <v>0</v>
      </c>
      <c r="S701">
        <v>1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1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</row>
    <row r="702" spans="1:47" x14ac:dyDescent="0.3">
      <c r="A702" t="s">
        <v>261</v>
      </c>
      <c r="B702" s="3">
        <v>2019</v>
      </c>
      <c r="C702" s="3">
        <v>45915.6640625</v>
      </c>
      <c r="D702" s="3">
        <v>223553.921875</v>
      </c>
      <c r="E702" s="3">
        <v>10.9829711914063</v>
      </c>
      <c r="F702" s="3">
        <v>0.97088164091110196</v>
      </c>
      <c r="G702" s="3">
        <v>3.5951901227235801E-2</v>
      </c>
      <c r="H702" s="3">
        <v>5.0791800022125203E-2</v>
      </c>
      <c r="I702" s="3">
        <v>62.548333333333296</v>
      </c>
      <c r="J702" s="3">
        <v>1.2284468412399301</v>
      </c>
      <c r="K702" s="3">
        <v>1.01584088802338</v>
      </c>
      <c r="L702" s="3">
        <f t="shared" si="10"/>
        <v>5</v>
      </c>
      <c r="M702">
        <f>VLOOKUP(A702,Sheet2!$B$2:$E$186,2,FALSE)</f>
        <v>117</v>
      </c>
      <c r="N702" t="s">
        <v>387</v>
      </c>
      <c r="O702" t="s">
        <v>397</v>
      </c>
      <c r="P702">
        <v>0</v>
      </c>
      <c r="Q702">
        <v>0</v>
      </c>
      <c r="R702">
        <v>0</v>
      </c>
      <c r="S702">
        <v>1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</row>
    <row r="703" spans="1:47" x14ac:dyDescent="0.3">
      <c r="A703" t="s">
        <v>261</v>
      </c>
      <c r="B703" s="3">
        <v>2020</v>
      </c>
      <c r="C703" s="3">
        <v>45355.71484375</v>
      </c>
      <c r="D703" s="3">
        <v>229237.015625</v>
      </c>
      <c r="E703" s="3">
        <v>11.1966953277588</v>
      </c>
      <c r="F703" s="3">
        <v>0.99419301748275801</v>
      </c>
      <c r="G703" s="3">
        <v>3.4103501588106197E-2</v>
      </c>
      <c r="H703" s="3">
        <v>5.0440169870853403E-2</v>
      </c>
      <c r="I703" s="3">
        <v>69.465000000000003</v>
      </c>
      <c r="J703" s="3">
        <v>1.2338445186614999</v>
      </c>
      <c r="K703" s="3">
        <v>1.0193061828613299</v>
      </c>
      <c r="L703" s="3">
        <f t="shared" si="10"/>
        <v>6</v>
      </c>
      <c r="M703">
        <f>VLOOKUP(A703,Sheet2!$B$2:$E$186,2,FALSE)</f>
        <v>117</v>
      </c>
      <c r="N703" t="s">
        <v>387</v>
      </c>
      <c r="O703" t="s">
        <v>397</v>
      </c>
      <c r="P703">
        <v>0</v>
      </c>
      <c r="Q703">
        <v>0</v>
      </c>
      <c r="R703">
        <v>0</v>
      </c>
      <c r="S703">
        <v>1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1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</row>
    <row r="704" spans="1:47" x14ac:dyDescent="0.3">
      <c r="A704" t="s">
        <v>263</v>
      </c>
      <c r="B704" s="3">
        <v>2015</v>
      </c>
      <c r="C704" s="3">
        <v>22218.197265625</v>
      </c>
      <c r="D704" s="3">
        <v>91376.8515625</v>
      </c>
      <c r="E704" s="3">
        <v>0.84393781423568703</v>
      </c>
      <c r="F704" s="3">
        <v>0.86406385898590099</v>
      </c>
      <c r="G704" s="3">
        <v>4.7288987785577802E-2</v>
      </c>
      <c r="H704" s="3">
        <v>4.8320807516574901E-2</v>
      </c>
      <c r="I704" s="3">
        <v>32.467166666666699</v>
      </c>
      <c r="J704" s="3">
        <v>1.70240914821625</v>
      </c>
      <c r="K704" s="3">
        <v>0.83713257312774703</v>
      </c>
      <c r="L704" s="3">
        <f t="shared" si="10"/>
        <v>1</v>
      </c>
      <c r="M704">
        <f>VLOOKUP(A704,Sheet2!$B$2:$E$186,2,FALSE)</f>
        <v>118</v>
      </c>
      <c r="N704" t="s">
        <v>387</v>
      </c>
      <c r="O704" t="s">
        <v>398</v>
      </c>
      <c r="P704">
        <v>0</v>
      </c>
      <c r="Q704">
        <v>0</v>
      </c>
      <c r="R704">
        <v>0</v>
      </c>
      <c r="S704">
        <v>1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1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</row>
    <row r="705" spans="1:47" x14ac:dyDescent="0.3">
      <c r="A705" t="s">
        <v>263</v>
      </c>
      <c r="B705" s="3">
        <v>2016</v>
      </c>
      <c r="C705" s="3">
        <v>22498.34765625</v>
      </c>
      <c r="D705" s="3">
        <v>92930.3671875</v>
      </c>
      <c r="E705" s="3">
        <v>0.86055856943130504</v>
      </c>
      <c r="F705" s="3">
        <v>0.87800276279449496</v>
      </c>
      <c r="G705" s="3">
        <v>6.1383642256259897E-2</v>
      </c>
      <c r="H705" s="3">
        <v>4.8391357064247097E-2</v>
      </c>
      <c r="I705" s="3">
        <v>35.237083333333302</v>
      </c>
      <c r="J705" s="3">
        <v>1.7203401327133201</v>
      </c>
      <c r="K705" s="3">
        <v>0.82101863622665405</v>
      </c>
      <c r="L705" s="3">
        <f t="shared" si="10"/>
        <v>2</v>
      </c>
      <c r="M705">
        <f>VLOOKUP(A705,Sheet2!$B$2:$E$186,2,FALSE)</f>
        <v>118</v>
      </c>
      <c r="N705" t="s">
        <v>387</v>
      </c>
      <c r="O705" t="s">
        <v>398</v>
      </c>
      <c r="P705">
        <v>0</v>
      </c>
      <c r="Q705">
        <v>0</v>
      </c>
      <c r="R705">
        <v>0</v>
      </c>
      <c r="S705">
        <v>1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1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</row>
    <row r="706" spans="1:47" x14ac:dyDescent="0.3">
      <c r="A706" t="s">
        <v>263</v>
      </c>
      <c r="B706" s="3">
        <v>2017</v>
      </c>
      <c r="C706" s="3">
        <v>23909.1171875</v>
      </c>
      <c r="D706" s="3">
        <v>95172.3125</v>
      </c>
      <c r="E706" s="3">
        <v>0.87962853908538796</v>
      </c>
      <c r="F706" s="3">
        <v>0.90057522058486905</v>
      </c>
      <c r="G706" s="3">
        <v>7.2352334856987E-2</v>
      </c>
      <c r="H706" s="3">
        <v>4.84598018229008E-2</v>
      </c>
      <c r="I706" s="3">
        <v>35.794416666666699</v>
      </c>
      <c r="J706" s="3">
        <v>1.7371582984924301</v>
      </c>
      <c r="K706" s="3">
        <v>0.87969893217086803</v>
      </c>
      <c r="L706" s="3">
        <f t="shared" si="10"/>
        <v>3</v>
      </c>
      <c r="M706">
        <f>VLOOKUP(A706,Sheet2!$B$2:$E$186,2,FALSE)</f>
        <v>118</v>
      </c>
      <c r="N706" t="s">
        <v>387</v>
      </c>
      <c r="O706" t="s">
        <v>398</v>
      </c>
      <c r="P706">
        <v>0</v>
      </c>
      <c r="Q706">
        <v>0</v>
      </c>
      <c r="R706">
        <v>0</v>
      </c>
      <c r="S706">
        <v>1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1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</row>
    <row r="707" spans="1:47" x14ac:dyDescent="0.3">
      <c r="A707" t="s">
        <v>263</v>
      </c>
      <c r="B707" s="3">
        <v>2018</v>
      </c>
      <c r="C707" s="3">
        <v>25050.1015625</v>
      </c>
      <c r="D707" s="3">
        <v>98568.46875</v>
      </c>
      <c r="E707" s="3">
        <v>0.90788865089416504</v>
      </c>
      <c r="F707" s="3">
        <v>0.93151509761810303</v>
      </c>
      <c r="G707" s="3">
        <v>8.3994701504707295E-2</v>
      </c>
      <c r="H707" s="3">
        <v>4.8488326370716102E-2</v>
      </c>
      <c r="I707" s="3">
        <v>35.677500000000002</v>
      </c>
      <c r="J707" s="3">
        <v>1.75454545021057</v>
      </c>
      <c r="K707" s="3">
        <v>0.99509602785110496</v>
      </c>
      <c r="L707" s="3">
        <f t="shared" ref="L707:L770" si="11">B707-2014</f>
        <v>4</v>
      </c>
      <c r="M707">
        <f>VLOOKUP(A707,Sheet2!$B$2:$E$186,2,FALSE)</f>
        <v>118</v>
      </c>
      <c r="N707" t="s">
        <v>387</v>
      </c>
      <c r="O707" t="s">
        <v>398</v>
      </c>
      <c r="P707">
        <v>0</v>
      </c>
      <c r="Q707">
        <v>0</v>
      </c>
      <c r="R707">
        <v>0</v>
      </c>
      <c r="S707">
        <v>1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1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</row>
    <row r="708" spans="1:47" x14ac:dyDescent="0.3">
      <c r="A708" t="s">
        <v>263</v>
      </c>
      <c r="B708" s="3">
        <v>2019</v>
      </c>
      <c r="C708" s="3">
        <v>25836.92578125</v>
      </c>
      <c r="D708" s="3">
        <v>102054.453125</v>
      </c>
      <c r="E708" s="3">
        <v>0.99073231220245395</v>
      </c>
      <c r="F708" s="3">
        <v>0.96340709924697898</v>
      </c>
      <c r="G708" s="3">
        <v>9.30150151252747E-2</v>
      </c>
      <c r="H708" s="3">
        <v>4.8352587968110997E-2</v>
      </c>
      <c r="I708" s="3">
        <v>36.690833333333302</v>
      </c>
      <c r="J708" s="3">
        <v>1.7725248336792001</v>
      </c>
      <c r="K708" s="3">
        <v>0.94350939989089999</v>
      </c>
      <c r="L708" s="3">
        <f t="shared" si="11"/>
        <v>5</v>
      </c>
      <c r="M708">
        <f>VLOOKUP(A708,Sheet2!$B$2:$E$186,2,FALSE)</f>
        <v>118</v>
      </c>
      <c r="N708" t="s">
        <v>387</v>
      </c>
      <c r="O708" t="s">
        <v>398</v>
      </c>
      <c r="P708">
        <v>0</v>
      </c>
      <c r="Q708">
        <v>0</v>
      </c>
      <c r="R708">
        <v>0</v>
      </c>
      <c r="S708">
        <v>1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</row>
    <row r="709" spans="1:47" x14ac:dyDescent="0.3">
      <c r="A709" t="s">
        <v>263</v>
      </c>
      <c r="B709" s="3">
        <v>2020</v>
      </c>
      <c r="C709" s="3">
        <v>25743.744140625</v>
      </c>
      <c r="D709" s="3">
        <v>104016.1484375</v>
      </c>
      <c r="E709" s="3">
        <v>0.95557790994644198</v>
      </c>
      <c r="F709" s="3">
        <v>0.97646111249923695</v>
      </c>
      <c r="G709" s="3">
        <v>0.104705892503262</v>
      </c>
      <c r="H709" s="3">
        <v>4.7860670834779698E-2</v>
      </c>
      <c r="I709" s="3">
        <v>37.189166666666701</v>
      </c>
      <c r="J709" s="3">
        <v>1.79112124443054</v>
      </c>
      <c r="K709" s="3">
        <v>1.00866782665253</v>
      </c>
      <c r="L709" s="3">
        <f t="shared" si="11"/>
        <v>6</v>
      </c>
      <c r="M709">
        <f>VLOOKUP(A709,Sheet2!$B$2:$E$186,2,FALSE)</f>
        <v>118</v>
      </c>
      <c r="N709" t="s">
        <v>387</v>
      </c>
      <c r="O709" t="s">
        <v>398</v>
      </c>
      <c r="P709">
        <v>0</v>
      </c>
      <c r="Q709">
        <v>0</v>
      </c>
      <c r="R709">
        <v>0</v>
      </c>
      <c r="S709">
        <v>1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1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</row>
    <row r="710" spans="1:47" s="2" customFormat="1" x14ac:dyDescent="0.3">
      <c r="A710" t="s">
        <v>265</v>
      </c>
      <c r="B710" s="3">
        <v>2015</v>
      </c>
      <c r="C710" s="3">
        <v>81.4271240234375</v>
      </c>
      <c r="D710" s="3">
        <v>947.80529785156295</v>
      </c>
      <c r="E710" s="3">
        <v>2.4615139700472398E-3</v>
      </c>
      <c r="F710" s="3"/>
      <c r="G710" s="3"/>
      <c r="H710" s="3">
        <v>2.4587038904428499E-2</v>
      </c>
      <c r="I710" s="3">
        <v>2.7</v>
      </c>
      <c r="J710" s="3"/>
      <c r="K710" s="3"/>
      <c r="L710" s="3">
        <f t="shared" si="11"/>
        <v>1</v>
      </c>
      <c r="M710">
        <f>VLOOKUP(A710,Sheet2!$B$2:$E$186,2,FALSE)</f>
        <v>119</v>
      </c>
      <c r="N710" t="s">
        <v>385</v>
      </c>
      <c r="O710" t="s">
        <v>386</v>
      </c>
      <c r="P710">
        <v>1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/>
      <c r="AP710"/>
      <c r="AQ710"/>
      <c r="AR710"/>
      <c r="AS710"/>
      <c r="AT710"/>
      <c r="AU710"/>
    </row>
    <row r="711" spans="1:47" s="2" customFormat="1" x14ac:dyDescent="0.3">
      <c r="A711" t="s">
        <v>265</v>
      </c>
      <c r="B711" s="3">
        <v>2016</v>
      </c>
      <c r="C711" s="3">
        <v>82.503044128417997</v>
      </c>
      <c r="D711" s="3">
        <v>949.53875732421898</v>
      </c>
      <c r="E711" s="3">
        <v>2.4430777411907898E-3</v>
      </c>
      <c r="F711" s="3"/>
      <c r="G711" s="3"/>
      <c r="H711" s="3">
        <v>2.4450251832604401E-2</v>
      </c>
      <c r="I711" s="3">
        <v>2.7</v>
      </c>
      <c r="J711" s="3"/>
      <c r="K711" s="3"/>
      <c r="L711" s="3">
        <f t="shared" si="11"/>
        <v>2</v>
      </c>
      <c r="M711">
        <f>VLOOKUP(A711,Sheet2!$B$2:$E$186,2,FALSE)</f>
        <v>119</v>
      </c>
      <c r="N711" t="s">
        <v>385</v>
      </c>
      <c r="O711" t="s">
        <v>386</v>
      </c>
      <c r="P711">
        <v>1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/>
      <c r="AP711"/>
      <c r="AQ711"/>
      <c r="AR711"/>
      <c r="AS711"/>
      <c r="AT711"/>
      <c r="AU711"/>
    </row>
    <row r="712" spans="1:47" x14ac:dyDescent="0.3">
      <c r="A712" t="s">
        <v>265</v>
      </c>
      <c r="B712" s="3">
        <v>2017</v>
      </c>
      <c r="C712" s="3">
        <v>79.382347106933594</v>
      </c>
      <c r="D712" s="3">
        <v>942.51898193359398</v>
      </c>
      <c r="E712" s="3">
        <v>2.4246412795037001E-3</v>
      </c>
      <c r="F712" s="3"/>
      <c r="G712" s="3"/>
      <c r="H712" s="3">
        <v>2.4345606565475499E-2</v>
      </c>
      <c r="I712" s="3">
        <v>2.7</v>
      </c>
      <c r="J712" s="3"/>
      <c r="K712" s="3"/>
      <c r="L712" s="3">
        <f t="shared" si="11"/>
        <v>3</v>
      </c>
      <c r="M712">
        <f>VLOOKUP(A712,Sheet2!$B$2:$E$186,2,FALSE)</f>
        <v>119</v>
      </c>
      <c r="N712" t="s">
        <v>385</v>
      </c>
      <c r="O712" t="s">
        <v>386</v>
      </c>
      <c r="P712">
        <v>1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</row>
    <row r="713" spans="1:47" x14ac:dyDescent="0.3">
      <c r="A713" t="s">
        <v>265</v>
      </c>
      <c r="B713" s="3">
        <v>2018</v>
      </c>
      <c r="C713" s="3">
        <v>82.551216125488295</v>
      </c>
      <c r="D713" s="3">
        <v>937.05383300781295</v>
      </c>
      <c r="E713" s="3">
        <v>2.4067317135631999E-3</v>
      </c>
      <c r="F713" s="3"/>
      <c r="G713" s="3"/>
      <c r="H713" s="3">
        <v>2.4141615256667099E-2</v>
      </c>
      <c r="I713" s="3">
        <v>2.7</v>
      </c>
      <c r="J713" s="3"/>
      <c r="K713" s="3"/>
      <c r="L713" s="3">
        <f t="shared" si="11"/>
        <v>4</v>
      </c>
      <c r="M713">
        <f>VLOOKUP(A713,Sheet2!$B$2:$E$186,2,FALSE)</f>
        <v>119</v>
      </c>
      <c r="N713" t="s">
        <v>385</v>
      </c>
      <c r="O713" t="s">
        <v>386</v>
      </c>
      <c r="P713">
        <v>1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</row>
    <row r="714" spans="1:47" x14ac:dyDescent="0.3">
      <c r="A714" t="s">
        <v>265</v>
      </c>
      <c r="B714" s="3">
        <v>2019</v>
      </c>
      <c r="C714" s="3">
        <v>87.432991027832003</v>
      </c>
      <c r="D714" s="3">
        <v>936.60388183593795</v>
      </c>
      <c r="E714" s="3">
        <v>2.3914561606943599E-3</v>
      </c>
      <c r="F714" s="3"/>
      <c r="G714" s="3"/>
      <c r="H714" s="3">
        <v>2.4013349786400798E-2</v>
      </c>
      <c r="I714" s="3">
        <v>2.7</v>
      </c>
      <c r="J714" s="3"/>
      <c r="K714" s="3"/>
      <c r="L714" s="3">
        <f t="shared" si="11"/>
        <v>5</v>
      </c>
      <c r="M714">
        <f>VLOOKUP(A714,Sheet2!$B$2:$E$186,2,FALSE)</f>
        <v>119</v>
      </c>
      <c r="N714" t="s">
        <v>385</v>
      </c>
      <c r="O714" t="s">
        <v>386</v>
      </c>
      <c r="P714">
        <v>1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</row>
    <row r="715" spans="1:47" x14ac:dyDescent="0.3">
      <c r="A715" t="s">
        <v>265</v>
      </c>
      <c r="B715" s="3">
        <v>2020</v>
      </c>
      <c r="C715" s="3">
        <v>99.332313537597699</v>
      </c>
      <c r="D715" s="3">
        <v>937.46453857421898</v>
      </c>
      <c r="E715" s="3">
        <v>2.3745999205857498E-3</v>
      </c>
      <c r="F715" s="3"/>
      <c r="G715" s="3"/>
      <c r="H715" s="3">
        <v>2.4010725319385501E-2</v>
      </c>
      <c r="I715" s="3">
        <v>2.7</v>
      </c>
      <c r="J715" s="3"/>
      <c r="K715" s="3"/>
      <c r="L715" s="3">
        <f t="shared" si="11"/>
        <v>6</v>
      </c>
      <c r="M715">
        <f>VLOOKUP(A715,Sheet2!$B$2:$E$186,2,FALSE)</f>
        <v>119</v>
      </c>
      <c r="N715" t="s">
        <v>385</v>
      </c>
      <c r="O715" t="s">
        <v>386</v>
      </c>
      <c r="P715">
        <v>1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</row>
    <row r="716" spans="1:47" x14ac:dyDescent="0.3">
      <c r="A716" t="s">
        <v>266</v>
      </c>
      <c r="B716" s="3">
        <v>2015</v>
      </c>
      <c r="C716" s="3">
        <v>29296.119140625</v>
      </c>
      <c r="D716" s="3">
        <v>99731.1328125</v>
      </c>
      <c r="E716" s="3">
        <v>0.55733674764633201</v>
      </c>
      <c r="F716" s="3">
        <v>0.85018038749694802</v>
      </c>
      <c r="G716" s="3">
        <v>0.18775407969951599</v>
      </c>
      <c r="H716" s="3">
        <v>4.1376952081918703E-2</v>
      </c>
      <c r="I716" s="3">
        <v>35.056699999999999</v>
      </c>
      <c r="J716" s="3">
        <v>2.57424068450928</v>
      </c>
      <c r="K716" s="3">
        <v>1.07269358634949</v>
      </c>
      <c r="L716" s="3">
        <f t="shared" si="11"/>
        <v>1</v>
      </c>
      <c r="M716">
        <f>VLOOKUP(A716,Sheet2!$B$2:$E$186,2,FALSE)</f>
        <v>120</v>
      </c>
      <c r="N716" t="s">
        <v>387</v>
      </c>
      <c r="O716" t="s">
        <v>397</v>
      </c>
      <c r="P716">
        <v>0</v>
      </c>
      <c r="Q716">
        <v>0</v>
      </c>
      <c r="R716">
        <v>0</v>
      </c>
      <c r="S716">
        <v>1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1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</row>
    <row r="717" spans="1:47" x14ac:dyDescent="0.3">
      <c r="A717" t="s">
        <v>266</v>
      </c>
      <c r="B717" s="3">
        <v>2016</v>
      </c>
      <c r="C717" s="3">
        <v>30428.111328125</v>
      </c>
      <c r="D717" s="3">
        <v>102580.703125</v>
      </c>
      <c r="E717" s="3">
        <v>0.55779772996902499</v>
      </c>
      <c r="F717" s="3">
        <v>0.87344306707382202</v>
      </c>
      <c r="G717" s="3">
        <v>0.19294145703315699</v>
      </c>
      <c r="H717" s="3">
        <v>4.0907230228185702E-2</v>
      </c>
      <c r="I717" s="3">
        <v>35.541883333333303</v>
      </c>
      <c r="J717" s="3">
        <v>2.58863472938538</v>
      </c>
      <c r="K717" s="3">
        <v>1.08192074298859</v>
      </c>
      <c r="L717" s="3">
        <f t="shared" si="11"/>
        <v>2</v>
      </c>
      <c r="M717">
        <f>VLOOKUP(A717,Sheet2!$B$2:$E$186,2,FALSE)</f>
        <v>120</v>
      </c>
      <c r="N717" t="s">
        <v>387</v>
      </c>
      <c r="O717" t="s">
        <v>397</v>
      </c>
      <c r="P717">
        <v>0</v>
      </c>
      <c r="Q717">
        <v>0</v>
      </c>
      <c r="R717">
        <v>0</v>
      </c>
      <c r="S717">
        <v>1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1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</row>
    <row r="718" spans="1:47" x14ac:dyDescent="0.3">
      <c r="A718" t="s">
        <v>266</v>
      </c>
      <c r="B718" s="3">
        <v>2017</v>
      </c>
      <c r="C718" s="3">
        <v>31625.341796875</v>
      </c>
      <c r="D718" s="3">
        <v>105681.203125</v>
      </c>
      <c r="E718" s="3">
        <v>0.56408035755157504</v>
      </c>
      <c r="F718" s="3">
        <v>0.89871436357498202</v>
      </c>
      <c r="G718" s="3">
        <v>0.19737271964549999</v>
      </c>
      <c r="H718" s="3">
        <v>4.0552463382482501E-2</v>
      </c>
      <c r="I718" s="3">
        <v>34.481408333333299</v>
      </c>
      <c r="J718" s="3">
        <v>2.60310959815979</v>
      </c>
      <c r="K718" s="3">
        <v>1.08351838588715</v>
      </c>
      <c r="L718" s="3">
        <f t="shared" si="11"/>
        <v>3</v>
      </c>
      <c r="M718">
        <f>VLOOKUP(A718,Sheet2!$B$2:$E$186,2,FALSE)</f>
        <v>120</v>
      </c>
      <c r="N718" t="s">
        <v>387</v>
      </c>
      <c r="O718" t="s">
        <v>397</v>
      </c>
      <c r="P718">
        <v>0</v>
      </c>
      <c r="Q718">
        <v>0</v>
      </c>
      <c r="R718">
        <v>0</v>
      </c>
      <c r="S718">
        <v>1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1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</row>
    <row r="719" spans="1:47" x14ac:dyDescent="0.3">
      <c r="A719" t="s">
        <v>266</v>
      </c>
      <c r="B719" s="3">
        <v>2018</v>
      </c>
      <c r="C719" s="3">
        <v>32886.828125</v>
      </c>
      <c r="D719" s="3">
        <v>109491.140625</v>
      </c>
      <c r="E719" s="3">
        <v>0.58389121294021595</v>
      </c>
      <c r="F719" s="3">
        <v>0.93087738752365101</v>
      </c>
      <c r="G719" s="3">
        <v>0.197460547089577</v>
      </c>
      <c r="H719" s="3">
        <v>4.0305752307176597E-2</v>
      </c>
      <c r="I719" s="3">
        <v>33.934449999999998</v>
      </c>
      <c r="J719" s="3">
        <v>2.61766529083252</v>
      </c>
      <c r="K719" s="3">
        <v>1.1249848604202299</v>
      </c>
      <c r="L719" s="3">
        <f t="shared" si="11"/>
        <v>4</v>
      </c>
      <c r="M719">
        <f>VLOOKUP(A719,Sheet2!$B$2:$E$186,2,FALSE)</f>
        <v>120</v>
      </c>
      <c r="N719" t="s">
        <v>387</v>
      </c>
      <c r="O719" t="s">
        <v>397</v>
      </c>
      <c r="P719">
        <v>0</v>
      </c>
      <c r="Q719">
        <v>0</v>
      </c>
      <c r="R719">
        <v>0</v>
      </c>
      <c r="S719">
        <v>1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1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</row>
    <row r="720" spans="1:47" x14ac:dyDescent="0.3">
      <c r="A720" t="s">
        <v>266</v>
      </c>
      <c r="B720" s="3">
        <v>2019</v>
      </c>
      <c r="C720" s="3">
        <v>33837.69140625</v>
      </c>
      <c r="D720" s="3">
        <v>113562.328125</v>
      </c>
      <c r="E720" s="3">
        <v>0.59182649850845304</v>
      </c>
      <c r="F720" s="3">
        <v>0.96600866317749001</v>
      </c>
      <c r="G720" s="3">
        <v>0.18542253971099901</v>
      </c>
      <c r="H720" s="3">
        <v>4.0274582803249401E-2</v>
      </c>
      <c r="I720" s="3">
        <v>35.473516666666697</v>
      </c>
      <c r="J720" s="3">
        <v>2.63230228424072</v>
      </c>
      <c r="K720" s="3">
        <v>1.0968420505523699</v>
      </c>
      <c r="L720" s="3">
        <f t="shared" si="11"/>
        <v>5</v>
      </c>
      <c r="M720">
        <f>VLOOKUP(A720,Sheet2!$B$2:$E$186,2,FALSE)</f>
        <v>120</v>
      </c>
      <c r="N720" t="s">
        <v>387</v>
      </c>
      <c r="O720" t="s">
        <v>397</v>
      </c>
      <c r="P720">
        <v>0</v>
      </c>
      <c r="Q720">
        <v>0</v>
      </c>
      <c r="R720">
        <v>0</v>
      </c>
      <c r="S720">
        <v>1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1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</row>
    <row r="721" spans="1:47" x14ac:dyDescent="0.3">
      <c r="A721" t="s">
        <v>266</v>
      </c>
      <c r="B721" s="3">
        <v>2020</v>
      </c>
      <c r="C721" s="3">
        <v>28915.451171875</v>
      </c>
      <c r="D721" s="3">
        <v>115303.71875</v>
      </c>
      <c r="E721" s="3">
        <v>0.54092037677764904</v>
      </c>
      <c r="F721" s="3">
        <v>0.97939091920852706</v>
      </c>
      <c r="G721" s="3">
        <v>0.13503517210483601</v>
      </c>
      <c r="H721" s="3">
        <v>4.0121424943208701E-2</v>
      </c>
      <c r="I721" s="3">
        <v>39.346933333333297</v>
      </c>
      <c r="J721" s="3">
        <v>2.6470210552215598</v>
      </c>
      <c r="K721" s="3">
        <v>0.97634243965148904</v>
      </c>
      <c r="L721" s="3">
        <f t="shared" si="11"/>
        <v>6</v>
      </c>
      <c r="M721">
        <f>VLOOKUP(A721,Sheet2!$B$2:$E$186,2,FALSE)</f>
        <v>120</v>
      </c>
      <c r="N721" t="s">
        <v>387</v>
      </c>
      <c r="O721" t="s">
        <v>397</v>
      </c>
      <c r="P721">
        <v>0</v>
      </c>
      <c r="Q721">
        <v>0</v>
      </c>
      <c r="R721">
        <v>0</v>
      </c>
      <c r="S721">
        <v>1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1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</row>
    <row r="722" spans="1:47" s="2" customFormat="1" x14ac:dyDescent="0.3">
      <c r="A722" t="s">
        <v>268</v>
      </c>
      <c r="B722" s="3">
        <v>2015</v>
      </c>
      <c r="C722" s="3">
        <v>26387.6953125</v>
      </c>
      <c r="D722" s="3">
        <v>19958.21484375</v>
      </c>
      <c r="E722" s="3">
        <v>5.3014869689941397</v>
      </c>
      <c r="F722" s="3"/>
      <c r="G722" s="3"/>
      <c r="H722" s="3">
        <v>6.9088362157344804E-2</v>
      </c>
      <c r="I722" s="3">
        <v>499.60583333333301</v>
      </c>
      <c r="J722" s="3">
        <v>1.8788695335388199</v>
      </c>
      <c r="K722" s="3"/>
      <c r="L722" s="3">
        <f t="shared" si="11"/>
        <v>1</v>
      </c>
      <c r="M722">
        <f>VLOOKUP(A722,Sheet2!$B$2:$E$186,2,FALSE)</f>
        <v>121</v>
      </c>
      <c r="N722" t="s">
        <v>387</v>
      </c>
      <c r="O722" t="s">
        <v>397</v>
      </c>
      <c r="P722">
        <v>0</v>
      </c>
      <c r="Q722">
        <v>0</v>
      </c>
      <c r="R722">
        <v>0</v>
      </c>
      <c r="S722">
        <v>1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1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/>
      <c r="AP722"/>
      <c r="AQ722"/>
      <c r="AR722"/>
      <c r="AS722"/>
      <c r="AT722"/>
      <c r="AU722"/>
    </row>
    <row r="723" spans="1:47" s="2" customFormat="1" x14ac:dyDescent="0.3">
      <c r="A723" t="s">
        <v>268</v>
      </c>
      <c r="B723" s="3">
        <v>2016</v>
      </c>
      <c r="C723" s="3">
        <v>28455.396484375</v>
      </c>
      <c r="D723" s="3">
        <v>20856.794921875</v>
      </c>
      <c r="E723" s="3">
        <v>5.3218994140625</v>
      </c>
      <c r="F723" s="3"/>
      <c r="G723" s="3"/>
      <c r="H723" s="3">
        <v>7.0077389478683499E-2</v>
      </c>
      <c r="I723" s="3">
        <v>718.005</v>
      </c>
      <c r="J723" s="3">
        <v>1.9177118539810201</v>
      </c>
      <c r="K723" s="3"/>
      <c r="L723" s="3">
        <f t="shared" si="11"/>
        <v>2</v>
      </c>
      <c r="M723">
        <f>VLOOKUP(A723,Sheet2!$B$2:$E$186,2,FALSE)</f>
        <v>121</v>
      </c>
      <c r="N723" t="s">
        <v>387</v>
      </c>
      <c r="O723" t="s">
        <v>397</v>
      </c>
      <c r="P723">
        <v>0</v>
      </c>
      <c r="Q723">
        <v>0</v>
      </c>
      <c r="R723">
        <v>0</v>
      </c>
      <c r="S723">
        <v>1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1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/>
      <c r="AP723"/>
      <c r="AQ723"/>
      <c r="AR723"/>
      <c r="AS723"/>
      <c r="AT723"/>
      <c r="AU723"/>
    </row>
    <row r="724" spans="1:47" s="2" customFormat="1" x14ac:dyDescent="0.3">
      <c r="A724" t="s">
        <v>268</v>
      </c>
      <c r="B724" s="3">
        <v>2017</v>
      </c>
      <c r="C724" s="3">
        <v>31443.337890625</v>
      </c>
      <c r="D724" s="3">
        <v>21909.935546875</v>
      </c>
      <c r="E724" s="3">
        <v>5.3565173149108896</v>
      </c>
      <c r="F724" s="3"/>
      <c r="G724" s="3"/>
      <c r="H724" s="3">
        <v>7.1173757314682007E-2</v>
      </c>
      <c r="I724" s="3">
        <v>730.27250000000004</v>
      </c>
      <c r="J724" s="3">
        <v>1.9573570489883401</v>
      </c>
      <c r="K724" s="3"/>
      <c r="L724" s="3">
        <f t="shared" si="11"/>
        <v>3</v>
      </c>
      <c r="M724">
        <f>VLOOKUP(A724,Sheet2!$B$2:$E$186,2,FALSE)</f>
        <v>121</v>
      </c>
      <c r="N724" t="s">
        <v>387</v>
      </c>
      <c r="O724" t="s">
        <v>397</v>
      </c>
      <c r="P724">
        <v>0</v>
      </c>
      <c r="Q724">
        <v>0</v>
      </c>
      <c r="R724">
        <v>0</v>
      </c>
      <c r="S724">
        <v>1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1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/>
      <c r="AP724"/>
      <c r="AQ724"/>
      <c r="AR724"/>
      <c r="AS724"/>
      <c r="AT724"/>
      <c r="AU724"/>
    </row>
    <row r="725" spans="1:47" s="2" customFormat="1" x14ac:dyDescent="0.3">
      <c r="A725" t="s">
        <v>268</v>
      </c>
      <c r="B725" s="3">
        <v>2018</v>
      </c>
      <c r="C725" s="3">
        <v>32812.24609375</v>
      </c>
      <c r="D725" s="3">
        <v>22966.822265625</v>
      </c>
      <c r="E725" s="3">
        <v>5.3894629478454599</v>
      </c>
      <c r="F725" s="3"/>
      <c r="G725" s="3"/>
      <c r="H725" s="3">
        <v>7.2484999895095797E-2</v>
      </c>
      <c r="I725" s="3">
        <v>732.33333333333303</v>
      </c>
      <c r="J725" s="3">
        <v>1.9978219270706199</v>
      </c>
      <c r="K725" s="3"/>
      <c r="L725" s="3">
        <f t="shared" si="11"/>
        <v>4</v>
      </c>
      <c r="M725">
        <f>VLOOKUP(A725,Sheet2!$B$2:$E$186,2,FALSE)</f>
        <v>121</v>
      </c>
      <c r="N725" t="s">
        <v>387</v>
      </c>
      <c r="O725" t="s">
        <v>397</v>
      </c>
      <c r="P725">
        <v>0</v>
      </c>
      <c r="Q725">
        <v>0</v>
      </c>
      <c r="R725">
        <v>0</v>
      </c>
      <c r="S725">
        <v>1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1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/>
      <c r="AP725"/>
      <c r="AQ725"/>
      <c r="AR725"/>
      <c r="AS725"/>
      <c r="AT725"/>
      <c r="AU725"/>
    </row>
    <row r="726" spans="1:47" s="2" customFormat="1" x14ac:dyDescent="0.3">
      <c r="A726" t="s">
        <v>268</v>
      </c>
      <c r="B726" s="3">
        <v>2019</v>
      </c>
      <c r="C726" s="3">
        <v>34688.0625</v>
      </c>
      <c r="D726" s="3">
        <v>24058.591796875</v>
      </c>
      <c r="E726" s="3">
        <v>5.7900266647338903</v>
      </c>
      <c r="F726" s="3"/>
      <c r="G726" s="3"/>
      <c r="H726" s="3">
        <v>7.4074804782867404E-2</v>
      </c>
      <c r="I726" s="3">
        <v>745.54066787737202</v>
      </c>
      <c r="J726" s="3">
        <v>2.03912305831909</v>
      </c>
      <c r="K726" s="3"/>
      <c r="L726" s="3">
        <f t="shared" si="11"/>
        <v>5</v>
      </c>
      <c r="M726">
        <f>VLOOKUP(A726,Sheet2!$B$2:$E$186,2,FALSE)</f>
        <v>121</v>
      </c>
      <c r="N726" t="s">
        <v>387</v>
      </c>
      <c r="O726" t="s">
        <v>397</v>
      </c>
      <c r="P726">
        <v>0</v>
      </c>
      <c r="Q726">
        <v>0</v>
      </c>
      <c r="R726">
        <v>0</v>
      </c>
      <c r="S726">
        <v>1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1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/>
      <c r="AP726"/>
      <c r="AQ726"/>
      <c r="AR726"/>
      <c r="AS726"/>
      <c r="AT726"/>
      <c r="AU726"/>
    </row>
    <row r="727" spans="1:47" s="2" customFormat="1" x14ac:dyDescent="0.3">
      <c r="A727" t="s">
        <v>268</v>
      </c>
      <c r="B727" s="3">
        <v>2020</v>
      </c>
      <c r="C727" s="3">
        <v>34963.34765625</v>
      </c>
      <c r="D727" s="3">
        <v>25016.3359375</v>
      </c>
      <c r="E727" s="3">
        <v>6.20729732513428</v>
      </c>
      <c r="F727" s="3"/>
      <c r="G727" s="3"/>
      <c r="H727" s="3">
        <v>7.3559999465942397E-2</v>
      </c>
      <c r="I727" s="3">
        <v>749.52749388220104</v>
      </c>
      <c r="J727" s="3">
        <v>2.0812783241271999</v>
      </c>
      <c r="K727" s="3"/>
      <c r="L727" s="3">
        <f t="shared" si="11"/>
        <v>6</v>
      </c>
      <c r="M727">
        <f>VLOOKUP(A727,Sheet2!$B$2:$E$186,2,FALSE)</f>
        <v>121</v>
      </c>
      <c r="N727" t="s">
        <v>387</v>
      </c>
      <c r="O727" t="s">
        <v>397</v>
      </c>
      <c r="P727">
        <v>0</v>
      </c>
      <c r="Q727">
        <v>0</v>
      </c>
      <c r="R727">
        <v>0</v>
      </c>
      <c r="S727">
        <v>1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1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/>
      <c r="AP727"/>
      <c r="AQ727"/>
      <c r="AR727"/>
      <c r="AS727"/>
      <c r="AT727"/>
      <c r="AU727"/>
    </row>
    <row r="728" spans="1:47" x14ac:dyDescent="0.3">
      <c r="A728" t="s">
        <v>270</v>
      </c>
      <c r="B728" s="3">
        <v>2015</v>
      </c>
      <c r="C728" s="3">
        <v>796288.5625</v>
      </c>
      <c r="D728" s="3">
        <v>3104790.25</v>
      </c>
      <c r="E728" s="3">
        <v>14.0659990310669</v>
      </c>
      <c r="F728" s="3">
        <v>0.75523859262466397</v>
      </c>
      <c r="G728" s="3">
        <v>0.178705424070358</v>
      </c>
      <c r="H728" s="3">
        <v>5.3007725626230198E-2</v>
      </c>
      <c r="I728" s="3">
        <v>3.9055002630276801</v>
      </c>
      <c r="J728" s="3">
        <v>2.9902830123901398</v>
      </c>
      <c r="K728" s="3">
        <v>1.0088039636611901</v>
      </c>
      <c r="L728" s="3">
        <f t="shared" si="11"/>
        <v>1</v>
      </c>
      <c r="M728">
        <f>VLOOKUP(A728,Sheet2!$B$2:$E$186,2,FALSE)</f>
        <v>122</v>
      </c>
      <c r="N728" t="s">
        <v>391</v>
      </c>
      <c r="O728" t="s">
        <v>403</v>
      </c>
      <c r="P728">
        <v>0</v>
      </c>
      <c r="Q728">
        <v>0</v>
      </c>
      <c r="R728">
        <v>1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</row>
    <row r="729" spans="1:47" x14ac:dyDescent="0.3">
      <c r="A729" t="s">
        <v>270</v>
      </c>
      <c r="B729" s="3">
        <v>2016</v>
      </c>
      <c r="C729" s="3">
        <v>831721.5</v>
      </c>
      <c r="D729" s="3">
        <v>3288805.75</v>
      </c>
      <c r="E729" s="3">
        <v>14.1628017425537</v>
      </c>
      <c r="F729" s="3">
        <v>0.79886585474014304</v>
      </c>
      <c r="G729" s="3">
        <v>0.17738293111324299</v>
      </c>
      <c r="H729" s="3">
        <v>5.26005774736404E-2</v>
      </c>
      <c r="I729" s="3">
        <v>4.14830066287879</v>
      </c>
      <c r="J729" s="3">
        <v>3.01212477684021</v>
      </c>
      <c r="K729" s="3">
        <v>1.0155007839202901</v>
      </c>
      <c r="L729" s="3">
        <f t="shared" si="11"/>
        <v>2</v>
      </c>
      <c r="M729">
        <f>VLOOKUP(A729,Sheet2!$B$2:$E$186,2,FALSE)</f>
        <v>122</v>
      </c>
      <c r="N729" t="s">
        <v>391</v>
      </c>
      <c r="O729" t="s">
        <v>403</v>
      </c>
      <c r="P729">
        <v>0</v>
      </c>
      <c r="Q729">
        <v>0</v>
      </c>
      <c r="R729">
        <v>1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</row>
    <row r="730" spans="1:47" x14ac:dyDescent="0.3">
      <c r="A730" t="s">
        <v>270</v>
      </c>
      <c r="B730" s="3">
        <v>2017</v>
      </c>
      <c r="C730" s="3">
        <v>880067.4375</v>
      </c>
      <c r="D730" s="3">
        <v>3486282.5</v>
      </c>
      <c r="E730" s="3">
        <v>14.476799011230501</v>
      </c>
      <c r="F730" s="3">
        <v>0.84633946418762196</v>
      </c>
      <c r="G730" s="3">
        <v>0.18400263786315901</v>
      </c>
      <c r="H730" s="3">
        <v>5.22440709173679E-2</v>
      </c>
      <c r="I730" s="3">
        <v>4.3004408776112397</v>
      </c>
      <c r="J730" s="3">
        <v>3.0341258049011199</v>
      </c>
      <c r="K730" s="3">
        <v>1.0328172445297199</v>
      </c>
      <c r="L730" s="3">
        <f t="shared" si="11"/>
        <v>3</v>
      </c>
      <c r="M730">
        <f>VLOOKUP(A730,Sheet2!$B$2:$E$186,2,FALSE)</f>
        <v>122</v>
      </c>
      <c r="N730" t="s">
        <v>391</v>
      </c>
      <c r="O730" t="s">
        <v>403</v>
      </c>
      <c r="P730">
        <v>0</v>
      </c>
      <c r="Q730">
        <v>0</v>
      </c>
      <c r="R730">
        <v>1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</row>
    <row r="731" spans="1:47" x14ac:dyDescent="0.3">
      <c r="A731" t="s">
        <v>270</v>
      </c>
      <c r="B731" s="3">
        <v>2018</v>
      </c>
      <c r="C731" s="3">
        <v>922689.6875</v>
      </c>
      <c r="D731" s="3">
        <v>3681222</v>
      </c>
      <c r="E731" s="3">
        <v>14.7758989334106</v>
      </c>
      <c r="F731" s="3">
        <v>0.89248746633529696</v>
      </c>
      <c r="G731" s="3">
        <v>0.18497565388679499</v>
      </c>
      <c r="H731" s="3">
        <v>5.1964987069368397E-2</v>
      </c>
      <c r="I731" s="3">
        <v>4.0351301370680597</v>
      </c>
      <c r="J731" s="3">
        <v>3.0562877655029301</v>
      </c>
      <c r="K731" s="3">
        <v>1.0411365032196001</v>
      </c>
      <c r="L731" s="3">
        <f t="shared" si="11"/>
        <v>4</v>
      </c>
      <c r="M731">
        <f>VLOOKUP(A731,Sheet2!$B$2:$E$186,2,FALSE)</f>
        <v>122</v>
      </c>
      <c r="N731" t="s">
        <v>391</v>
      </c>
      <c r="O731" t="s">
        <v>403</v>
      </c>
      <c r="P731">
        <v>0</v>
      </c>
      <c r="Q731">
        <v>0</v>
      </c>
      <c r="R731">
        <v>1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</row>
    <row r="732" spans="1:47" x14ac:dyDescent="0.3">
      <c r="A732" t="s">
        <v>270</v>
      </c>
      <c r="B732" s="3">
        <v>2019</v>
      </c>
      <c r="C732" s="3">
        <v>963409.9375</v>
      </c>
      <c r="D732" s="3">
        <v>3861843</v>
      </c>
      <c r="E732" s="3">
        <v>15.073296546936</v>
      </c>
      <c r="F732" s="3">
        <v>0.93448859453201305</v>
      </c>
      <c r="G732" s="3">
        <v>0.18436315655708299</v>
      </c>
      <c r="H732" s="3">
        <v>5.1600936800241498E-2</v>
      </c>
      <c r="I732" s="3">
        <v>4.1424697356973104</v>
      </c>
      <c r="J732" s="3">
        <v>3.0786113739013699</v>
      </c>
      <c r="K732" s="3">
        <v>1.04231905937195</v>
      </c>
      <c r="L732" s="3">
        <f t="shared" si="11"/>
        <v>5</v>
      </c>
      <c r="M732">
        <f>VLOOKUP(A732,Sheet2!$B$2:$E$186,2,FALSE)</f>
        <v>122</v>
      </c>
      <c r="N732" t="s">
        <v>391</v>
      </c>
      <c r="O732" t="s">
        <v>403</v>
      </c>
      <c r="P732">
        <v>0</v>
      </c>
      <c r="Q732">
        <v>0</v>
      </c>
      <c r="R732">
        <v>1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</row>
    <row r="733" spans="1:47" x14ac:dyDescent="0.3">
      <c r="A733" t="s">
        <v>270</v>
      </c>
      <c r="B733" s="3">
        <v>2020</v>
      </c>
      <c r="C733" s="3">
        <v>910838.0625</v>
      </c>
      <c r="D733" s="3">
        <v>3979777.75</v>
      </c>
      <c r="E733" s="3">
        <v>14.9566974639893</v>
      </c>
      <c r="F733" s="3">
        <v>0.96860867738723799</v>
      </c>
      <c r="G733" s="3">
        <v>0.164205461740494</v>
      </c>
      <c r="H733" s="3">
        <v>5.20205348730087E-2</v>
      </c>
      <c r="I733" s="3">
        <v>4.2034819485188404</v>
      </c>
      <c r="J733" s="3">
        <v>3.1010980606079102</v>
      </c>
      <c r="K733" s="3">
        <v>1.0065163373947099</v>
      </c>
      <c r="L733" s="3">
        <f t="shared" si="11"/>
        <v>6</v>
      </c>
      <c r="M733">
        <f>VLOOKUP(A733,Sheet2!$B$2:$E$186,2,FALSE)</f>
        <v>122</v>
      </c>
      <c r="N733" t="s">
        <v>391</v>
      </c>
      <c r="O733" t="s">
        <v>403</v>
      </c>
      <c r="P733">
        <v>0</v>
      </c>
      <c r="Q733">
        <v>0</v>
      </c>
      <c r="R733">
        <v>1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</row>
    <row r="734" spans="1:47" x14ac:dyDescent="0.3">
      <c r="A734" t="s">
        <v>272</v>
      </c>
      <c r="B734" s="3">
        <v>2015</v>
      </c>
      <c r="C734" s="3">
        <v>27835.216796875</v>
      </c>
      <c r="D734" s="3">
        <v>103242.078125</v>
      </c>
      <c r="E734" s="3">
        <v>0.69232201576232899</v>
      </c>
      <c r="F734" s="3">
        <v>0.94803804159164395</v>
      </c>
      <c r="G734" s="3">
        <v>0.13682712614536299</v>
      </c>
      <c r="H734" s="3">
        <v>6.22566193342209E-2</v>
      </c>
      <c r="I734" s="3">
        <v>12.8819208333333</v>
      </c>
      <c r="J734" s="3">
        <v>2.1995267868042001</v>
      </c>
      <c r="K734" s="3">
        <v>1.0882084369659399</v>
      </c>
      <c r="L734" s="3">
        <f t="shared" si="11"/>
        <v>1</v>
      </c>
      <c r="M734">
        <f>VLOOKUP(A734,Sheet2!$B$2:$E$186,2,FALSE)</f>
        <v>123</v>
      </c>
      <c r="N734" t="s">
        <v>387</v>
      </c>
      <c r="O734" t="s">
        <v>404</v>
      </c>
      <c r="P734">
        <v>0</v>
      </c>
      <c r="Q734">
        <v>0</v>
      </c>
      <c r="R734">
        <v>0</v>
      </c>
      <c r="S734">
        <v>1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1</v>
      </c>
      <c r="AJ734">
        <v>0</v>
      </c>
      <c r="AK734">
        <v>0</v>
      </c>
      <c r="AL734">
        <v>0</v>
      </c>
      <c r="AM734">
        <v>0</v>
      </c>
      <c r="AN734">
        <v>0</v>
      </c>
    </row>
    <row r="735" spans="1:47" x14ac:dyDescent="0.3">
      <c r="A735" t="s">
        <v>272</v>
      </c>
      <c r="B735" s="3">
        <v>2016</v>
      </c>
      <c r="C735" s="3">
        <v>27844.623046875</v>
      </c>
      <c r="D735" s="3">
        <v>106890.6484375</v>
      </c>
      <c r="E735" s="3">
        <v>0.67685687541961703</v>
      </c>
      <c r="F735" s="3">
        <v>0.97450929880142201</v>
      </c>
      <c r="G735" s="3">
        <v>0.131382241845131</v>
      </c>
      <c r="H735" s="3">
        <v>5.9815887361764901E-2</v>
      </c>
      <c r="I735" s="3">
        <v>14.708766666666699</v>
      </c>
      <c r="J735" s="3">
        <v>2.2122204303741499</v>
      </c>
      <c r="K735" s="3">
        <v>1.1018885374069201</v>
      </c>
      <c r="L735" s="3">
        <f t="shared" si="11"/>
        <v>2</v>
      </c>
      <c r="M735">
        <f>VLOOKUP(A735,Sheet2!$B$2:$E$186,2,FALSE)</f>
        <v>123</v>
      </c>
      <c r="N735" t="s">
        <v>387</v>
      </c>
      <c r="O735" t="s">
        <v>404</v>
      </c>
      <c r="P735">
        <v>0</v>
      </c>
      <c r="Q735">
        <v>0</v>
      </c>
      <c r="R735">
        <v>0</v>
      </c>
      <c r="S735">
        <v>1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1</v>
      </c>
      <c r="AJ735">
        <v>0</v>
      </c>
      <c r="AK735">
        <v>0</v>
      </c>
      <c r="AL735">
        <v>0</v>
      </c>
      <c r="AM735">
        <v>0</v>
      </c>
      <c r="AN735">
        <v>0</v>
      </c>
    </row>
    <row r="736" spans="1:47" x14ac:dyDescent="0.3">
      <c r="A736" t="s">
        <v>272</v>
      </c>
      <c r="B736" s="3">
        <v>2017</v>
      </c>
      <c r="C736" s="3">
        <v>27558.587890625</v>
      </c>
      <c r="D736" s="3">
        <v>108976.8828125</v>
      </c>
      <c r="E736" s="3">
        <v>0.69969493150711104</v>
      </c>
      <c r="F736" s="3">
        <v>0.98694825172424305</v>
      </c>
      <c r="G736" s="3">
        <v>0.131694376468658</v>
      </c>
      <c r="H736" s="3">
        <v>5.7840671390295001E-2</v>
      </c>
      <c r="I736" s="3">
        <v>13.312900000000001</v>
      </c>
      <c r="J736" s="3">
        <v>2.2250995635986301</v>
      </c>
      <c r="K736" s="3">
        <v>1.0192830562591599</v>
      </c>
      <c r="L736" s="3">
        <f t="shared" si="11"/>
        <v>3</v>
      </c>
      <c r="M736">
        <f>VLOOKUP(A736,Sheet2!$B$2:$E$186,2,FALSE)</f>
        <v>123</v>
      </c>
      <c r="N736" t="s">
        <v>387</v>
      </c>
      <c r="O736" t="s">
        <v>404</v>
      </c>
      <c r="P736">
        <v>0</v>
      </c>
      <c r="Q736">
        <v>0</v>
      </c>
      <c r="R736">
        <v>0</v>
      </c>
      <c r="S736">
        <v>1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1</v>
      </c>
      <c r="AJ736">
        <v>0</v>
      </c>
      <c r="AK736">
        <v>0</v>
      </c>
      <c r="AL736">
        <v>0</v>
      </c>
      <c r="AM736">
        <v>0</v>
      </c>
      <c r="AN736">
        <v>0</v>
      </c>
    </row>
    <row r="737" spans="1:40" x14ac:dyDescent="0.3">
      <c r="A737" t="s">
        <v>272</v>
      </c>
      <c r="B737" s="3">
        <v>2018</v>
      </c>
      <c r="C737" s="3">
        <v>27850.6953125</v>
      </c>
      <c r="D737" s="3">
        <v>110492.4453125</v>
      </c>
      <c r="E737" s="3">
        <v>0.72570401430130005</v>
      </c>
      <c r="F737" s="3">
        <v>0.99795776605606101</v>
      </c>
      <c r="G737" s="3">
        <v>0.121767871081829</v>
      </c>
      <c r="H737" s="3">
        <v>5.6242518126964597E-2</v>
      </c>
      <c r="I737" s="3">
        <v>13.2339416666667</v>
      </c>
      <c r="J737" s="3">
        <v>2.2381677627563499</v>
      </c>
      <c r="K737" s="3">
        <v>0.97239989042282104</v>
      </c>
      <c r="L737" s="3">
        <f t="shared" si="11"/>
        <v>4</v>
      </c>
      <c r="M737">
        <f>VLOOKUP(A737,Sheet2!$B$2:$E$186,2,FALSE)</f>
        <v>123</v>
      </c>
      <c r="N737" t="s">
        <v>387</v>
      </c>
      <c r="O737" t="s">
        <v>404</v>
      </c>
      <c r="P737">
        <v>0</v>
      </c>
      <c r="Q737">
        <v>0</v>
      </c>
      <c r="R737">
        <v>0</v>
      </c>
      <c r="S737">
        <v>1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1</v>
      </c>
      <c r="AJ737">
        <v>0</v>
      </c>
      <c r="AK737">
        <v>0</v>
      </c>
      <c r="AL737">
        <v>0</v>
      </c>
      <c r="AM737">
        <v>0</v>
      </c>
      <c r="AN737">
        <v>0</v>
      </c>
    </row>
    <row r="738" spans="1:40" x14ac:dyDescent="0.3">
      <c r="A738" t="s">
        <v>272</v>
      </c>
      <c r="B738" s="3">
        <v>2019</v>
      </c>
      <c r="C738" s="3">
        <v>27616.984375</v>
      </c>
      <c r="D738" s="3">
        <v>111400.796875</v>
      </c>
      <c r="E738" s="3">
        <v>0.73746895790100098</v>
      </c>
      <c r="F738" s="3">
        <v>1.00057196617126</v>
      </c>
      <c r="G738" s="3">
        <v>0.118231453001499</v>
      </c>
      <c r="H738" s="3">
        <v>5.4767318069934803E-2</v>
      </c>
      <c r="I738" s="3">
        <v>14.4486904166667</v>
      </c>
      <c r="J738" s="3">
        <v>2.2514283657074001</v>
      </c>
      <c r="K738" s="3">
        <v>0.96747893095016502</v>
      </c>
      <c r="L738" s="3">
        <f t="shared" si="11"/>
        <v>5</v>
      </c>
      <c r="M738">
        <f>VLOOKUP(A738,Sheet2!$B$2:$E$186,2,FALSE)</f>
        <v>123</v>
      </c>
      <c r="N738" t="s">
        <v>387</v>
      </c>
      <c r="O738" t="s">
        <v>404</v>
      </c>
      <c r="P738">
        <v>0</v>
      </c>
      <c r="Q738">
        <v>0</v>
      </c>
      <c r="R738">
        <v>0</v>
      </c>
      <c r="S738">
        <v>1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1</v>
      </c>
      <c r="AJ738">
        <v>0</v>
      </c>
      <c r="AK738">
        <v>0</v>
      </c>
      <c r="AL738">
        <v>0</v>
      </c>
      <c r="AM738">
        <v>0</v>
      </c>
      <c r="AN738">
        <v>0</v>
      </c>
    </row>
    <row r="739" spans="1:40" x14ac:dyDescent="0.3">
      <c r="A739" t="s">
        <v>272</v>
      </c>
      <c r="B739" s="3">
        <v>2020</v>
      </c>
      <c r="C739" s="3">
        <v>25379.62109375</v>
      </c>
      <c r="D739" s="3">
        <v>111221.0546875</v>
      </c>
      <c r="E739" s="3">
        <v>0.72400611639022805</v>
      </c>
      <c r="F739" s="3">
        <v>0.98762559890747104</v>
      </c>
      <c r="G739" s="3">
        <v>0.101226896047592</v>
      </c>
      <c r="H739" s="3">
        <v>5.3035397082567201E-2</v>
      </c>
      <c r="I739" s="3">
        <v>16.463266666666701</v>
      </c>
      <c r="J739" s="3">
        <v>2.2648847103118901</v>
      </c>
      <c r="K739" s="3">
        <v>0.91625308990478505</v>
      </c>
      <c r="L739" s="3">
        <f t="shared" si="11"/>
        <v>6</v>
      </c>
      <c r="M739">
        <f>VLOOKUP(A739,Sheet2!$B$2:$E$186,2,FALSE)</f>
        <v>123</v>
      </c>
      <c r="N739" t="s">
        <v>387</v>
      </c>
      <c r="O739" t="s">
        <v>404</v>
      </c>
      <c r="P739">
        <v>0</v>
      </c>
      <c r="Q739">
        <v>0</v>
      </c>
      <c r="R739">
        <v>0</v>
      </c>
      <c r="S739">
        <v>1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1</v>
      </c>
      <c r="AJ739">
        <v>0</v>
      </c>
      <c r="AK739">
        <v>0</v>
      </c>
      <c r="AL739">
        <v>0</v>
      </c>
      <c r="AM739">
        <v>0</v>
      </c>
      <c r="AN739">
        <v>0</v>
      </c>
    </row>
    <row r="740" spans="1:40" x14ac:dyDescent="0.3">
      <c r="A740" t="s">
        <v>274</v>
      </c>
      <c r="B740" s="3">
        <v>2015</v>
      </c>
      <c r="C740" s="3">
        <v>28445.162109375</v>
      </c>
      <c r="D740" s="3">
        <v>124597.015625</v>
      </c>
      <c r="E740" s="3">
        <v>7.7818341255187997</v>
      </c>
      <c r="F740" s="3">
        <v>0.75677639245986905</v>
      </c>
      <c r="G740" s="3">
        <v>0.108515344560146</v>
      </c>
      <c r="H740" s="3">
        <v>4.2903963476419497E-2</v>
      </c>
      <c r="I740" s="3">
        <v>591.21169798260996</v>
      </c>
      <c r="J740" s="3">
        <v>1.19902455806732</v>
      </c>
      <c r="K740" s="3">
        <v>0.97121471166610696</v>
      </c>
      <c r="L740" s="3">
        <f t="shared" si="11"/>
        <v>1</v>
      </c>
      <c r="M740">
        <f>VLOOKUP(A740,Sheet2!$B$2:$E$186,2,FALSE)</f>
        <v>124</v>
      </c>
      <c r="N740" t="s">
        <v>387</v>
      </c>
      <c r="O740" t="s">
        <v>398</v>
      </c>
      <c r="P740">
        <v>0</v>
      </c>
      <c r="Q740">
        <v>0</v>
      </c>
      <c r="R740">
        <v>0</v>
      </c>
      <c r="S740">
        <v>1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1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</row>
    <row r="741" spans="1:40" x14ac:dyDescent="0.3">
      <c r="A741" t="s">
        <v>274</v>
      </c>
      <c r="B741" s="3">
        <v>2016</v>
      </c>
      <c r="C741" s="3">
        <v>30078.171875</v>
      </c>
      <c r="D741" s="3">
        <v>129060.2421875</v>
      </c>
      <c r="E741" s="3">
        <v>8.0704374313354492</v>
      </c>
      <c r="F741" s="3">
        <v>0.79101926088333097</v>
      </c>
      <c r="G741" s="3">
        <v>0.109237611293793</v>
      </c>
      <c r="H741" s="3">
        <v>4.3490380048751803E-2</v>
      </c>
      <c r="I741" s="3">
        <v>592.60561506302201</v>
      </c>
      <c r="J741" s="3">
        <v>1.2054630517959599</v>
      </c>
      <c r="K741" s="3">
        <v>0.95174992084503196</v>
      </c>
      <c r="L741" s="3">
        <f t="shared" si="11"/>
        <v>2</v>
      </c>
      <c r="M741">
        <f>VLOOKUP(A741,Sheet2!$B$2:$E$186,2,FALSE)</f>
        <v>124</v>
      </c>
      <c r="N741" t="s">
        <v>387</v>
      </c>
      <c r="O741" t="s">
        <v>398</v>
      </c>
      <c r="P741">
        <v>0</v>
      </c>
      <c r="Q741">
        <v>0</v>
      </c>
      <c r="R741">
        <v>0</v>
      </c>
      <c r="S741">
        <v>1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1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</row>
    <row r="742" spans="1:40" x14ac:dyDescent="0.3">
      <c r="A742" t="s">
        <v>274</v>
      </c>
      <c r="B742" s="3">
        <v>2017</v>
      </c>
      <c r="C742" s="3">
        <v>31582.48828125</v>
      </c>
      <c r="D742" s="3">
        <v>133256.5625</v>
      </c>
      <c r="E742" s="3">
        <v>8.3638105392456108</v>
      </c>
      <c r="F742" s="3">
        <v>0.82082253694534302</v>
      </c>
      <c r="G742" s="3">
        <v>0.114316061139107</v>
      </c>
      <c r="H742" s="3">
        <v>4.40714173018932E-2</v>
      </c>
      <c r="I742" s="3">
        <v>580.65674958785803</v>
      </c>
      <c r="J742" s="3">
        <v>1.21193623542786</v>
      </c>
      <c r="K742" s="3">
        <v>0.96446186304092396</v>
      </c>
      <c r="L742" s="3">
        <f t="shared" si="11"/>
        <v>3</v>
      </c>
      <c r="M742">
        <f>VLOOKUP(A742,Sheet2!$B$2:$E$186,2,FALSE)</f>
        <v>124</v>
      </c>
      <c r="N742" t="s">
        <v>387</v>
      </c>
      <c r="O742" t="s">
        <v>398</v>
      </c>
      <c r="P742">
        <v>0</v>
      </c>
      <c r="Q742">
        <v>0</v>
      </c>
      <c r="R742">
        <v>0</v>
      </c>
      <c r="S742">
        <v>1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1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</row>
    <row r="743" spans="1:40" x14ac:dyDescent="0.3">
      <c r="A743" t="s">
        <v>274</v>
      </c>
      <c r="B743" s="3">
        <v>2018</v>
      </c>
      <c r="C743" s="3">
        <v>33859.83984375</v>
      </c>
      <c r="D743" s="3">
        <v>138902.28125</v>
      </c>
      <c r="E743" s="3">
        <v>8.66253566741943</v>
      </c>
      <c r="F743" s="3">
        <v>0.86321580410003695</v>
      </c>
      <c r="G743" s="3">
        <v>0.11251152306795099</v>
      </c>
      <c r="H743" s="3">
        <v>4.4711377471685403E-2</v>
      </c>
      <c r="I743" s="3">
        <v>555.44645839822601</v>
      </c>
      <c r="J743" s="3">
        <v>1.21844410896301</v>
      </c>
      <c r="K743" s="3">
        <v>1.0004410743713399</v>
      </c>
      <c r="L743" s="3">
        <f t="shared" si="11"/>
        <v>4</v>
      </c>
      <c r="M743">
        <f>VLOOKUP(A743,Sheet2!$B$2:$E$186,2,FALSE)</f>
        <v>124</v>
      </c>
      <c r="N743" t="s">
        <v>387</v>
      </c>
      <c r="O743" t="s">
        <v>398</v>
      </c>
      <c r="P743">
        <v>0</v>
      </c>
      <c r="Q743">
        <v>0</v>
      </c>
      <c r="R743">
        <v>0</v>
      </c>
      <c r="S743">
        <v>1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</row>
    <row r="744" spans="1:40" x14ac:dyDescent="0.3">
      <c r="A744" t="s">
        <v>274</v>
      </c>
      <c r="B744" s="3">
        <v>2019</v>
      </c>
      <c r="C744" s="3">
        <v>35871.5859375</v>
      </c>
      <c r="D744" s="3">
        <v>145937.734375</v>
      </c>
      <c r="E744" s="3">
        <v>8.9615583419799805</v>
      </c>
      <c r="F744" s="3">
        <v>0.91542804241180398</v>
      </c>
      <c r="G744" s="3">
        <v>0.119191192090511</v>
      </c>
      <c r="H744" s="3">
        <v>4.5716989785432802E-2</v>
      </c>
      <c r="I744" s="3">
        <v>585.91101318036897</v>
      </c>
      <c r="J744" s="3">
        <v>1.22498691082001</v>
      </c>
      <c r="K744" s="3">
        <v>1.01904392242432</v>
      </c>
      <c r="L744" s="3">
        <f t="shared" si="11"/>
        <v>5</v>
      </c>
      <c r="M744">
        <f>VLOOKUP(A744,Sheet2!$B$2:$E$186,2,FALSE)</f>
        <v>124</v>
      </c>
      <c r="N744" t="s">
        <v>387</v>
      </c>
      <c r="O744" t="s">
        <v>398</v>
      </c>
      <c r="P744">
        <v>0</v>
      </c>
      <c r="Q744">
        <v>0</v>
      </c>
      <c r="R744">
        <v>0</v>
      </c>
      <c r="S744">
        <v>1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1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</row>
    <row r="745" spans="1:40" x14ac:dyDescent="0.3">
      <c r="A745" t="s">
        <v>274</v>
      </c>
      <c r="B745" s="3">
        <v>2020</v>
      </c>
      <c r="C745" s="3">
        <v>37145.10546875</v>
      </c>
      <c r="D745" s="3">
        <v>151947.859375</v>
      </c>
      <c r="E745" s="3">
        <v>9.1900548934936506</v>
      </c>
      <c r="F745" s="3">
        <v>0.95620363950729403</v>
      </c>
      <c r="G745" s="3">
        <v>0.119796015322208</v>
      </c>
      <c r="H745" s="3">
        <v>4.6385671943426098E-2</v>
      </c>
      <c r="I745" s="3">
        <v>575.58600451094503</v>
      </c>
      <c r="J745" s="3">
        <v>1.2315648794174201</v>
      </c>
      <c r="K745" s="3">
        <v>1.0266586542129501</v>
      </c>
      <c r="L745" s="3">
        <f t="shared" si="11"/>
        <v>6</v>
      </c>
      <c r="M745">
        <f>VLOOKUP(A745,Sheet2!$B$2:$E$186,2,FALSE)</f>
        <v>124</v>
      </c>
      <c r="N745" t="s">
        <v>387</v>
      </c>
      <c r="O745" t="s">
        <v>398</v>
      </c>
      <c r="P745">
        <v>0</v>
      </c>
      <c r="Q745">
        <v>0</v>
      </c>
      <c r="R745">
        <v>0</v>
      </c>
      <c r="S745">
        <v>1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1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</row>
    <row r="746" spans="1:40" x14ac:dyDescent="0.3">
      <c r="A746" t="s">
        <v>275</v>
      </c>
      <c r="B746" s="3">
        <v>2015</v>
      </c>
      <c r="C746" s="3">
        <v>1059168.75</v>
      </c>
      <c r="D746" s="3">
        <v>9138001</v>
      </c>
      <c r="E746" s="3">
        <v>63.412109375</v>
      </c>
      <c r="F746" s="3">
        <v>0.90496420860290505</v>
      </c>
      <c r="G746" s="3">
        <v>0.186645492911339</v>
      </c>
      <c r="H746" s="3">
        <v>3.0117999762296701E-2</v>
      </c>
      <c r="I746" s="3">
        <v>192.440333333333</v>
      </c>
      <c r="J746" s="3">
        <v>1.87547206878662</v>
      </c>
      <c r="K746" s="3">
        <v>1.0038560628891</v>
      </c>
      <c r="L746" s="3">
        <f t="shared" si="11"/>
        <v>1</v>
      </c>
      <c r="M746">
        <f>VLOOKUP(A746,Sheet2!$B$2:$E$186,2,FALSE)</f>
        <v>125</v>
      </c>
      <c r="N746" t="s">
        <v>387</v>
      </c>
      <c r="O746" t="s">
        <v>398</v>
      </c>
      <c r="P746">
        <v>0</v>
      </c>
      <c r="Q746">
        <v>0</v>
      </c>
      <c r="R746">
        <v>0</v>
      </c>
      <c r="S746">
        <v>1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1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</row>
    <row r="747" spans="1:40" x14ac:dyDescent="0.3">
      <c r="A747" t="s">
        <v>275</v>
      </c>
      <c r="B747" s="3">
        <v>2016</v>
      </c>
      <c r="C747" s="3">
        <v>1042042.8125</v>
      </c>
      <c r="D747" s="3">
        <v>9274641</v>
      </c>
      <c r="E747" s="3">
        <v>65.873336791992202</v>
      </c>
      <c r="F747" s="3">
        <v>0.91646057367324796</v>
      </c>
      <c r="G747" s="3">
        <v>0.17252923548221599</v>
      </c>
      <c r="H747" s="3">
        <v>2.94856894761324E-2</v>
      </c>
      <c r="I747" s="3">
        <v>253.49199999999999</v>
      </c>
      <c r="J747" s="3">
        <v>1.89969217777252</v>
      </c>
      <c r="K747" s="3">
        <v>0.91569238901138295</v>
      </c>
      <c r="L747" s="3">
        <f t="shared" si="11"/>
        <v>2</v>
      </c>
      <c r="M747">
        <f>VLOOKUP(A747,Sheet2!$B$2:$E$186,2,FALSE)</f>
        <v>125</v>
      </c>
      <c r="N747" t="s">
        <v>387</v>
      </c>
      <c r="O747" t="s">
        <v>398</v>
      </c>
      <c r="P747">
        <v>0</v>
      </c>
      <c r="Q747">
        <v>0</v>
      </c>
      <c r="R747">
        <v>0</v>
      </c>
      <c r="S747">
        <v>1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1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</row>
    <row r="748" spans="1:40" x14ac:dyDescent="0.3">
      <c r="A748" t="s">
        <v>275</v>
      </c>
      <c r="B748" s="3">
        <v>2017</v>
      </c>
      <c r="C748" s="3">
        <v>1050441</v>
      </c>
      <c r="D748" s="3">
        <v>9399214</v>
      </c>
      <c r="E748" s="3">
        <v>70.083068847656307</v>
      </c>
      <c r="F748" s="3">
        <v>0.92537540197372403</v>
      </c>
      <c r="G748" s="3">
        <v>0.16655154526233701</v>
      </c>
      <c r="H748" s="3">
        <v>2.8854014351964E-2</v>
      </c>
      <c r="I748" s="3">
        <v>305.79010916000499</v>
      </c>
      <c r="J748" s="3">
        <v>1.9242250919342001</v>
      </c>
      <c r="K748" s="3">
        <v>0.88958126306533802</v>
      </c>
      <c r="L748" s="3">
        <f t="shared" si="11"/>
        <v>3</v>
      </c>
      <c r="M748">
        <f>VLOOKUP(A748,Sheet2!$B$2:$E$186,2,FALSE)</f>
        <v>125</v>
      </c>
      <c r="N748" t="s">
        <v>387</v>
      </c>
      <c r="O748" t="s">
        <v>398</v>
      </c>
      <c r="P748">
        <v>0</v>
      </c>
      <c r="Q748">
        <v>0</v>
      </c>
      <c r="R748">
        <v>0</v>
      </c>
      <c r="S748">
        <v>1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</row>
    <row r="749" spans="1:40" x14ac:dyDescent="0.3">
      <c r="A749" t="s">
        <v>275</v>
      </c>
      <c r="B749" s="3">
        <v>2018</v>
      </c>
      <c r="C749" s="3">
        <v>1070637.625</v>
      </c>
      <c r="D749" s="3">
        <v>9573503</v>
      </c>
      <c r="E749" s="3">
        <v>72.135391235351605</v>
      </c>
      <c r="F749" s="3">
        <v>0.94216340780258201</v>
      </c>
      <c r="G749" s="3">
        <v>0.12997663021087599</v>
      </c>
      <c r="H749" s="3">
        <v>2.8430564329028098E-2</v>
      </c>
      <c r="I749" s="3">
        <v>306.08368824523399</v>
      </c>
      <c r="J749" s="3">
        <v>1.94907462596893</v>
      </c>
      <c r="K749" s="3">
        <v>0.94137704372405995</v>
      </c>
      <c r="L749" s="3">
        <f t="shared" si="11"/>
        <v>4</v>
      </c>
      <c r="M749">
        <f>VLOOKUP(A749,Sheet2!$B$2:$E$186,2,FALSE)</f>
        <v>125</v>
      </c>
      <c r="N749" t="s">
        <v>387</v>
      </c>
      <c r="O749" t="s">
        <v>398</v>
      </c>
      <c r="P749">
        <v>0</v>
      </c>
      <c r="Q749">
        <v>0</v>
      </c>
      <c r="R749">
        <v>0</v>
      </c>
      <c r="S749">
        <v>1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1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</row>
    <row r="750" spans="1:40" x14ac:dyDescent="0.3">
      <c r="A750" t="s">
        <v>275</v>
      </c>
      <c r="B750" s="3">
        <v>2019</v>
      </c>
      <c r="C750" s="3">
        <v>1094282.75</v>
      </c>
      <c r="D750" s="3">
        <v>9781682</v>
      </c>
      <c r="E750" s="3">
        <v>73.839385986328097</v>
      </c>
      <c r="F750" s="3">
        <v>0.96664768457412698</v>
      </c>
      <c r="G750" s="3">
        <v>9.5894187688827501E-2</v>
      </c>
      <c r="H750" s="3">
        <v>2.8400545939803099E-2</v>
      </c>
      <c r="I750" s="3">
        <v>306.92095149522299</v>
      </c>
      <c r="J750" s="3">
        <v>1.9742451906204199</v>
      </c>
      <c r="K750" s="3">
        <v>0.93777072429657005</v>
      </c>
      <c r="L750" s="3">
        <f t="shared" si="11"/>
        <v>5</v>
      </c>
      <c r="M750">
        <f>VLOOKUP(A750,Sheet2!$B$2:$E$186,2,FALSE)</f>
        <v>125</v>
      </c>
      <c r="N750" t="s">
        <v>387</v>
      </c>
      <c r="O750" t="s">
        <v>398</v>
      </c>
      <c r="P750">
        <v>0</v>
      </c>
      <c r="Q750">
        <v>0</v>
      </c>
      <c r="R750">
        <v>0</v>
      </c>
      <c r="S750">
        <v>1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1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</row>
    <row r="751" spans="1:40" x14ac:dyDescent="0.3">
      <c r="A751" t="s">
        <v>275</v>
      </c>
      <c r="B751" s="3">
        <v>2020</v>
      </c>
      <c r="C751" s="3">
        <v>1074647.75</v>
      </c>
      <c r="D751" s="3">
        <v>9944910</v>
      </c>
      <c r="E751" s="3">
        <v>75.408897399902301</v>
      </c>
      <c r="F751" s="3">
        <v>0.98515009880065896</v>
      </c>
      <c r="G751" s="3">
        <v>6.9672018289565998E-2</v>
      </c>
      <c r="H751" s="3">
        <v>2.84532234072685E-2</v>
      </c>
      <c r="I751" s="3">
        <v>358.81079725829699</v>
      </c>
      <c r="J751" s="3">
        <v>1.9997408390045199</v>
      </c>
      <c r="K751" s="3">
        <v>0.94672763347625699</v>
      </c>
      <c r="L751" s="3">
        <f t="shared" si="11"/>
        <v>6</v>
      </c>
      <c r="M751">
        <f>VLOOKUP(A751,Sheet2!$B$2:$E$186,2,FALSE)</f>
        <v>125</v>
      </c>
      <c r="N751" t="s">
        <v>387</v>
      </c>
      <c r="O751" t="s">
        <v>398</v>
      </c>
      <c r="P751">
        <v>0</v>
      </c>
      <c r="Q751">
        <v>0</v>
      </c>
      <c r="R751">
        <v>0</v>
      </c>
      <c r="S751">
        <v>1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1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</row>
    <row r="752" spans="1:40" x14ac:dyDescent="0.3">
      <c r="A752" t="s">
        <v>277</v>
      </c>
      <c r="B752" s="3">
        <v>2015</v>
      </c>
      <c r="C752" s="3">
        <v>41820.84765625</v>
      </c>
      <c r="D752" s="3">
        <v>205239.640625</v>
      </c>
      <c r="E752" s="3">
        <v>2.5496082305908199</v>
      </c>
      <c r="F752" s="3">
        <v>0.85202229022979703</v>
      </c>
      <c r="G752" s="3">
        <v>8.7983228266239194E-2</v>
      </c>
      <c r="H752" s="3">
        <v>3.9612907916307498E-2</v>
      </c>
      <c r="I752" s="3">
        <v>27.256844940476199</v>
      </c>
      <c r="J752" s="3">
        <v>2.1972930431365998</v>
      </c>
      <c r="K752" s="3">
        <v>1.12838423252106</v>
      </c>
      <c r="L752" s="3">
        <f t="shared" si="11"/>
        <v>1</v>
      </c>
      <c r="M752">
        <f>VLOOKUP(A752,Sheet2!$B$2:$E$186,2,FALSE)</f>
        <v>126</v>
      </c>
      <c r="N752" t="s">
        <v>385</v>
      </c>
      <c r="O752" t="s">
        <v>401</v>
      </c>
      <c r="P752">
        <v>1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1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</row>
    <row r="753" spans="1:40" x14ac:dyDescent="0.3">
      <c r="A753" t="s">
        <v>277</v>
      </c>
      <c r="B753" s="3">
        <v>2016</v>
      </c>
      <c r="C753" s="3">
        <v>43729.19921875</v>
      </c>
      <c r="D753" s="3">
        <v>214545.84375</v>
      </c>
      <c r="E753" s="3">
        <v>2.6276400089263898</v>
      </c>
      <c r="F753" s="3">
        <v>0.89788717031478904</v>
      </c>
      <c r="G753" s="3">
        <v>9.4491861760616302E-2</v>
      </c>
      <c r="H753" s="3">
        <v>4.0419746190309497E-2</v>
      </c>
      <c r="I753" s="3">
        <v>28.6209624101587</v>
      </c>
      <c r="J753" s="3">
        <v>2.2192263603210498</v>
      </c>
      <c r="K753" s="3">
        <v>1.1264739036560101</v>
      </c>
      <c r="L753" s="3">
        <f t="shared" si="11"/>
        <v>2</v>
      </c>
      <c r="M753">
        <f>VLOOKUP(A753,Sheet2!$B$2:$E$186,2,FALSE)</f>
        <v>126</v>
      </c>
      <c r="N753" t="s">
        <v>385</v>
      </c>
      <c r="O753" t="s">
        <v>401</v>
      </c>
      <c r="P753">
        <v>1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1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</row>
    <row r="754" spans="1:40" x14ac:dyDescent="0.3">
      <c r="A754" t="s">
        <v>277</v>
      </c>
      <c r="B754" s="3">
        <v>2017</v>
      </c>
      <c r="C754" s="3">
        <v>45754.38671875</v>
      </c>
      <c r="D754" s="3">
        <v>223738.265625</v>
      </c>
      <c r="E754" s="3">
        <v>2.7013583183288601</v>
      </c>
      <c r="F754" s="3">
        <v>0.942324638366699</v>
      </c>
      <c r="G754" s="3">
        <v>9.8186552524566706E-2</v>
      </c>
      <c r="H754" s="3">
        <v>4.1032277047634097E-2</v>
      </c>
      <c r="I754" s="3">
        <v>30.0509413442878</v>
      </c>
      <c r="J754" s="3">
        <v>2.2413785457611102</v>
      </c>
      <c r="K754" s="3">
        <v>1.10491871833801</v>
      </c>
      <c r="L754" s="3">
        <f t="shared" si="11"/>
        <v>3</v>
      </c>
      <c r="M754">
        <f>VLOOKUP(A754,Sheet2!$B$2:$E$186,2,FALSE)</f>
        <v>126</v>
      </c>
      <c r="N754" t="s">
        <v>385</v>
      </c>
      <c r="O754" t="s">
        <v>401</v>
      </c>
      <c r="P754">
        <v>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1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</row>
    <row r="755" spans="1:40" x14ac:dyDescent="0.3">
      <c r="A755" t="s">
        <v>277</v>
      </c>
      <c r="B755" s="3">
        <v>2018</v>
      </c>
      <c r="C755" s="3">
        <v>44215.5</v>
      </c>
      <c r="D755" s="3">
        <v>228603.671875</v>
      </c>
      <c r="E755" s="3">
        <v>2.6909346580505402</v>
      </c>
      <c r="F755" s="3">
        <v>0.96169155836105402</v>
      </c>
      <c r="G755" s="3">
        <v>8.7774865329265594E-2</v>
      </c>
      <c r="H755" s="3">
        <v>4.1205510497093201E-2</v>
      </c>
      <c r="I755" s="3">
        <v>31.5532123338754</v>
      </c>
      <c r="J755" s="3">
        <v>2.2637519836425799</v>
      </c>
      <c r="K755" s="3">
        <v>0.98263639211654696</v>
      </c>
      <c r="L755" s="3">
        <f t="shared" si="11"/>
        <v>4</v>
      </c>
      <c r="M755">
        <f>VLOOKUP(A755,Sheet2!$B$2:$E$186,2,FALSE)</f>
        <v>126</v>
      </c>
      <c r="N755" t="s">
        <v>385</v>
      </c>
      <c r="O755" t="s">
        <v>401</v>
      </c>
      <c r="P755">
        <v>1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1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</row>
    <row r="756" spans="1:40" x14ac:dyDescent="0.3">
      <c r="A756" t="s">
        <v>277</v>
      </c>
      <c r="B756" s="3">
        <v>2019</v>
      </c>
      <c r="C756" s="3">
        <v>42934.63671875</v>
      </c>
      <c r="D756" s="3">
        <v>229469.15625</v>
      </c>
      <c r="E756" s="3">
        <v>2.72424364089966</v>
      </c>
      <c r="F756" s="3">
        <v>0.96286743879318204</v>
      </c>
      <c r="G756" s="3">
        <v>8.6592219769954695E-2</v>
      </c>
      <c r="H756" s="3">
        <v>4.0959376841783503E-2</v>
      </c>
      <c r="I756" s="3">
        <v>33.121745265283998</v>
      </c>
      <c r="J756" s="3">
        <v>2.28634881973267</v>
      </c>
      <c r="K756" s="3">
        <v>0.907001733779907</v>
      </c>
      <c r="L756" s="3">
        <f t="shared" si="11"/>
        <v>5</v>
      </c>
      <c r="M756">
        <f>VLOOKUP(A756,Sheet2!$B$2:$E$186,2,FALSE)</f>
        <v>126</v>
      </c>
      <c r="N756" t="s">
        <v>385</v>
      </c>
      <c r="O756" t="s">
        <v>401</v>
      </c>
      <c r="P756">
        <v>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1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</row>
    <row r="757" spans="1:40" x14ac:dyDescent="0.3">
      <c r="A757" t="s">
        <v>277</v>
      </c>
      <c r="B757" s="3">
        <v>2020</v>
      </c>
      <c r="C757" s="3">
        <v>42180.9140625</v>
      </c>
      <c r="D757" s="3">
        <v>231493.765625</v>
      </c>
      <c r="E757" s="3">
        <v>2.72410321235657</v>
      </c>
      <c r="F757" s="3">
        <v>0.970225870609283</v>
      </c>
      <c r="G757" s="3">
        <v>8.6505986750125899E-2</v>
      </c>
      <c r="H757" s="3">
        <v>4.0720134973526001E-2</v>
      </c>
      <c r="I757" s="3">
        <v>34.342122119702402</v>
      </c>
      <c r="J757" s="3">
        <v>2.3091709613800102</v>
      </c>
      <c r="K757" s="3">
        <v>0.92418801784515403</v>
      </c>
      <c r="L757" s="3">
        <f t="shared" si="11"/>
        <v>6</v>
      </c>
      <c r="M757">
        <f>VLOOKUP(A757,Sheet2!$B$2:$E$186,2,FALSE)</f>
        <v>126</v>
      </c>
      <c r="N757" t="s">
        <v>385</v>
      </c>
      <c r="O757" t="s">
        <v>401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1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</row>
    <row r="758" spans="1:40" x14ac:dyDescent="0.3">
      <c r="A758" t="s">
        <v>279</v>
      </c>
      <c r="B758" s="3">
        <v>2015</v>
      </c>
      <c r="C758" s="3">
        <v>1068009.125</v>
      </c>
      <c r="D758" s="3">
        <v>5018370.5</v>
      </c>
      <c r="E758" s="3">
        <v>8.8627414703369105</v>
      </c>
      <c r="F758" s="3">
        <v>0.89991194009780895</v>
      </c>
      <c r="G758" s="3">
        <v>7.71365687251091E-2</v>
      </c>
      <c r="H758" s="3">
        <v>4.1291072964668302E-2</v>
      </c>
      <c r="I758" s="3">
        <v>0.90129642336709603</v>
      </c>
      <c r="J758" s="3">
        <v>3.34031009674072</v>
      </c>
      <c r="K758" s="3">
        <v>1.02920794487</v>
      </c>
      <c r="L758" s="3">
        <f t="shared" si="11"/>
        <v>1</v>
      </c>
      <c r="M758">
        <f>VLOOKUP(A758,Sheet2!$B$2:$E$186,2,FALSE)</f>
        <v>127</v>
      </c>
      <c r="N758" t="s">
        <v>389</v>
      </c>
      <c r="O758" t="s">
        <v>396</v>
      </c>
      <c r="P758">
        <v>0</v>
      </c>
      <c r="Q758">
        <v>1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1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</row>
    <row r="759" spans="1:40" x14ac:dyDescent="0.3">
      <c r="A759" t="s">
        <v>279</v>
      </c>
      <c r="B759" s="3">
        <v>2016</v>
      </c>
      <c r="C759" s="3">
        <v>1093900.75</v>
      </c>
      <c r="D759" s="3">
        <v>5076939</v>
      </c>
      <c r="E759" s="3">
        <v>9.0003881454467791</v>
      </c>
      <c r="F759" s="3">
        <v>0.91287350654602095</v>
      </c>
      <c r="G759" s="3">
        <v>7.6760329306125599E-2</v>
      </c>
      <c r="H759" s="3">
        <v>4.2157366871833801E-2</v>
      </c>
      <c r="I759" s="3">
        <v>0.90342143625726301</v>
      </c>
      <c r="J759" s="3">
        <v>3.3543632030487101</v>
      </c>
      <c r="K759" s="3">
        <v>0.99596518278122004</v>
      </c>
      <c r="L759" s="3">
        <f t="shared" si="11"/>
        <v>2</v>
      </c>
      <c r="M759">
        <f>VLOOKUP(A759,Sheet2!$B$2:$E$186,2,FALSE)</f>
        <v>127</v>
      </c>
      <c r="N759" t="s">
        <v>389</v>
      </c>
      <c r="O759" t="s">
        <v>396</v>
      </c>
      <c r="P759">
        <v>0</v>
      </c>
      <c r="Q759">
        <v>1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1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</row>
    <row r="760" spans="1:40" x14ac:dyDescent="0.3">
      <c r="A760" t="s">
        <v>279</v>
      </c>
      <c r="B760" s="3">
        <v>2017</v>
      </c>
      <c r="C760" s="3">
        <v>1124328</v>
      </c>
      <c r="D760" s="3">
        <v>5149610</v>
      </c>
      <c r="E760" s="3">
        <v>9.2141094207763707</v>
      </c>
      <c r="F760" s="3">
        <v>0.92761915922164895</v>
      </c>
      <c r="G760" s="3">
        <v>8.0964982509612995E-2</v>
      </c>
      <c r="H760" s="3">
        <v>4.2324252426624298E-2</v>
      </c>
      <c r="I760" s="3">
        <v>0.88520550826937205</v>
      </c>
      <c r="J760" s="3">
        <v>3.3684754371643102</v>
      </c>
      <c r="K760" s="3">
        <v>1.00084829330444</v>
      </c>
      <c r="L760" s="3">
        <f t="shared" si="11"/>
        <v>3</v>
      </c>
      <c r="M760">
        <f>VLOOKUP(A760,Sheet2!$B$2:$E$186,2,FALSE)</f>
        <v>127</v>
      </c>
      <c r="N760" t="s">
        <v>389</v>
      </c>
      <c r="O760" t="s">
        <v>396</v>
      </c>
      <c r="P760">
        <v>0</v>
      </c>
      <c r="Q760">
        <v>1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1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</row>
    <row r="761" spans="1:40" x14ac:dyDescent="0.3">
      <c r="A761" t="s">
        <v>279</v>
      </c>
      <c r="B761" s="3">
        <v>2018</v>
      </c>
      <c r="C761" s="3">
        <v>1149723.75</v>
      </c>
      <c r="D761" s="3">
        <v>5229255</v>
      </c>
      <c r="E761" s="3">
        <v>9.4638233184814506</v>
      </c>
      <c r="F761" s="3">
        <v>0.94322240352630604</v>
      </c>
      <c r="G761" s="3">
        <v>8.0387502908706707E-2</v>
      </c>
      <c r="H761" s="3">
        <v>4.2436994612216998E-2</v>
      </c>
      <c r="I761" s="3">
        <v>0.84677266710811105</v>
      </c>
      <c r="J761" s="3">
        <v>3.38264727592468</v>
      </c>
      <c r="K761" s="3">
        <v>0.99987626075744596</v>
      </c>
      <c r="L761" s="3">
        <f t="shared" si="11"/>
        <v>4</v>
      </c>
      <c r="M761">
        <f>VLOOKUP(A761,Sheet2!$B$2:$E$186,2,FALSE)</f>
        <v>127</v>
      </c>
      <c r="N761" t="s">
        <v>389</v>
      </c>
      <c r="O761" t="s">
        <v>396</v>
      </c>
      <c r="P761">
        <v>0</v>
      </c>
      <c r="Q761">
        <v>1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1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</row>
    <row r="762" spans="1:40" x14ac:dyDescent="0.3">
      <c r="A762" t="s">
        <v>279</v>
      </c>
      <c r="B762" s="3">
        <v>2019</v>
      </c>
      <c r="C762" s="3">
        <v>1176168.5</v>
      </c>
      <c r="D762" s="3">
        <v>5327220.5</v>
      </c>
      <c r="E762" s="3">
        <v>9.6792469024658203</v>
      </c>
      <c r="F762" s="3">
        <v>0.96416717767715499</v>
      </c>
      <c r="G762" s="3">
        <v>8.0282062292098999E-2</v>
      </c>
      <c r="H762" s="3">
        <v>4.2664278298616402E-2</v>
      </c>
      <c r="I762" s="3">
        <v>0.89327625706740899</v>
      </c>
      <c r="J762" s="3">
        <v>3.3968784809112602</v>
      </c>
      <c r="K762" s="3">
        <v>1.0055514574050901</v>
      </c>
      <c r="L762" s="3">
        <f t="shared" si="11"/>
        <v>5</v>
      </c>
      <c r="M762">
        <f>VLOOKUP(A762,Sheet2!$B$2:$E$186,2,FALSE)</f>
        <v>127</v>
      </c>
      <c r="N762" t="s">
        <v>389</v>
      </c>
      <c r="O762" t="s">
        <v>396</v>
      </c>
      <c r="P762">
        <v>0</v>
      </c>
      <c r="Q762">
        <v>1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1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</row>
    <row r="763" spans="1:40" x14ac:dyDescent="0.3">
      <c r="A763" t="s">
        <v>279</v>
      </c>
      <c r="B763" s="3">
        <v>2020</v>
      </c>
      <c r="C763" s="3">
        <v>1130674.75</v>
      </c>
      <c r="D763" s="3">
        <v>5413105.5</v>
      </c>
      <c r="E763" s="3">
        <v>9.6303300857543999</v>
      </c>
      <c r="F763" s="3">
        <v>0.98057788610458396</v>
      </c>
      <c r="G763" s="3">
        <v>7.0121869444847107E-2</v>
      </c>
      <c r="H763" s="3">
        <v>4.2882833629846601E-2</v>
      </c>
      <c r="I763" s="3">
        <v>0.87550639698799804</v>
      </c>
      <c r="J763" s="3">
        <v>3.4111695289611799</v>
      </c>
      <c r="K763" s="3">
        <v>0.97988975048065197</v>
      </c>
      <c r="L763" s="3">
        <f t="shared" si="11"/>
        <v>6</v>
      </c>
      <c r="M763">
        <f>VLOOKUP(A763,Sheet2!$B$2:$E$186,2,FALSE)</f>
        <v>127</v>
      </c>
      <c r="N763" t="s">
        <v>389</v>
      </c>
      <c r="O763" t="s">
        <v>396</v>
      </c>
      <c r="P763">
        <v>0</v>
      </c>
      <c r="Q763">
        <v>1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</row>
    <row r="764" spans="1:40" x14ac:dyDescent="0.3">
      <c r="A764" t="s">
        <v>280</v>
      </c>
      <c r="B764" s="3">
        <v>2015</v>
      </c>
      <c r="C764" s="3">
        <v>487277.46875</v>
      </c>
      <c r="D764" s="3">
        <v>1858623.75</v>
      </c>
      <c r="E764" s="3">
        <v>2.70923852920532</v>
      </c>
      <c r="F764" s="3">
        <v>0.84580767154693604</v>
      </c>
      <c r="G764" s="3">
        <v>6.9999806582927704E-2</v>
      </c>
      <c r="H764" s="3">
        <v>4.2557183653116198E-2</v>
      </c>
      <c r="I764" s="3">
        <v>8.0641666666666705</v>
      </c>
      <c r="J764" s="3">
        <v>3.6235327720642099</v>
      </c>
      <c r="K764" s="3">
        <v>1.04244601726532</v>
      </c>
      <c r="L764" s="3">
        <f t="shared" si="11"/>
        <v>1</v>
      </c>
      <c r="M764">
        <f>VLOOKUP(A764,Sheet2!$B$2:$E$186,2,FALSE)</f>
        <v>128</v>
      </c>
      <c r="N764" t="s">
        <v>389</v>
      </c>
      <c r="O764" t="s">
        <v>406</v>
      </c>
      <c r="P764">
        <v>0</v>
      </c>
      <c r="Q764">
        <v>1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1</v>
      </c>
      <c r="AL764">
        <v>0</v>
      </c>
      <c r="AM764">
        <v>0</v>
      </c>
      <c r="AN764">
        <v>0</v>
      </c>
    </row>
    <row r="765" spans="1:40" x14ac:dyDescent="0.3">
      <c r="A765" t="s">
        <v>280</v>
      </c>
      <c r="B765" s="3">
        <v>2016</v>
      </c>
      <c r="C765" s="3">
        <v>492952.875</v>
      </c>
      <c r="D765" s="3">
        <v>1907371.25</v>
      </c>
      <c r="E765" s="3">
        <v>2.71634793281555</v>
      </c>
      <c r="F765" s="3">
        <v>0.86944878101348899</v>
      </c>
      <c r="G765" s="3">
        <v>6.2345698475837701E-2</v>
      </c>
      <c r="H765" s="3">
        <v>4.2430739849805797E-2</v>
      </c>
      <c r="I765" s="3">
        <v>8.4</v>
      </c>
      <c r="J765" s="3">
        <v>3.6333205699920699</v>
      </c>
      <c r="K765" s="3">
        <v>1.0428924560546899</v>
      </c>
      <c r="L765" s="3">
        <f t="shared" si="11"/>
        <v>2</v>
      </c>
      <c r="M765">
        <f>VLOOKUP(A765,Sheet2!$B$2:$E$186,2,FALSE)</f>
        <v>128</v>
      </c>
      <c r="N765" t="s">
        <v>389</v>
      </c>
      <c r="O765" t="s">
        <v>406</v>
      </c>
      <c r="P765">
        <v>0</v>
      </c>
      <c r="Q765">
        <v>1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1</v>
      </c>
      <c r="AL765">
        <v>0</v>
      </c>
      <c r="AM765">
        <v>0</v>
      </c>
      <c r="AN765">
        <v>0</v>
      </c>
    </row>
    <row r="766" spans="1:40" x14ac:dyDescent="0.3">
      <c r="A766" t="s">
        <v>280</v>
      </c>
      <c r="B766" s="3">
        <v>2017</v>
      </c>
      <c r="C766" s="3">
        <v>505098</v>
      </c>
      <c r="D766" s="3">
        <v>1957219.5</v>
      </c>
      <c r="E766" s="3">
        <v>2.7472460269928001</v>
      </c>
      <c r="F766" s="3">
        <v>0.89385366439819303</v>
      </c>
      <c r="G766" s="3">
        <v>7.0481292903423295E-2</v>
      </c>
      <c r="H766" s="3">
        <v>4.25362773239613E-2</v>
      </c>
      <c r="I766" s="3">
        <v>8.2716666666666701</v>
      </c>
      <c r="J766" s="3">
        <v>3.6431348323821999</v>
      </c>
      <c r="K766" s="3">
        <v>1.05236709117889</v>
      </c>
      <c r="L766" s="3">
        <f t="shared" si="11"/>
        <v>3</v>
      </c>
      <c r="M766">
        <f>VLOOKUP(A766,Sheet2!$B$2:$E$186,2,FALSE)</f>
        <v>128</v>
      </c>
      <c r="N766" t="s">
        <v>389</v>
      </c>
      <c r="O766" t="s">
        <v>406</v>
      </c>
      <c r="P766">
        <v>0</v>
      </c>
      <c r="Q766">
        <v>1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1</v>
      </c>
      <c r="AL766">
        <v>0</v>
      </c>
      <c r="AM766">
        <v>0</v>
      </c>
      <c r="AN766">
        <v>0</v>
      </c>
    </row>
    <row r="767" spans="1:40" x14ac:dyDescent="0.3">
      <c r="A767" t="s">
        <v>280</v>
      </c>
      <c r="B767" s="3">
        <v>2018</v>
      </c>
      <c r="C767" s="3">
        <v>509284.78125</v>
      </c>
      <c r="D767" s="3">
        <v>2007468.75</v>
      </c>
      <c r="E767" s="3">
        <v>2.7912075519561799</v>
      </c>
      <c r="F767" s="3">
        <v>0.91867327690124501</v>
      </c>
      <c r="G767" s="3">
        <v>7.6660327613353701E-2</v>
      </c>
      <c r="H767" s="3">
        <v>4.2722251266241101E-2</v>
      </c>
      <c r="I767" s="3">
        <v>8.1325000000000003</v>
      </c>
      <c r="J767" s="3">
        <v>3.6529757976532</v>
      </c>
      <c r="K767" s="3">
        <v>1.04841661453247</v>
      </c>
      <c r="L767" s="3">
        <f t="shared" si="11"/>
        <v>4</v>
      </c>
      <c r="M767">
        <f>VLOOKUP(A767,Sheet2!$B$2:$E$186,2,FALSE)</f>
        <v>128</v>
      </c>
      <c r="N767" t="s">
        <v>389</v>
      </c>
      <c r="O767" t="s">
        <v>406</v>
      </c>
      <c r="P767">
        <v>0</v>
      </c>
      <c r="Q767">
        <v>1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1</v>
      </c>
      <c r="AL767">
        <v>0</v>
      </c>
      <c r="AM767">
        <v>0</v>
      </c>
      <c r="AN767">
        <v>0</v>
      </c>
    </row>
    <row r="768" spans="1:40" x14ac:dyDescent="0.3">
      <c r="A768" t="s">
        <v>280</v>
      </c>
      <c r="B768" s="3">
        <v>2019</v>
      </c>
      <c r="C768" s="3">
        <v>515008</v>
      </c>
      <c r="D768" s="3">
        <v>2067917.5</v>
      </c>
      <c r="E768" s="3">
        <v>2.8351833820343</v>
      </c>
      <c r="F768" s="3">
        <v>0.95034325122833296</v>
      </c>
      <c r="G768" s="3">
        <v>6.4085997641086606E-2</v>
      </c>
      <c r="H768" s="3">
        <v>4.3056242167949697E-2</v>
      </c>
      <c r="I768" s="3">
        <v>8.8000000000000007</v>
      </c>
      <c r="J768" s="3">
        <v>3.6628432273864702</v>
      </c>
      <c r="K768" s="3">
        <v>1.0440818071365401</v>
      </c>
      <c r="L768" s="3">
        <f t="shared" si="11"/>
        <v>5</v>
      </c>
      <c r="M768">
        <f>VLOOKUP(A768,Sheet2!$B$2:$E$186,2,FALSE)</f>
        <v>128</v>
      </c>
      <c r="N768" t="s">
        <v>389</v>
      </c>
      <c r="O768" t="s">
        <v>406</v>
      </c>
      <c r="P768">
        <v>0</v>
      </c>
      <c r="Q768">
        <v>1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1</v>
      </c>
      <c r="AL768">
        <v>0</v>
      </c>
      <c r="AM768">
        <v>0</v>
      </c>
      <c r="AN768">
        <v>0</v>
      </c>
    </row>
    <row r="769" spans="1:40" x14ac:dyDescent="0.3">
      <c r="A769" t="s">
        <v>280</v>
      </c>
      <c r="B769" s="3">
        <v>2020</v>
      </c>
      <c r="C769" s="3">
        <v>508425.28125</v>
      </c>
      <c r="D769" s="3">
        <v>2123379</v>
      </c>
      <c r="E769" s="3">
        <v>2.7914779186248802</v>
      </c>
      <c r="F769" s="3">
        <v>0.97853124141693104</v>
      </c>
      <c r="G769" s="3">
        <v>5.1666222512722002E-2</v>
      </c>
      <c r="H769" s="3">
        <v>4.3140396475791903E-2</v>
      </c>
      <c r="I769" s="3">
        <v>9.4158333333333299</v>
      </c>
      <c r="J769" s="3">
        <v>3.6727373600006099</v>
      </c>
      <c r="K769" s="3">
        <v>1.00092577934265</v>
      </c>
      <c r="L769" s="3">
        <f t="shared" si="11"/>
        <v>6</v>
      </c>
      <c r="M769">
        <f>VLOOKUP(A769,Sheet2!$B$2:$E$186,2,FALSE)</f>
        <v>128</v>
      </c>
      <c r="N769" t="s">
        <v>389</v>
      </c>
      <c r="O769" t="s">
        <v>406</v>
      </c>
      <c r="P769">
        <v>0</v>
      </c>
      <c r="Q769">
        <v>1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1</v>
      </c>
      <c r="AL769">
        <v>0</v>
      </c>
      <c r="AM769">
        <v>0</v>
      </c>
      <c r="AN769">
        <v>0</v>
      </c>
    </row>
    <row r="770" spans="1:40" x14ac:dyDescent="0.3">
      <c r="A770" t="s">
        <v>282</v>
      </c>
      <c r="B770" s="3">
        <v>2015</v>
      </c>
      <c r="C770" s="3">
        <v>110057.875</v>
      </c>
      <c r="D770" s="3">
        <v>302435.09375</v>
      </c>
      <c r="E770" s="3">
        <v>13.6013383865356</v>
      </c>
      <c r="F770" s="3"/>
      <c r="G770" s="3"/>
      <c r="H770" s="3">
        <v>4.0240172296762501E-2</v>
      </c>
      <c r="I770" s="3">
        <v>102.405134331356</v>
      </c>
      <c r="J770" s="3">
        <v>1.7180992364883401</v>
      </c>
      <c r="K770" s="3"/>
      <c r="L770" s="3">
        <f t="shared" si="11"/>
        <v>1</v>
      </c>
      <c r="M770">
        <f>VLOOKUP(A770,Sheet2!$B$2:$E$186,2,FALSE)</f>
        <v>129</v>
      </c>
      <c r="N770" t="s">
        <v>391</v>
      </c>
      <c r="O770" t="s">
        <v>399</v>
      </c>
      <c r="P770">
        <v>0</v>
      </c>
      <c r="Q770">
        <v>0</v>
      </c>
      <c r="R770">
        <v>1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</row>
    <row r="771" spans="1:40" x14ac:dyDescent="0.3">
      <c r="A771" t="s">
        <v>282</v>
      </c>
      <c r="B771" s="3">
        <v>2016</v>
      </c>
      <c r="C771" s="3">
        <v>110534.6015625</v>
      </c>
      <c r="D771" s="3">
        <v>324394.90625</v>
      </c>
      <c r="E771" s="3">
        <v>14.110201835632299</v>
      </c>
      <c r="F771" s="3"/>
      <c r="G771" s="3"/>
      <c r="H771" s="3">
        <v>4.0649697184562697E-2</v>
      </c>
      <c r="I771" s="3">
        <v>107.383815174654</v>
      </c>
      <c r="J771" s="3">
        <v>1.7438825368881199</v>
      </c>
      <c r="K771" s="3"/>
      <c r="L771" s="3">
        <f t="shared" ref="L771:L834" si="12">B771-2014</f>
        <v>2</v>
      </c>
      <c r="M771">
        <f>VLOOKUP(A771,Sheet2!$B$2:$E$186,2,FALSE)</f>
        <v>129</v>
      </c>
      <c r="N771" t="s">
        <v>391</v>
      </c>
      <c r="O771" t="s">
        <v>399</v>
      </c>
      <c r="P771">
        <v>0</v>
      </c>
      <c r="Q771">
        <v>0</v>
      </c>
      <c r="R771">
        <v>1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</row>
    <row r="772" spans="1:40" x14ac:dyDescent="0.3">
      <c r="A772" t="s">
        <v>282</v>
      </c>
      <c r="B772" s="3">
        <v>2017</v>
      </c>
      <c r="C772" s="3">
        <v>120457.59375</v>
      </c>
      <c r="D772" s="3">
        <v>353169</v>
      </c>
      <c r="E772" s="3">
        <v>14.689125061035201</v>
      </c>
      <c r="F772" s="3"/>
      <c r="G772" s="3"/>
      <c r="H772" s="3">
        <v>4.1156865656375899E-2</v>
      </c>
      <c r="I772" s="3">
        <v>104.511885242863</v>
      </c>
      <c r="J772" s="3">
        <v>1.77005279064178</v>
      </c>
      <c r="K772" s="3"/>
      <c r="L772" s="3">
        <f t="shared" si="12"/>
        <v>3</v>
      </c>
      <c r="M772">
        <f>VLOOKUP(A772,Sheet2!$B$2:$E$186,2,FALSE)</f>
        <v>129</v>
      </c>
      <c r="N772" t="s">
        <v>391</v>
      </c>
      <c r="O772" t="s">
        <v>399</v>
      </c>
      <c r="P772">
        <v>0</v>
      </c>
      <c r="Q772">
        <v>0</v>
      </c>
      <c r="R772">
        <v>1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</row>
    <row r="773" spans="1:40" x14ac:dyDescent="0.3">
      <c r="A773" t="s">
        <v>282</v>
      </c>
      <c r="B773" s="3">
        <v>2018</v>
      </c>
      <c r="C773" s="3">
        <v>129639.28125</v>
      </c>
      <c r="D773" s="3">
        <v>385666.6875</v>
      </c>
      <c r="E773" s="3">
        <v>15.1800336837769</v>
      </c>
      <c r="F773" s="3"/>
      <c r="G773" s="3"/>
      <c r="H773" s="3">
        <v>4.1799023747444201E-2</v>
      </c>
      <c r="I773" s="3">
        <v>108.930134109273</v>
      </c>
      <c r="J773" s="3">
        <v>1.7966157197952299</v>
      </c>
      <c r="K773" s="3"/>
      <c r="L773" s="3">
        <f t="shared" si="12"/>
        <v>4</v>
      </c>
      <c r="M773">
        <f>VLOOKUP(A773,Sheet2!$B$2:$E$186,2,FALSE)</f>
        <v>129</v>
      </c>
      <c r="N773" t="s">
        <v>391</v>
      </c>
      <c r="O773" t="s">
        <v>399</v>
      </c>
      <c r="P773">
        <v>0</v>
      </c>
      <c r="Q773">
        <v>0</v>
      </c>
      <c r="R773">
        <v>1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</row>
    <row r="774" spans="1:40" x14ac:dyDescent="0.3">
      <c r="A774" t="s">
        <v>282</v>
      </c>
      <c r="B774" s="3">
        <v>2019</v>
      </c>
      <c r="C774" s="3">
        <v>138269.484375</v>
      </c>
      <c r="D774" s="3">
        <v>421986.28125</v>
      </c>
      <c r="E774" s="3">
        <v>15.5485544204712</v>
      </c>
      <c r="F774" s="3"/>
      <c r="G774" s="3"/>
      <c r="H774" s="3">
        <v>4.2527042329311399E-2</v>
      </c>
      <c r="I774" s="3">
        <v>112.609482758621</v>
      </c>
      <c r="J774" s="3">
        <v>1.8235771656036399</v>
      </c>
      <c r="K774" s="3"/>
      <c r="L774" s="3">
        <f t="shared" si="12"/>
        <v>5</v>
      </c>
      <c r="M774">
        <f>VLOOKUP(A774,Sheet2!$B$2:$E$186,2,FALSE)</f>
        <v>129</v>
      </c>
      <c r="N774" t="s">
        <v>391</v>
      </c>
      <c r="O774" t="s">
        <v>399</v>
      </c>
      <c r="P774">
        <v>0</v>
      </c>
      <c r="Q774">
        <v>0</v>
      </c>
      <c r="R774">
        <v>1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</row>
    <row r="775" spans="1:40" x14ac:dyDescent="0.3">
      <c r="A775" t="s">
        <v>282</v>
      </c>
      <c r="B775" s="3">
        <v>2020</v>
      </c>
      <c r="C775" s="3">
        <v>134993.03125</v>
      </c>
      <c r="D775" s="3">
        <v>451975.0625</v>
      </c>
      <c r="E775" s="3">
        <v>15.3942880630493</v>
      </c>
      <c r="F775" s="3"/>
      <c r="G775" s="3"/>
      <c r="H775" s="3">
        <v>4.2727969586849199E-2</v>
      </c>
      <c r="I775" s="3">
        <v>118.34518727598601</v>
      </c>
      <c r="J775" s="3">
        <v>1.8509434461593599</v>
      </c>
      <c r="K775" s="3"/>
      <c r="L775" s="3">
        <f t="shared" si="12"/>
        <v>6</v>
      </c>
      <c r="M775">
        <f>VLOOKUP(A775,Sheet2!$B$2:$E$186,2,FALSE)</f>
        <v>129</v>
      </c>
      <c r="N775" t="s">
        <v>391</v>
      </c>
      <c r="O775" t="s">
        <v>399</v>
      </c>
      <c r="P775">
        <v>0</v>
      </c>
      <c r="Q775">
        <v>0</v>
      </c>
      <c r="R775">
        <v>1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</row>
    <row r="776" spans="1:40" x14ac:dyDescent="0.3">
      <c r="A776" t="s">
        <v>284</v>
      </c>
      <c r="B776" s="3">
        <v>2015</v>
      </c>
      <c r="C776" s="3">
        <v>193688.453125</v>
      </c>
      <c r="D776" s="3">
        <v>582916.6875</v>
      </c>
      <c r="E776" s="3">
        <v>2.3410985469818102</v>
      </c>
      <c r="F776" s="3">
        <v>0.80285686254501298</v>
      </c>
      <c r="G776" s="3">
        <v>9.6471562981605502E-2</v>
      </c>
      <c r="H776" s="3">
        <v>3.5634834319353097E-2</v>
      </c>
      <c r="I776" s="3">
        <v>1.433975</v>
      </c>
      <c r="J776" s="3">
        <v>3.31489086151123</v>
      </c>
      <c r="K776" s="3">
        <v>0.93323087692260698</v>
      </c>
      <c r="L776" s="3">
        <f t="shared" si="12"/>
        <v>1</v>
      </c>
      <c r="M776">
        <f>VLOOKUP(A776,Sheet2!$B$2:$E$186,2,FALSE)</f>
        <v>130</v>
      </c>
      <c r="N776" t="s">
        <v>394</v>
      </c>
      <c r="O776" t="s">
        <v>395</v>
      </c>
      <c r="P776">
        <v>0</v>
      </c>
      <c r="Q776">
        <v>0</v>
      </c>
      <c r="R776">
        <v>0</v>
      </c>
      <c r="S776">
        <v>0</v>
      </c>
      <c r="T776">
        <v>1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</row>
    <row r="777" spans="1:40" x14ac:dyDescent="0.3">
      <c r="A777" t="s">
        <v>284</v>
      </c>
      <c r="B777" s="3">
        <v>2016</v>
      </c>
      <c r="C777" s="3">
        <v>201116.546875</v>
      </c>
      <c r="D777" s="3">
        <v>600555.375</v>
      </c>
      <c r="E777" s="3">
        <v>2.4279670715332</v>
      </c>
      <c r="F777" s="3">
        <v>0.83052432537078902</v>
      </c>
      <c r="G777" s="3">
        <v>9.4035595655441298E-2</v>
      </c>
      <c r="H777" s="3">
        <v>3.6059077829122502E-2</v>
      </c>
      <c r="I777" s="3">
        <v>1.4365250000000001</v>
      </c>
      <c r="J777" s="3">
        <v>3.3376953601837198</v>
      </c>
      <c r="K777" s="3">
        <v>0.943667411804199</v>
      </c>
      <c r="L777" s="3">
        <f t="shared" si="12"/>
        <v>2</v>
      </c>
      <c r="M777">
        <f>VLOOKUP(A777,Sheet2!$B$2:$E$186,2,FALSE)</f>
        <v>130</v>
      </c>
      <c r="N777" t="s">
        <v>394</v>
      </c>
      <c r="O777" t="s">
        <v>395</v>
      </c>
      <c r="P777">
        <v>0</v>
      </c>
      <c r="Q777">
        <v>0</v>
      </c>
      <c r="R777">
        <v>0</v>
      </c>
      <c r="S777">
        <v>0</v>
      </c>
      <c r="T777">
        <v>1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1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</row>
    <row r="778" spans="1:40" x14ac:dyDescent="0.3">
      <c r="A778" t="s">
        <v>284</v>
      </c>
      <c r="B778" s="3">
        <v>2017</v>
      </c>
      <c r="C778" s="3">
        <v>209798.71875</v>
      </c>
      <c r="D778" s="3">
        <v>619907.75</v>
      </c>
      <c r="E778" s="3">
        <v>2.5453410148620601</v>
      </c>
      <c r="F778" s="3">
        <v>0.86222785711288497</v>
      </c>
      <c r="G778" s="3">
        <v>9.5361158251762404E-2</v>
      </c>
      <c r="H778" s="3">
        <v>3.6421865224838298E-2</v>
      </c>
      <c r="I778" s="3">
        <v>1.40740833333333</v>
      </c>
      <c r="J778" s="3">
        <v>3.36065697669983</v>
      </c>
      <c r="K778" s="3">
        <v>0.94960474967956499</v>
      </c>
      <c r="L778" s="3">
        <f t="shared" si="12"/>
        <v>3</v>
      </c>
      <c r="M778">
        <f>VLOOKUP(A778,Sheet2!$B$2:$E$186,2,FALSE)</f>
        <v>130</v>
      </c>
      <c r="N778" t="s">
        <v>394</v>
      </c>
      <c r="O778" t="s">
        <v>395</v>
      </c>
      <c r="P778">
        <v>0</v>
      </c>
      <c r="Q778">
        <v>0</v>
      </c>
      <c r="R778">
        <v>0</v>
      </c>
      <c r="S778">
        <v>0</v>
      </c>
      <c r="T778">
        <v>1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1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</row>
    <row r="779" spans="1:40" x14ac:dyDescent="0.3">
      <c r="A779" t="s">
        <v>284</v>
      </c>
      <c r="B779" s="3">
        <v>2018</v>
      </c>
      <c r="C779" s="3">
        <v>217913.03125</v>
      </c>
      <c r="D779" s="3">
        <v>640527.8125</v>
      </c>
      <c r="E779" s="3">
        <v>2.6050057411193799</v>
      </c>
      <c r="F779" s="3">
        <v>0.89707511663436901</v>
      </c>
      <c r="G779" s="3">
        <v>9.2867806553840596E-2</v>
      </c>
      <c r="H779" s="3">
        <v>3.69205065071583E-2</v>
      </c>
      <c r="I779" s="3">
        <v>1.44525833333333</v>
      </c>
      <c r="J779" s="3">
        <v>3.3837764263153098</v>
      </c>
      <c r="K779" s="3">
        <v>0.95659047365188599</v>
      </c>
      <c r="L779" s="3">
        <f t="shared" si="12"/>
        <v>4</v>
      </c>
      <c r="M779">
        <f>VLOOKUP(A779,Sheet2!$B$2:$E$186,2,FALSE)</f>
        <v>130</v>
      </c>
      <c r="N779" t="s">
        <v>394</v>
      </c>
      <c r="O779" t="s">
        <v>395</v>
      </c>
      <c r="P779">
        <v>0</v>
      </c>
      <c r="Q779">
        <v>0</v>
      </c>
      <c r="R779">
        <v>0</v>
      </c>
      <c r="S779">
        <v>0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1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</row>
    <row r="780" spans="1:40" x14ac:dyDescent="0.3">
      <c r="A780" t="s">
        <v>284</v>
      </c>
      <c r="B780" s="3">
        <v>2019</v>
      </c>
      <c r="C780" s="3">
        <v>223309.78125</v>
      </c>
      <c r="D780" s="3">
        <v>661301.5625</v>
      </c>
      <c r="E780" s="3">
        <v>2.6370751857757599</v>
      </c>
      <c r="F780" s="3">
        <v>0.93081218004226696</v>
      </c>
      <c r="G780" s="3">
        <v>9.2043101787567097E-2</v>
      </c>
      <c r="H780" s="3">
        <v>3.7402305752038997E-2</v>
      </c>
      <c r="I780" s="3">
        <v>1.5178750000000001</v>
      </c>
      <c r="J780" s="3">
        <v>3.40705513954163</v>
      </c>
      <c r="K780" s="3">
        <v>0.94925409555435203</v>
      </c>
      <c r="L780" s="3">
        <f t="shared" si="12"/>
        <v>5</v>
      </c>
      <c r="M780">
        <f>VLOOKUP(A780,Sheet2!$B$2:$E$186,2,FALSE)</f>
        <v>130</v>
      </c>
      <c r="N780" t="s">
        <v>394</v>
      </c>
      <c r="O780" t="s">
        <v>395</v>
      </c>
      <c r="P780">
        <v>0</v>
      </c>
      <c r="Q780">
        <v>0</v>
      </c>
      <c r="R780">
        <v>0</v>
      </c>
      <c r="S780">
        <v>0</v>
      </c>
      <c r="T780">
        <v>1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</row>
    <row r="781" spans="1:40" x14ac:dyDescent="0.3">
      <c r="A781" t="s">
        <v>284</v>
      </c>
      <c r="B781" s="3">
        <v>2020</v>
      </c>
      <c r="C781" s="3">
        <v>223460.484375</v>
      </c>
      <c r="D781" s="3">
        <v>680507.25</v>
      </c>
      <c r="E781" s="3">
        <v>2.6686599254608199</v>
      </c>
      <c r="F781" s="3">
        <v>0.95962762832641602</v>
      </c>
      <c r="G781" s="3">
        <v>8.9792050421238001E-2</v>
      </c>
      <c r="H781" s="3">
        <v>3.7662524729967103E-2</v>
      </c>
      <c r="I781" s="3">
        <v>1.54205833333333</v>
      </c>
      <c r="J781" s="3">
        <v>3.4304935932159402</v>
      </c>
      <c r="K781" s="3">
        <v>0.94609278440475497</v>
      </c>
      <c r="L781" s="3">
        <f t="shared" si="12"/>
        <v>6</v>
      </c>
      <c r="M781">
        <f>VLOOKUP(A781,Sheet2!$B$2:$E$186,2,FALSE)</f>
        <v>130</v>
      </c>
      <c r="N781" t="s">
        <v>394</v>
      </c>
      <c r="O781" t="s">
        <v>395</v>
      </c>
      <c r="P781">
        <v>0</v>
      </c>
      <c r="Q781">
        <v>0</v>
      </c>
      <c r="R781">
        <v>0</v>
      </c>
      <c r="S781">
        <v>0</v>
      </c>
      <c r="T781">
        <v>1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1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</row>
    <row r="782" spans="1:40" x14ac:dyDescent="0.3">
      <c r="A782" t="s">
        <v>286</v>
      </c>
      <c r="B782" s="3">
        <v>2015</v>
      </c>
      <c r="C782" s="3">
        <v>192342.5</v>
      </c>
      <c r="D782" s="3">
        <v>947612.6875</v>
      </c>
      <c r="E782" s="3">
        <v>2.8158996105194101</v>
      </c>
      <c r="F782" s="3">
        <v>0.74046868085861195</v>
      </c>
      <c r="G782" s="3">
        <v>9.5901161432266194E-2</v>
      </c>
      <c r="H782" s="3">
        <v>4.98768985271454E-2</v>
      </c>
      <c r="I782" s="3">
        <v>0.38450000000000001</v>
      </c>
      <c r="J782" s="3"/>
      <c r="K782" s="3"/>
      <c r="L782" s="3">
        <f t="shared" si="12"/>
        <v>1</v>
      </c>
      <c r="M782">
        <f>VLOOKUP(A782,Sheet2!$B$2:$E$186,2,FALSE)</f>
        <v>131</v>
      </c>
      <c r="N782" t="s">
        <v>391</v>
      </c>
      <c r="O782" t="s">
        <v>392</v>
      </c>
      <c r="P782">
        <v>0</v>
      </c>
      <c r="Q782">
        <v>0</v>
      </c>
      <c r="R782">
        <v>1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1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</row>
    <row r="783" spans="1:40" x14ac:dyDescent="0.3">
      <c r="A783" t="s">
        <v>286</v>
      </c>
      <c r="B783" s="3">
        <v>2016</v>
      </c>
      <c r="C783" s="3">
        <v>202048.484375</v>
      </c>
      <c r="D783" s="3">
        <v>1032052.5</v>
      </c>
      <c r="E783" s="3">
        <v>3.0828545093536399</v>
      </c>
      <c r="F783" s="3">
        <v>0.79864197969436701</v>
      </c>
      <c r="G783" s="3">
        <v>9.1927520930767101E-2</v>
      </c>
      <c r="H783" s="3">
        <v>4.7242887318134301E-2</v>
      </c>
      <c r="I783" s="3">
        <v>0.38450000000000001</v>
      </c>
      <c r="J783" s="3"/>
      <c r="K783" s="3"/>
      <c r="L783" s="3">
        <f t="shared" si="12"/>
        <v>2</v>
      </c>
      <c r="M783">
        <f>VLOOKUP(A783,Sheet2!$B$2:$E$186,2,FALSE)</f>
        <v>131</v>
      </c>
      <c r="N783" t="s">
        <v>391</v>
      </c>
      <c r="O783" t="s">
        <v>392</v>
      </c>
      <c r="P783">
        <v>0</v>
      </c>
      <c r="Q783">
        <v>0</v>
      </c>
      <c r="R783">
        <v>1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1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</row>
    <row r="784" spans="1:40" x14ac:dyDescent="0.3">
      <c r="A784" t="s">
        <v>286</v>
      </c>
      <c r="B784" s="3">
        <v>2017</v>
      </c>
      <c r="C784" s="3">
        <v>202662.9375</v>
      </c>
      <c r="D784" s="3">
        <v>1110327.375</v>
      </c>
      <c r="E784" s="3">
        <v>3.2626996040344198</v>
      </c>
      <c r="F784" s="3">
        <v>0.848408162593842</v>
      </c>
      <c r="G784" s="3">
        <v>0.107143476605415</v>
      </c>
      <c r="H784" s="3">
        <v>4.50593791902065E-2</v>
      </c>
      <c r="I784" s="3">
        <v>0.38450000000000001</v>
      </c>
      <c r="J784" s="3"/>
      <c r="K784" s="3"/>
      <c r="L784" s="3">
        <f t="shared" si="12"/>
        <v>3</v>
      </c>
      <c r="M784">
        <f>VLOOKUP(A784,Sheet2!$B$2:$E$186,2,FALSE)</f>
        <v>131</v>
      </c>
      <c r="N784" t="s">
        <v>391</v>
      </c>
      <c r="O784" t="s">
        <v>392</v>
      </c>
      <c r="P784">
        <v>0</v>
      </c>
      <c r="Q784">
        <v>0</v>
      </c>
      <c r="R784">
        <v>1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1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</row>
    <row r="785" spans="1:47" x14ac:dyDescent="0.3">
      <c r="A785" t="s">
        <v>286</v>
      </c>
      <c r="B785" s="3">
        <v>2018</v>
      </c>
      <c r="C785" s="3">
        <v>205271.71875</v>
      </c>
      <c r="D785" s="3">
        <v>1188483.75</v>
      </c>
      <c r="E785" s="3">
        <v>3.2730200290679901</v>
      </c>
      <c r="F785" s="3">
        <v>0.895857453346252</v>
      </c>
      <c r="G785" s="3">
        <v>0.118149563670158</v>
      </c>
      <c r="H785" s="3">
        <v>4.25253435969353E-2</v>
      </c>
      <c r="I785" s="3">
        <v>0.38450000000000001</v>
      </c>
      <c r="J785" s="3"/>
      <c r="K785" s="3"/>
      <c r="L785" s="3">
        <f t="shared" si="12"/>
        <v>4</v>
      </c>
      <c r="M785">
        <f>VLOOKUP(A785,Sheet2!$B$2:$E$186,2,FALSE)</f>
        <v>131</v>
      </c>
      <c r="N785" t="s">
        <v>391</v>
      </c>
      <c r="O785" t="s">
        <v>392</v>
      </c>
      <c r="P785">
        <v>0</v>
      </c>
      <c r="Q785">
        <v>0</v>
      </c>
      <c r="R785">
        <v>1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1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</row>
    <row r="786" spans="1:47" x14ac:dyDescent="0.3">
      <c r="A786" t="s">
        <v>286</v>
      </c>
      <c r="B786" s="3">
        <v>2019</v>
      </c>
      <c r="C786" s="3">
        <v>202954.640625</v>
      </c>
      <c r="D786" s="3">
        <v>1253726.75</v>
      </c>
      <c r="E786" s="3">
        <v>3.11229372024536</v>
      </c>
      <c r="F786" s="3">
        <v>0.93234550952911399</v>
      </c>
      <c r="G786" s="3">
        <v>0.107592105865479</v>
      </c>
      <c r="H786" s="3">
        <v>3.9983555674552897E-2</v>
      </c>
      <c r="I786" s="3">
        <v>0.38450000000000001</v>
      </c>
      <c r="J786" s="3"/>
      <c r="K786" s="3"/>
      <c r="L786" s="3">
        <f t="shared" si="12"/>
        <v>5</v>
      </c>
      <c r="M786">
        <f>VLOOKUP(A786,Sheet2!$B$2:$E$186,2,FALSE)</f>
        <v>131</v>
      </c>
      <c r="N786" t="s">
        <v>391</v>
      </c>
      <c r="O786" t="s">
        <v>392</v>
      </c>
      <c r="P786">
        <v>0</v>
      </c>
      <c r="Q786">
        <v>0</v>
      </c>
      <c r="R786">
        <v>1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1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</row>
    <row r="787" spans="1:47" x14ac:dyDescent="0.3">
      <c r="A787" t="s">
        <v>286</v>
      </c>
      <c r="B787" s="3">
        <v>2020</v>
      </c>
      <c r="C787" s="3">
        <v>196095.359375</v>
      </c>
      <c r="D787" s="3">
        <v>1321358</v>
      </c>
      <c r="E787" s="3">
        <v>2.7002978324890101</v>
      </c>
      <c r="F787" s="3">
        <v>0.97233736515045199</v>
      </c>
      <c r="G787" s="3">
        <v>9.5774397253990201E-2</v>
      </c>
      <c r="H787" s="3">
        <v>3.7924803793430301E-2</v>
      </c>
      <c r="I787" s="3">
        <v>0.38450000000000001</v>
      </c>
      <c r="J787" s="3"/>
      <c r="K787" s="3"/>
      <c r="L787" s="3">
        <f t="shared" si="12"/>
        <v>6</v>
      </c>
      <c r="M787">
        <f>VLOOKUP(A787,Sheet2!$B$2:$E$186,2,FALSE)</f>
        <v>131</v>
      </c>
      <c r="N787" t="s">
        <v>391</v>
      </c>
      <c r="O787" t="s">
        <v>392</v>
      </c>
      <c r="P787">
        <v>0</v>
      </c>
      <c r="Q787">
        <v>0</v>
      </c>
      <c r="R787">
        <v>1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1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</row>
    <row r="788" spans="1:47" s="2" customFormat="1" x14ac:dyDescent="0.3">
      <c r="A788" t="s">
        <v>288</v>
      </c>
      <c r="B788" s="3">
        <v>2015</v>
      </c>
      <c r="C788" s="3">
        <v>1035536.125</v>
      </c>
      <c r="D788" s="3">
        <v>1673811.5</v>
      </c>
      <c r="E788" s="3">
        <v>57.419998168945298</v>
      </c>
      <c r="F788" s="3"/>
      <c r="G788" s="3"/>
      <c r="H788" s="3">
        <v>7.4057176709175096E-2</v>
      </c>
      <c r="I788" s="3">
        <v>102.769271604675</v>
      </c>
      <c r="J788" s="3">
        <v>1.8772565126419101</v>
      </c>
      <c r="K788" s="3"/>
      <c r="L788" s="3">
        <f t="shared" si="12"/>
        <v>1</v>
      </c>
      <c r="M788">
        <f>VLOOKUP(A788,Sheet2!$B$2:$E$186,2,FALSE)</f>
        <v>132</v>
      </c>
      <c r="N788" t="s">
        <v>391</v>
      </c>
      <c r="O788" t="s">
        <v>399</v>
      </c>
      <c r="P788">
        <v>0</v>
      </c>
      <c r="Q788">
        <v>0</v>
      </c>
      <c r="R788">
        <v>1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/>
      <c r="AP788"/>
      <c r="AQ788"/>
      <c r="AR788"/>
      <c r="AS788"/>
      <c r="AT788"/>
      <c r="AU788"/>
    </row>
    <row r="789" spans="1:47" s="2" customFormat="1" x14ac:dyDescent="0.3">
      <c r="A789" t="s">
        <v>288</v>
      </c>
      <c r="B789" s="3">
        <v>2016</v>
      </c>
      <c r="C789" s="3">
        <v>1103610.5</v>
      </c>
      <c r="D789" s="3">
        <v>1744765.125</v>
      </c>
      <c r="E789" s="3">
        <v>59.143100738525398</v>
      </c>
      <c r="F789" s="3"/>
      <c r="G789" s="3"/>
      <c r="H789" s="3">
        <v>7.5099371373653398E-2</v>
      </c>
      <c r="I789" s="3">
        <v>104.769117033301</v>
      </c>
      <c r="J789" s="3">
        <v>1.8748370409011801</v>
      </c>
      <c r="K789" s="3"/>
      <c r="L789" s="3">
        <f t="shared" si="12"/>
        <v>2</v>
      </c>
      <c r="M789">
        <f>VLOOKUP(A789,Sheet2!$B$2:$E$186,2,FALSE)</f>
        <v>132</v>
      </c>
      <c r="N789" t="s">
        <v>391</v>
      </c>
      <c r="O789" t="s">
        <v>399</v>
      </c>
      <c r="P789">
        <v>0</v>
      </c>
      <c r="Q789">
        <v>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/>
      <c r="AP789"/>
      <c r="AQ789"/>
      <c r="AR789"/>
      <c r="AS789"/>
      <c r="AT789"/>
      <c r="AU789"/>
    </row>
    <row r="790" spans="1:47" s="2" customFormat="1" x14ac:dyDescent="0.3">
      <c r="A790" t="s">
        <v>288</v>
      </c>
      <c r="B790" s="3">
        <v>2017</v>
      </c>
      <c r="C790" s="3">
        <v>1152529.375</v>
      </c>
      <c r="D790" s="3">
        <v>1823584.75</v>
      </c>
      <c r="E790" s="3">
        <v>60.287220001220703</v>
      </c>
      <c r="F790" s="3"/>
      <c r="G790" s="3"/>
      <c r="H790" s="3">
        <v>7.6219700276851696E-2</v>
      </c>
      <c r="I790" s="3">
        <v>105.45516208793801</v>
      </c>
      <c r="J790" s="3">
        <v>1.87242066860199</v>
      </c>
      <c r="K790" s="3"/>
      <c r="L790" s="3">
        <f t="shared" si="12"/>
        <v>3</v>
      </c>
      <c r="M790">
        <f>VLOOKUP(A790,Sheet2!$B$2:$E$186,2,FALSE)</f>
        <v>132</v>
      </c>
      <c r="N790" t="s">
        <v>391</v>
      </c>
      <c r="O790" t="s">
        <v>399</v>
      </c>
      <c r="P790">
        <v>0</v>
      </c>
      <c r="Q790">
        <v>0</v>
      </c>
      <c r="R790">
        <v>1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/>
      <c r="AP790"/>
      <c r="AQ790"/>
      <c r="AR790"/>
      <c r="AS790"/>
      <c r="AT790"/>
      <c r="AU790"/>
    </row>
    <row r="791" spans="1:47" s="2" customFormat="1" x14ac:dyDescent="0.3">
      <c r="A791" t="s">
        <v>288</v>
      </c>
      <c r="B791" s="3">
        <v>2018</v>
      </c>
      <c r="C791" s="3">
        <v>1223429.625</v>
      </c>
      <c r="D791" s="3">
        <v>1916122.625</v>
      </c>
      <c r="E791" s="3">
        <v>61.7038383483887</v>
      </c>
      <c r="F791" s="3"/>
      <c r="G791" s="3"/>
      <c r="H791" s="3">
        <v>7.7284336090087905E-2</v>
      </c>
      <c r="I791" s="3">
        <v>121.824068875756</v>
      </c>
      <c r="J791" s="3">
        <v>1.8101493120193499</v>
      </c>
      <c r="K791" s="3"/>
      <c r="L791" s="3">
        <f t="shared" si="12"/>
        <v>4</v>
      </c>
      <c r="M791">
        <f>VLOOKUP(A791,Sheet2!$B$2:$E$186,2,FALSE)</f>
        <v>132</v>
      </c>
      <c r="N791" t="s">
        <v>391</v>
      </c>
      <c r="O791" t="s">
        <v>399</v>
      </c>
      <c r="P791">
        <v>0</v>
      </c>
      <c r="Q791">
        <v>0</v>
      </c>
      <c r="R791">
        <v>1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/>
      <c r="AP791"/>
      <c r="AQ791"/>
      <c r="AR791"/>
      <c r="AS791"/>
      <c r="AT791"/>
      <c r="AU791"/>
    </row>
    <row r="792" spans="1:47" s="2" customFormat="1" x14ac:dyDescent="0.3">
      <c r="A792" t="s">
        <v>288</v>
      </c>
      <c r="B792" s="3">
        <v>2019</v>
      </c>
      <c r="C792" s="3">
        <v>1253986.5</v>
      </c>
      <c r="D792" s="3">
        <v>1974503.5</v>
      </c>
      <c r="E792" s="3">
        <v>60.920089721679702</v>
      </c>
      <c r="F792" s="3"/>
      <c r="G792" s="3"/>
      <c r="H792" s="3">
        <v>7.8015752136707306E-2</v>
      </c>
      <c r="I792" s="3">
        <v>150.036253839864</v>
      </c>
      <c r="J792" s="3">
        <v>1.77026915550232</v>
      </c>
      <c r="K792" s="3"/>
      <c r="L792" s="3">
        <f t="shared" si="12"/>
        <v>5</v>
      </c>
      <c r="M792">
        <f>VLOOKUP(A792,Sheet2!$B$2:$E$186,2,FALSE)</f>
        <v>132</v>
      </c>
      <c r="N792" t="s">
        <v>391</v>
      </c>
      <c r="O792" t="s">
        <v>399</v>
      </c>
      <c r="P792">
        <v>0</v>
      </c>
      <c r="Q792">
        <v>0</v>
      </c>
      <c r="R792">
        <v>1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/>
      <c r="AP792"/>
      <c r="AQ792"/>
      <c r="AR792"/>
      <c r="AS792"/>
      <c r="AT792"/>
      <c r="AU792"/>
    </row>
    <row r="793" spans="1:47" s="2" customFormat="1" x14ac:dyDescent="0.3">
      <c r="A793" t="s">
        <v>288</v>
      </c>
      <c r="B793" s="3">
        <v>2020</v>
      </c>
      <c r="C793" s="3">
        <v>1238009.625</v>
      </c>
      <c r="D793" s="3">
        <v>2013982.875</v>
      </c>
      <c r="E793" s="3">
        <v>62.230819702148402</v>
      </c>
      <c r="F793" s="3"/>
      <c r="G793" s="3"/>
      <c r="H793" s="3">
        <v>7.8298240900039701E-2</v>
      </c>
      <c r="I793" s="3">
        <v>161.83847968471801</v>
      </c>
      <c r="J793" s="3">
        <v>1.76825952529907</v>
      </c>
      <c r="K793" s="3"/>
      <c r="L793" s="3">
        <f t="shared" si="12"/>
        <v>6</v>
      </c>
      <c r="M793">
        <f>VLOOKUP(A793,Sheet2!$B$2:$E$186,2,FALSE)</f>
        <v>132</v>
      </c>
      <c r="N793" t="s">
        <v>391</v>
      </c>
      <c r="O793" t="s">
        <v>399</v>
      </c>
      <c r="P793">
        <v>0</v>
      </c>
      <c r="Q793">
        <v>0</v>
      </c>
      <c r="R793">
        <v>1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/>
      <c r="AP793"/>
      <c r="AQ793"/>
      <c r="AR793"/>
      <c r="AS793"/>
      <c r="AT793"/>
      <c r="AU793"/>
    </row>
    <row r="794" spans="1:47" x14ac:dyDescent="0.3">
      <c r="A794" t="s">
        <v>290</v>
      </c>
      <c r="B794" s="3">
        <v>2015</v>
      </c>
      <c r="C794" s="3">
        <v>119230.96875</v>
      </c>
      <c r="D794" s="3">
        <v>481424.09375</v>
      </c>
      <c r="E794" s="3">
        <v>1.7335289716720601</v>
      </c>
      <c r="F794" s="3">
        <v>0.64297729730606101</v>
      </c>
      <c r="G794" s="3">
        <v>0.232165232300758</v>
      </c>
      <c r="H794" s="3">
        <v>3.9257135242223698E-2</v>
      </c>
      <c r="I794" s="3">
        <v>1</v>
      </c>
      <c r="J794" s="3">
        <v>2.8264751434326199</v>
      </c>
      <c r="K794" s="3">
        <v>1.2889983654022199</v>
      </c>
      <c r="L794" s="3">
        <f t="shared" si="12"/>
        <v>1</v>
      </c>
      <c r="M794">
        <f>VLOOKUP(A794,Sheet2!$B$2:$E$186,2,FALSE)</f>
        <v>133</v>
      </c>
      <c r="N794" t="s">
        <v>385</v>
      </c>
      <c r="O794" t="s">
        <v>401</v>
      </c>
      <c r="P794">
        <v>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1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</row>
    <row r="795" spans="1:47" x14ac:dyDescent="0.3">
      <c r="A795" t="s">
        <v>290</v>
      </c>
      <c r="B795" s="3">
        <v>2016</v>
      </c>
      <c r="C795" s="3">
        <v>125544.6171875</v>
      </c>
      <c r="D795" s="3">
        <v>538378.375</v>
      </c>
      <c r="E795" s="3">
        <v>1.77078402042389</v>
      </c>
      <c r="F795" s="3">
        <v>0.71729707717895497</v>
      </c>
      <c r="G795" s="3">
        <v>0.21552397310733801</v>
      </c>
      <c r="H795" s="3">
        <v>3.7782736122608199E-2</v>
      </c>
      <c r="I795" s="3">
        <v>1</v>
      </c>
      <c r="J795" s="3">
        <v>2.8417930603027299</v>
      </c>
      <c r="K795" s="3">
        <v>1.23822057247162</v>
      </c>
      <c r="L795" s="3">
        <f t="shared" si="12"/>
        <v>2</v>
      </c>
      <c r="M795">
        <f>VLOOKUP(A795,Sheet2!$B$2:$E$186,2,FALSE)</f>
        <v>133</v>
      </c>
      <c r="N795" t="s">
        <v>385</v>
      </c>
      <c r="O795" t="s">
        <v>401</v>
      </c>
      <c r="P795">
        <v>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1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</row>
    <row r="796" spans="1:47" x14ac:dyDescent="0.3">
      <c r="A796" t="s">
        <v>290</v>
      </c>
      <c r="B796" s="3">
        <v>2017</v>
      </c>
      <c r="C796" s="3">
        <v>132995.984375</v>
      </c>
      <c r="D796" s="3">
        <v>599424.875</v>
      </c>
      <c r="E796" s="3">
        <v>1.78575003147125</v>
      </c>
      <c r="F796" s="3">
        <v>0.80019253492355402</v>
      </c>
      <c r="G796" s="3">
        <v>0.199480950832367</v>
      </c>
      <c r="H796" s="3">
        <v>3.7549395114183398E-2</v>
      </c>
      <c r="I796" s="3">
        <v>1</v>
      </c>
      <c r="J796" s="3">
        <v>2.8571937084197998</v>
      </c>
      <c r="K796" s="3">
        <v>1.20694732666016</v>
      </c>
      <c r="L796" s="3">
        <f t="shared" si="12"/>
        <v>3</v>
      </c>
      <c r="M796">
        <f>VLOOKUP(A796,Sheet2!$B$2:$E$186,2,FALSE)</f>
        <v>133</v>
      </c>
      <c r="N796" t="s">
        <v>385</v>
      </c>
      <c r="O796" t="s">
        <v>401</v>
      </c>
      <c r="P796">
        <v>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1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</row>
    <row r="797" spans="1:47" x14ac:dyDescent="0.3">
      <c r="A797" t="s">
        <v>290</v>
      </c>
      <c r="B797" s="3">
        <v>2018</v>
      </c>
      <c r="C797" s="3">
        <v>138346.671875</v>
      </c>
      <c r="D797" s="3">
        <v>659140</v>
      </c>
      <c r="E797" s="3">
        <v>1.8674830198287999</v>
      </c>
      <c r="F797" s="3">
        <v>0.87962603569030795</v>
      </c>
      <c r="G797" s="3">
        <v>0.18252736330032401</v>
      </c>
      <c r="H797" s="3">
        <v>3.7557285279035603E-2</v>
      </c>
      <c r="I797" s="3">
        <v>1</v>
      </c>
      <c r="J797" s="3">
        <v>2.8726780414581299</v>
      </c>
      <c r="K797" s="3">
        <v>1.1505426168441799</v>
      </c>
      <c r="L797" s="3">
        <f t="shared" si="12"/>
        <v>4</v>
      </c>
      <c r="M797">
        <f>VLOOKUP(A797,Sheet2!$B$2:$E$186,2,FALSE)</f>
        <v>133</v>
      </c>
      <c r="N797" t="s">
        <v>385</v>
      </c>
      <c r="O797" t="s">
        <v>401</v>
      </c>
      <c r="P797">
        <v>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1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</row>
    <row r="798" spans="1:47" x14ac:dyDescent="0.3">
      <c r="A798" t="s">
        <v>290</v>
      </c>
      <c r="B798" s="3">
        <v>2019</v>
      </c>
      <c r="C798" s="3">
        <v>142887.015625</v>
      </c>
      <c r="D798" s="3">
        <v>715883.375</v>
      </c>
      <c r="E798" s="3">
        <v>1.91987705230713</v>
      </c>
      <c r="F798" s="3">
        <v>0.95336431264877297</v>
      </c>
      <c r="G798" s="3">
        <v>0.169302597641945</v>
      </c>
      <c r="H798" s="3">
        <v>3.7181790918111801E-2</v>
      </c>
      <c r="I798" s="3">
        <v>1</v>
      </c>
      <c r="J798" s="3">
        <v>2.8882462978363002</v>
      </c>
      <c r="K798" s="3">
        <v>1.09976041316986</v>
      </c>
      <c r="L798" s="3">
        <f t="shared" si="12"/>
        <v>5</v>
      </c>
      <c r="M798">
        <f>VLOOKUP(A798,Sheet2!$B$2:$E$186,2,FALSE)</f>
        <v>133</v>
      </c>
      <c r="N798" t="s">
        <v>385</v>
      </c>
      <c r="O798" t="s">
        <v>401</v>
      </c>
      <c r="P798">
        <v>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1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</row>
    <row r="799" spans="1:47" x14ac:dyDescent="0.3">
      <c r="A799" t="s">
        <v>290</v>
      </c>
      <c r="B799" s="3">
        <v>2020</v>
      </c>
      <c r="C799" s="3">
        <v>117641.203125</v>
      </c>
      <c r="D799" s="3">
        <v>732217.9375</v>
      </c>
      <c r="E799" s="3">
        <v>1.63169097900391</v>
      </c>
      <c r="F799" s="3">
        <v>0.967041075229645</v>
      </c>
      <c r="G799" s="3">
        <v>0.13348895311355599</v>
      </c>
      <c r="H799" s="3">
        <v>3.6161277443170603E-2</v>
      </c>
      <c r="I799" s="3">
        <v>1</v>
      </c>
      <c r="J799" s="3">
        <v>2.9038989543914799</v>
      </c>
      <c r="K799" s="3">
        <v>0.89927589893341098</v>
      </c>
      <c r="L799" s="3">
        <f t="shared" si="12"/>
        <v>6</v>
      </c>
      <c r="M799">
        <f>VLOOKUP(A799,Sheet2!$B$2:$E$186,2,FALSE)</f>
        <v>133</v>
      </c>
      <c r="N799" t="s">
        <v>385</v>
      </c>
      <c r="O799" t="s">
        <v>401</v>
      </c>
      <c r="P799">
        <v>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1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</row>
    <row r="800" spans="1:47" x14ac:dyDescent="0.3">
      <c r="A800" t="s">
        <v>292</v>
      </c>
      <c r="B800" s="3">
        <v>2015</v>
      </c>
      <c r="C800" s="3">
        <v>418174.96875</v>
      </c>
      <c r="D800" s="3">
        <v>1677864.5</v>
      </c>
      <c r="E800" s="3">
        <v>15.8877515792847</v>
      </c>
      <c r="F800" s="3">
        <v>0.78983873128891002</v>
      </c>
      <c r="G800" s="3">
        <v>0.15193200111389199</v>
      </c>
      <c r="H800" s="3">
        <v>4.3833542615175303E-2</v>
      </c>
      <c r="I800" s="3">
        <v>3.1844392415223699</v>
      </c>
      <c r="J800" s="3">
        <v>2.7678136825561501</v>
      </c>
      <c r="K800" s="3">
        <v>1.0601133108139</v>
      </c>
      <c r="L800" s="3">
        <f t="shared" si="12"/>
        <v>1</v>
      </c>
      <c r="M800">
        <f>VLOOKUP(A800,Sheet2!$B$2:$E$186,2,FALSE)</f>
        <v>134</v>
      </c>
      <c r="N800" t="s">
        <v>385</v>
      </c>
      <c r="O800" t="s">
        <v>393</v>
      </c>
      <c r="P800">
        <v>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1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</row>
    <row r="801" spans="1:40" x14ac:dyDescent="0.3">
      <c r="A801" t="s">
        <v>292</v>
      </c>
      <c r="B801" s="3">
        <v>2016</v>
      </c>
      <c r="C801" s="3">
        <v>434706.78125</v>
      </c>
      <c r="D801" s="3">
        <v>1754756.25</v>
      </c>
      <c r="E801" s="3">
        <v>16.0555419921875</v>
      </c>
      <c r="F801" s="3">
        <v>0.82429730892181396</v>
      </c>
      <c r="G801" s="3">
        <v>0.15366119146346999</v>
      </c>
      <c r="H801" s="3">
        <v>4.3471548706293099E-2</v>
      </c>
      <c r="I801" s="3">
        <v>3.3750615872066501</v>
      </c>
      <c r="J801" s="3">
        <v>2.7853260040283199</v>
      </c>
      <c r="K801" s="3">
        <v>1.0438203811645499</v>
      </c>
      <c r="L801" s="3">
        <f t="shared" si="12"/>
        <v>2</v>
      </c>
      <c r="M801">
        <f>VLOOKUP(A801,Sheet2!$B$2:$E$186,2,FALSE)</f>
        <v>134</v>
      </c>
      <c r="N801" t="s">
        <v>385</v>
      </c>
      <c r="O801" t="s">
        <v>393</v>
      </c>
      <c r="P801">
        <v>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1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</row>
    <row r="802" spans="1:40" x14ac:dyDescent="0.3">
      <c r="A802" t="s">
        <v>292</v>
      </c>
      <c r="B802" s="3">
        <v>2017</v>
      </c>
      <c r="C802" s="3">
        <v>445656.3125</v>
      </c>
      <c r="D802" s="3">
        <v>1830841.25</v>
      </c>
      <c r="E802" s="3">
        <v>16.34743309021</v>
      </c>
      <c r="F802" s="3">
        <v>0.85786169767379805</v>
      </c>
      <c r="G802" s="3">
        <v>0.15946212410926799</v>
      </c>
      <c r="H802" s="3">
        <v>4.2933326214551898E-2</v>
      </c>
      <c r="I802" s="3">
        <v>3.2604884908320999</v>
      </c>
      <c r="J802" s="3">
        <v>2.8029489517211901</v>
      </c>
      <c r="K802" s="3">
        <v>1.03177082538605</v>
      </c>
      <c r="L802" s="3">
        <f t="shared" si="12"/>
        <v>3</v>
      </c>
      <c r="M802">
        <f>VLOOKUP(A802,Sheet2!$B$2:$E$186,2,FALSE)</f>
        <v>134</v>
      </c>
      <c r="N802" t="s">
        <v>385</v>
      </c>
      <c r="O802" t="s">
        <v>393</v>
      </c>
      <c r="P802">
        <v>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1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</row>
    <row r="803" spans="1:40" x14ac:dyDescent="0.3">
      <c r="A803" t="s">
        <v>292</v>
      </c>
      <c r="B803" s="3">
        <v>2018</v>
      </c>
      <c r="C803" s="3">
        <v>463345.96875</v>
      </c>
      <c r="D803" s="3">
        <v>1912172</v>
      </c>
      <c r="E803" s="3">
        <v>16.649898529052699</v>
      </c>
      <c r="F803" s="3">
        <v>0.89407032728195202</v>
      </c>
      <c r="G803" s="3">
        <v>0.15986724197864499</v>
      </c>
      <c r="H803" s="3">
        <v>4.2422022670507403E-2</v>
      </c>
      <c r="I803" s="3">
        <v>3.2866026980329601</v>
      </c>
      <c r="J803" s="3">
        <v>2.8206834793090798</v>
      </c>
      <c r="K803" s="3">
        <v>1.03722596168518</v>
      </c>
      <c r="L803" s="3">
        <f t="shared" si="12"/>
        <v>4</v>
      </c>
      <c r="M803">
        <f>VLOOKUP(A803,Sheet2!$B$2:$E$186,2,FALSE)</f>
        <v>134</v>
      </c>
      <c r="N803" t="s">
        <v>385</v>
      </c>
      <c r="O803" t="s">
        <v>393</v>
      </c>
      <c r="P803">
        <v>1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1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</row>
    <row r="804" spans="1:40" x14ac:dyDescent="0.3">
      <c r="A804" t="s">
        <v>292</v>
      </c>
      <c r="B804" s="3">
        <v>2019</v>
      </c>
      <c r="C804" s="3">
        <v>473727.84375</v>
      </c>
      <c r="D804" s="3">
        <v>1995610</v>
      </c>
      <c r="E804" s="3">
        <v>17.3162326812744</v>
      </c>
      <c r="F804" s="3">
        <v>0.93184983730316195</v>
      </c>
      <c r="G804" s="3">
        <v>0.15325891971588099</v>
      </c>
      <c r="H804" s="3">
        <v>4.2026687413454097E-2</v>
      </c>
      <c r="I804" s="3">
        <v>3.3372655465368002</v>
      </c>
      <c r="J804" s="3">
        <v>2.8385300636291499</v>
      </c>
      <c r="K804" s="3">
        <v>1.0256097316741899</v>
      </c>
      <c r="L804" s="3">
        <f t="shared" si="12"/>
        <v>5</v>
      </c>
      <c r="M804">
        <f>VLOOKUP(A804,Sheet2!$B$2:$E$186,2,FALSE)</f>
        <v>134</v>
      </c>
      <c r="N804" t="s">
        <v>385</v>
      </c>
      <c r="O804" t="s">
        <v>393</v>
      </c>
      <c r="P804">
        <v>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1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</row>
    <row r="805" spans="1:40" x14ac:dyDescent="0.3">
      <c r="A805" t="s">
        <v>292</v>
      </c>
      <c r="B805" s="3">
        <v>2020</v>
      </c>
      <c r="C805" s="3">
        <v>421933.75</v>
      </c>
      <c r="D805" s="3">
        <v>2050502.625</v>
      </c>
      <c r="E805" s="3">
        <v>17.9068508148193</v>
      </c>
      <c r="F805" s="3">
        <v>0.95405328273773204</v>
      </c>
      <c r="G805" s="3">
        <v>0.13493365049362199</v>
      </c>
      <c r="H805" s="3">
        <v>4.1525021195411703E-2</v>
      </c>
      <c r="I805" s="3">
        <v>3.4949411976912002</v>
      </c>
      <c r="J805" s="3">
        <v>2.8564896583557098</v>
      </c>
      <c r="K805" s="3">
        <v>0.90069276094436701</v>
      </c>
      <c r="L805" s="3">
        <f t="shared" si="12"/>
        <v>6</v>
      </c>
      <c r="M805">
        <f>VLOOKUP(A805,Sheet2!$B$2:$E$186,2,FALSE)</f>
        <v>134</v>
      </c>
      <c r="N805" t="s">
        <v>385</v>
      </c>
      <c r="O805" t="s">
        <v>393</v>
      </c>
      <c r="P805">
        <v>1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1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</row>
    <row r="806" spans="1:40" x14ac:dyDescent="0.3">
      <c r="A806" t="s">
        <v>294</v>
      </c>
      <c r="B806" s="3">
        <v>2015</v>
      </c>
      <c r="C806" s="3">
        <v>825329.6875</v>
      </c>
      <c r="D806" s="3">
        <v>2732495.5</v>
      </c>
      <c r="E806" s="3">
        <v>38.741001129150398</v>
      </c>
      <c r="F806" s="3">
        <v>0.65316861867904696</v>
      </c>
      <c r="G806" s="3">
        <v>0.23003758490085599</v>
      </c>
      <c r="H806" s="3">
        <v>4.5104607939720202E-2</v>
      </c>
      <c r="I806" s="3">
        <v>45.502839942143098</v>
      </c>
      <c r="J806" s="3">
        <v>2.6593053340911901</v>
      </c>
      <c r="K806" s="3">
        <v>1.03970158100128</v>
      </c>
      <c r="L806" s="3">
        <f t="shared" si="12"/>
        <v>1</v>
      </c>
      <c r="M806">
        <f>VLOOKUP(A806,Sheet2!$B$2:$E$186,2,FALSE)</f>
        <v>135</v>
      </c>
      <c r="N806" t="s">
        <v>391</v>
      </c>
      <c r="O806" t="s">
        <v>403</v>
      </c>
      <c r="P806">
        <v>0</v>
      </c>
      <c r="Q806">
        <v>0</v>
      </c>
      <c r="R806">
        <v>1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</row>
    <row r="807" spans="1:40" x14ac:dyDescent="0.3">
      <c r="A807" t="s">
        <v>294</v>
      </c>
      <c r="B807" s="3">
        <v>2016</v>
      </c>
      <c r="C807" s="3">
        <v>884336.3125</v>
      </c>
      <c r="D807" s="3">
        <v>2963657</v>
      </c>
      <c r="E807" s="3">
        <v>40.994697570800803</v>
      </c>
      <c r="F807" s="3">
        <v>0.71312814950943004</v>
      </c>
      <c r="G807" s="3">
        <v>0.22419080138206501</v>
      </c>
      <c r="H807" s="3">
        <v>4.5879598706960699E-2</v>
      </c>
      <c r="I807" s="3">
        <v>47.4924638585099</v>
      </c>
      <c r="J807" s="3">
        <v>2.6730914115905802</v>
      </c>
      <c r="K807" s="3">
        <v>1.0463993549346899</v>
      </c>
      <c r="L807" s="3">
        <f t="shared" si="12"/>
        <v>2</v>
      </c>
      <c r="M807">
        <f>VLOOKUP(A807,Sheet2!$B$2:$E$186,2,FALSE)</f>
        <v>135</v>
      </c>
      <c r="N807" t="s">
        <v>391</v>
      </c>
      <c r="O807" t="s">
        <v>403</v>
      </c>
      <c r="P807">
        <v>0</v>
      </c>
      <c r="Q807">
        <v>0</v>
      </c>
      <c r="R807">
        <v>1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</row>
    <row r="808" spans="1:40" x14ac:dyDescent="0.3">
      <c r="A808" t="s">
        <v>294</v>
      </c>
      <c r="B808" s="3">
        <v>2017</v>
      </c>
      <c r="C808" s="3">
        <v>945629.5</v>
      </c>
      <c r="D808" s="3">
        <v>3217270.75</v>
      </c>
      <c r="E808" s="3">
        <v>40.333988189697301</v>
      </c>
      <c r="F808" s="3">
        <v>0.77924615144729603</v>
      </c>
      <c r="G808" s="3">
        <v>0.22209535539150199</v>
      </c>
      <c r="H808" s="3">
        <v>4.7062836587429102E-2</v>
      </c>
      <c r="I808" s="3">
        <v>50.403719793717698</v>
      </c>
      <c r="J808" s="3">
        <v>2.6869490146636998</v>
      </c>
      <c r="K808" s="3">
        <v>1.0813418626785301</v>
      </c>
      <c r="L808" s="3">
        <f t="shared" si="12"/>
        <v>3</v>
      </c>
      <c r="M808">
        <f>VLOOKUP(A808,Sheet2!$B$2:$E$186,2,FALSE)</f>
        <v>135</v>
      </c>
      <c r="N808" t="s">
        <v>391</v>
      </c>
      <c r="O808" t="s">
        <v>403</v>
      </c>
      <c r="P808">
        <v>0</v>
      </c>
      <c r="Q808">
        <v>0</v>
      </c>
      <c r="R808">
        <v>1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</row>
    <row r="809" spans="1:40" x14ac:dyDescent="0.3">
      <c r="A809" t="s">
        <v>294</v>
      </c>
      <c r="B809" s="3">
        <v>2018</v>
      </c>
      <c r="C809" s="3">
        <v>1005596.5</v>
      </c>
      <c r="D809" s="3">
        <v>3504728.5</v>
      </c>
      <c r="E809" s="3">
        <v>41.153003692627003</v>
      </c>
      <c r="F809" s="3">
        <v>0.85355061292648304</v>
      </c>
      <c r="G809" s="3">
        <v>0.212025791406631</v>
      </c>
      <c r="H809" s="3">
        <v>4.8082362860441201E-2</v>
      </c>
      <c r="I809" s="3">
        <v>52.661429953968302</v>
      </c>
      <c r="J809" s="3">
        <v>2.70087862014771</v>
      </c>
      <c r="K809" s="3">
        <v>1.0875395536422701</v>
      </c>
      <c r="L809" s="3">
        <f t="shared" si="12"/>
        <v>4</v>
      </c>
      <c r="M809">
        <f>VLOOKUP(A809,Sheet2!$B$2:$E$186,2,FALSE)</f>
        <v>135</v>
      </c>
      <c r="N809" t="s">
        <v>391</v>
      </c>
      <c r="O809" t="s">
        <v>403</v>
      </c>
      <c r="P809">
        <v>0</v>
      </c>
      <c r="Q809">
        <v>0</v>
      </c>
      <c r="R809">
        <v>1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</row>
    <row r="810" spans="1:40" x14ac:dyDescent="0.3">
      <c r="A810" t="s">
        <v>294</v>
      </c>
      <c r="B810" s="3">
        <v>2019</v>
      </c>
      <c r="C810" s="3">
        <v>1067124.125</v>
      </c>
      <c r="D810" s="3">
        <v>3793039.75</v>
      </c>
      <c r="E810" s="3">
        <v>42.424724578857401</v>
      </c>
      <c r="F810" s="3">
        <v>0.92500388622283902</v>
      </c>
      <c r="G810" s="3">
        <v>0.20683823525905601</v>
      </c>
      <c r="H810" s="3">
        <v>4.8502437770366703E-2</v>
      </c>
      <c r="I810" s="3">
        <v>51.795782651733298</v>
      </c>
      <c r="J810" s="3">
        <v>2.7148802280425999</v>
      </c>
      <c r="K810" s="3">
        <v>1.08131515979767</v>
      </c>
      <c r="L810" s="3">
        <f t="shared" si="12"/>
        <v>5</v>
      </c>
      <c r="M810">
        <f>VLOOKUP(A810,Sheet2!$B$2:$E$186,2,FALSE)</f>
        <v>135</v>
      </c>
      <c r="N810" t="s">
        <v>391</v>
      </c>
      <c r="O810" t="s">
        <v>403</v>
      </c>
      <c r="P810">
        <v>0</v>
      </c>
      <c r="Q810">
        <v>0</v>
      </c>
      <c r="R810">
        <v>1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</row>
    <row r="811" spans="1:40" x14ac:dyDescent="0.3">
      <c r="A811" t="s">
        <v>294</v>
      </c>
      <c r="B811" s="3">
        <v>2020</v>
      </c>
      <c r="C811" s="3">
        <v>965552.125</v>
      </c>
      <c r="D811" s="3">
        <v>3943967.25</v>
      </c>
      <c r="E811" s="3">
        <v>39.374462127685597</v>
      </c>
      <c r="F811" s="3">
        <v>0.958471179008484</v>
      </c>
      <c r="G811" s="3">
        <v>0.17324154078960399</v>
      </c>
      <c r="H811" s="3">
        <v>4.8030942678451503E-2</v>
      </c>
      <c r="I811" s="3">
        <v>49.624096002632797</v>
      </c>
      <c r="J811" s="3">
        <v>2.72895431518555</v>
      </c>
      <c r="K811" s="3">
        <v>1.03350734710693</v>
      </c>
      <c r="L811" s="3">
        <f t="shared" si="12"/>
        <v>6</v>
      </c>
      <c r="M811">
        <f>VLOOKUP(A811,Sheet2!$B$2:$E$186,2,FALSE)</f>
        <v>135</v>
      </c>
      <c r="N811" t="s">
        <v>391</v>
      </c>
      <c r="O811" t="s">
        <v>403</v>
      </c>
      <c r="P811">
        <v>0</v>
      </c>
      <c r="Q811">
        <v>0</v>
      </c>
      <c r="R811">
        <v>1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</row>
    <row r="812" spans="1:40" x14ac:dyDescent="0.3">
      <c r="A812" t="s">
        <v>296</v>
      </c>
      <c r="B812" s="3">
        <v>2015</v>
      </c>
      <c r="C812" s="3">
        <v>1156210.875</v>
      </c>
      <c r="D812" s="3">
        <v>2907773.5</v>
      </c>
      <c r="E812" s="3">
        <v>16.0523986816406</v>
      </c>
      <c r="F812" s="3">
        <v>0.78409606218338002</v>
      </c>
      <c r="G812" s="3">
        <v>0.14487490057945299</v>
      </c>
      <c r="H812" s="3">
        <v>5.0320342183113098E-2</v>
      </c>
      <c r="I812" s="3">
        <v>3.7694999999999999</v>
      </c>
      <c r="J812" s="3">
        <v>3.3571662902832</v>
      </c>
      <c r="K812" s="3">
        <v>0.94600903987884499</v>
      </c>
      <c r="L812" s="3">
        <f t="shared" si="12"/>
        <v>1</v>
      </c>
      <c r="M812">
        <f>VLOOKUP(A812,Sheet2!$B$2:$E$186,2,FALSE)</f>
        <v>136</v>
      </c>
      <c r="N812" t="s">
        <v>389</v>
      </c>
      <c r="O812" t="s">
        <v>400</v>
      </c>
      <c r="P812">
        <v>0</v>
      </c>
      <c r="Q812">
        <v>1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</row>
    <row r="813" spans="1:40" x14ac:dyDescent="0.3">
      <c r="A813" t="s">
        <v>296</v>
      </c>
      <c r="B813" s="3">
        <v>2016</v>
      </c>
      <c r="C813" s="3">
        <v>1191257.75</v>
      </c>
      <c r="D813" s="3">
        <v>3011843.75</v>
      </c>
      <c r="E813" s="3">
        <v>16.1920566558838</v>
      </c>
      <c r="F813" s="3">
        <v>0.81349450349807695</v>
      </c>
      <c r="G813" s="3">
        <v>0.135484233498573</v>
      </c>
      <c r="H813" s="3">
        <v>5.0738472491502797E-2</v>
      </c>
      <c r="I813" s="3">
        <v>3.9427833333333302</v>
      </c>
      <c r="J813" s="3">
        <v>3.3741528987884499</v>
      </c>
      <c r="K813" s="3">
        <v>0.94488632678985596</v>
      </c>
      <c r="L813" s="3">
        <f t="shared" si="12"/>
        <v>2</v>
      </c>
      <c r="M813">
        <f>VLOOKUP(A813,Sheet2!$B$2:$E$186,2,FALSE)</f>
        <v>136</v>
      </c>
      <c r="N813" t="s">
        <v>389</v>
      </c>
      <c r="O813" t="s">
        <v>400</v>
      </c>
      <c r="P813">
        <v>0</v>
      </c>
      <c r="Q813">
        <v>1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</row>
    <row r="814" spans="1:40" x14ac:dyDescent="0.3">
      <c r="A814" t="s">
        <v>296</v>
      </c>
      <c r="B814" s="3">
        <v>2017</v>
      </c>
      <c r="C814" s="3">
        <v>1252636.625</v>
      </c>
      <c r="D814" s="3">
        <v>3114414</v>
      </c>
      <c r="E814" s="3">
        <v>16.402635574340799</v>
      </c>
      <c r="F814" s="3">
        <v>0.84321421384811401</v>
      </c>
      <c r="G814" s="3">
        <v>0.140473827719688</v>
      </c>
      <c r="H814" s="3">
        <v>5.1051054149866097E-2</v>
      </c>
      <c r="I814" s="3">
        <v>3.7793333333333301</v>
      </c>
      <c r="J814" s="3">
        <v>3.3826782703399698</v>
      </c>
      <c r="K814" s="3">
        <v>0.97846680879592896</v>
      </c>
      <c r="L814" s="3">
        <f t="shared" si="12"/>
        <v>3</v>
      </c>
      <c r="M814">
        <f>VLOOKUP(A814,Sheet2!$B$2:$E$186,2,FALSE)</f>
        <v>136</v>
      </c>
      <c r="N814" t="s">
        <v>389</v>
      </c>
      <c r="O814" t="s">
        <v>400</v>
      </c>
      <c r="P814">
        <v>0</v>
      </c>
      <c r="Q814">
        <v>1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</row>
    <row r="815" spans="1:40" x14ac:dyDescent="0.3">
      <c r="A815" t="s">
        <v>296</v>
      </c>
      <c r="B815" s="3">
        <v>2018</v>
      </c>
      <c r="C815" s="3">
        <v>1330874.75</v>
      </c>
      <c r="D815" s="3">
        <v>3245288.5</v>
      </c>
      <c r="E815" s="3">
        <v>16.488451004028299</v>
      </c>
      <c r="F815" s="3">
        <v>0.88359570503234897</v>
      </c>
      <c r="G815" s="3">
        <v>0.1414475440979</v>
      </c>
      <c r="H815" s="3">
        <v>5.16011416912079E-2</v>
      </c>
      <c r="I815" s="3">
        <v>3.6117166666666698</v>
      </c>
      <c r="J815" s="3">
        <v>3.39122533798218</v>
      </c>
      <c r="K815" s="3">
        <v>1.0270076990127599</v>
      </c>
      <c r="L815" s="3">
        <f t="shared" si="12"/>
        <v>4</v>
      </c>
      <c r="M815">
        <f>VLOOKUP(A815,Sheet2!$B$2:$E$186,2,FALSE)</f>
        <v>136</v>
      </c>
      <c r="N815" t="s">
        <v>389</v>
      </c>
      <c r="O815" t="s">
        <v>400</v>
      </c>
      <c r="P815">
        <v>0</v>
      </c>
      <c r="Q815">
        <v>1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</row>
    <row r="816" spans="1:40" x14ac:dyDescent="0.3">
      <c r="A816" t="s">
        <v>296</v>
      </c>
      <c r="B816" s="3">
        <v>2019</v>
      </c>
      <c r="C816" s="3">
        <v>1391834.75</v>
      </c>
      <c r="D816" s="3">
        <v>3387183.25</v>
      </c>
      <c r="E816" s="3">
        <v>16.882604598998999</v>
      </c>
      <c r="F816" s="3">
        <v>0.927146196365356</v>
      </c>
      <c r="G816" s="3">
        <v>0.14897175133228299</v>
      </c>
      <c r="H816" s="3">
        <v>5.2351973950862898E-2</v>
      </c>
      <c r="I816" s="3">
        <v>3.839375</v>
      </c>
      <c r="J816" s="3">
        <v>3.3997941017150901</v>
      </c>
      <c r="K816" s="3">
        <v>1.02299988269806</v>
      </c>
      <c r="L816" s="3">
        <f t="shared" si="12"/>
        <v>5</v>
      </c>
      <c r="M816">
        <f>VLOOKUP(A816,Sheet2!$B$2:$E$186,2,FALSE)</f>
        <v>136</v>
      </c>
      <c r="N816" t="s">
        <v>389</v>
      </c>
      <c r="O816" t="s">
        <v>400</v>
      </c>
      <c r="P816">
        <v>0</v>
      </c>
      <c r="Q816">
        <v>1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</row>
    <row r="817" spans="1:47" x14ac:dyDescent="0.3">
      <c r="A817" t="s">
        <v>296</v>
      </c>
      <c r="B817" s="3">
        <v>2020</v>
      </c>
      <c r="C817" s="3">
        <v>1363503</v>
      </c>
      <c r="D817" s="3">
        <v>3510477.25</v>
      </c>
      <c r="E817" s="3">
        <v>17.247024536132798</v>
      </c>
      <c r="F817" s="3">
        <v>0.962602138519287</v>
      </c>
      <c r="G817" s="3">
        <v>0.14401550590991999</v>
      </c>
      <c r="H817" s="3">
        <v>5.28532788157463E-2</v>
      </c>
      <c r="I817" s="3">
        <v>3.89974166666667</v>
      </c>
      <c r="J817" s="3">
        <v>3.4083843231201199</v>
      </c>
      <c r="K817" s="3">
        <v>0.97128522396087702</v>
      </c>
      <c r="L817" s="3">
        <f t="shared" si="12"/>
        <v>6</v>
      </c>
      <c r="M817">
        <f>VLOOKUP(A817,Sheet2!$B$2:$E$186,2,FALSE)</f>
        <v>136</v>
      </c>
      <c r="N817" t="s">
        <v>389</v>
      </c>
      <c r="O817" t="s">
        <v>400</v>
      </c>
      <c r="P817">
        <v>0</v>
      </c>
      <c r="Q817">
        <v>1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</row>
    <row r="818" spans="1:47" x14ac:dyDescent="0.3">
      <c r="A818" t="s">
        <v>298</v>
      </c>
      <c r="B818" s="3">
        <v>2015</v>
      </c>
      <c r="C818" s="3">
        <v>321687.53125</v>
      </c>
      <c r="D818" s="3">
        <v>2620029.75</v>
      </c>
      <c r="E818" s="3">
        <v>4.61364698410034</v>
      </c>
      <c r="F818" s="3">
        <v>0.92225819826126099</v>
      </c>
      <c r="G818" s="3">
        <v>6.3520990312099498E-2</v>
      </c>
      <c r="H818" s="3">
        <v>3.0681146308779699E-2</v>
      </c>
      <c r="I818" s="3">
        <v>0.90129642336709603</v>
      </c>
      <c r="J818" s="3">
        <v>2.44425344467163</v>
      </c>
      <c r="K818" s="3">
        <v>0.96930545568466198</v>
      </c>
      <c r="L818" s="3">
        <f t="shared" si="12"/>
        <v>1</v>
      </c>
      <c r="M818">
        <f>VLOOKUP(A818,Sheet2!$B$2:$E$186,2,FALSE)</f>
        <v>137</v>
      </c>
      <c r="N818" t="s">
        <v>389</v>
      </c>
      <c r="O818" t="s">
        <v>390</v>
      </c>
      <c r="P818">
        <v>0</v>
      </c>
      <c r="Q818">
        <v>1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</row>
    <row r="819" spans="1:47" x14ac:dyDescent="0.3">
      <c r="A819" t="s">
        <v>298</v>
      </c>
      <c r="B819" s="3">
        <v>2016</v>
      </c>
      <c r="C819" s="3">
        <v>328134.625</v>
      </c>
      <c r="D819" s="3">
        <v>2626618.5</v>
      </c>
      <c r="E819" s="3">
        <v>4.69533443450928</v>
      </c>
      <c r="F819" s="3">
        <v>0.928167045116425</v>
      </c>
      <c r="G819" s="3">
        <v>6.5436318516731304E-2</v>
      </c>
      <c r="H819" s="3">
        <v>3.0875608325004598E-2</v>
      </c>
      <c r="I819" s="3">
        <v>0.90342143625726301</v>
      </c>
      <c r="J819" s="3">
        <v>2.4612007141113299</v>
      </c>
      <c r="K819" s="3">
        <v>0.97213929891586304</v>
      </c>
      <c r="L819" s="3">
        <f t="shared" si="12"/>
        <v>2</v>
      </c>
      <c r="M819">
        <f>VLOOKUP(A819,Sheet2!$B$2:$E$186,2,FALSE)</f>
        <v>137</v>
      </c>
      <c r="N819" t="s">
        <v>389</v>
      </c>
      <c r="O819" t="s">
        <v>390</v>
      </c>
      <c r="P819">
        <v>0</v>
      </c>
      <c r="Q819">
        <v>1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</row>
    <row r="820" spans="1:47" x14ac:dyDescent="0.3">
      <c r="A820" t="s">
        <v>298</v>
      </c>
      <c r="B820" s="3">
        <v>2017</v>
      </c>
      <c r="C820" s="3">
        <v>339011.375</v>
      </c>
      <c r="D820" s="3">
        <v>2643834</v>
      </c>
      <c r="E820" s="3">
        <v>4.8512773513793901</v>
      </c>
      <c r="F820" s="3">
        <v>0.94124597311019897</v>
      </c>
      <c r="G820" s="3">
        <v>6.4566120505333002E-2</v>
      </c>
      <c r="H820" s="3">
        <v>3.1246699392795601E-2</v>
      </c>
      <c r="I820" s="3">
        <v>0.88520550826937205</v>
      </c>
      <c r="J820" s="3">
        <v>2.4782655239105198</v>
      </c>
      <c r="K820" s="3">
        <v>0.97673237323760997</v>
      </c>
      <c r="L820" s="3">
        <f t="shared" si="12"/>
        <v>3</v>
      </c>
      <c r="M820">
        <f>VLOOKUP(A820,Sheet2!$B$2:$E$186,2,FALSE)</f>
        <v>137</v>
      </c>
      <c r="N820" t="s">
        <v>389</v>
      </c>
      <c r="O820" t="s">
        <v>390</v>
      </c>
      <c r="P820">
        <v>0</v>
      </c>
      <c r="Q820">
        <v>1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</row>
    <row r="821" spans="1:47" x14ac:dyDescent="0.3">
      <c r="A821" t="s">
        <v>298</v>
      </c>
      <c r="B821" s="3">
        <v>2018</v>
      </c>
      <c r="C821" s="3">
        <v>348999.59375</v>
      </c>
      <c r="D821" s="3">
        <v>2665070.75</v>
      </c>
      <c r="E821" s="3">
        <v>4.9680051803588903</v>
      </c>
      <c r="F821" s="3">
        <v>0.95719939470291104</v>
      </c>
      <c r="G821" s="3">
        <v>6.10920898616314E-2</v>
      </c>
      <c r="H821" s="3">
        <v>3.1782552599906901E-2</v>
      </c>
      <c r="I821" s="3">
        <v>0.84677266710811105</v>
      </c>
      <c r="J821" s="3">
        <v>2.4954485893249498</v>
      </c>
      <c r="K821" s="3">
        <v>0.97961485385894798</v>
      </c>
      <c r="L821" s="3">
        <f t="shared" si="12"/>
        <v>4</v>
      </c>
      <c r="M821">
        <f>VLOOKUP(A821,Sheet2!$B$2:$E$186,2,FALSE)</f>
        <v>137</v>
      </c>
      <c r="N821" t="s">
        <v>389</v>
      </c>
      <c r="O821" t="s">
        <v>390</v>
      </c>
      <c r="P821">
        <v>0</v>
      </c>
      <c r="Q821">
        <v>1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1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</row>
    <row r="822" spans="1:47" x14ac:dyDescent="0.3">
      <c r="A822" t="s">
        <v>298</v>
      </c>
      <c r="B822" s="3">
        <v>2019</v>
      </c>
      <c r="C822" s="3">
        <v>358582.03125</v>
      </c>
      <c r="D822" s="3">
        <v>2689925</v>
      </c>
      <c r="E822" s="3">
        <v>5.0082268714904803</v>
      </c>
      <c r="F822" s="3">
        <v>0.974404156208038</v>
      </c>
      <c r="G822" s="3">
        <v>5.9497646987438202E-2</v>
      </c>
      <c r="H822" s="3">
        <v>3.2348662614822402E-2</v>
      </c>
      <c r="I822" s="3">
        <v>0.89327625706740899</v>
      </c>
      <c r="J822" s="3">
        <v>2.5127508640289302</v>
      </c>
      <c r="K822" s="3">
        <v>0.99358612298965499</v>
      </c>
      <c r="L822" s="3">
        <f t="shared" si="12"/>
        <v>5</v>
      </c>
      <c r="M822">
        <f>VLOOKUP(A822,Sheet2!$B$2:$E$186,2,FALSE)</f>
        <v>137</v>
      </c>
      <c r="N822" t="s">
        <v>389</v>
      </c>
      <c r="O822" t="s">
        <v>390</v>
      </c>
      <c r="P822">
        <v>0</v>
      </c>
      <c r="Q822">
        <v>1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1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</row>
    <row r="823" spans="1:47" x14ac:dyDescent="0.3">
      <c r="A823" t="s">
        <v>298</v>
      </c>
      <c r="B823" s="3">
        <v>2020</v>
      </c>
      <c r="C823" s="3">
        <v>329161.6875</v>
      </c>
      <c r="D823" s="3">
        <v>2710022.5</v>
      </c>
      <c r="E823" s="3">
        <v>4.9073863029479998</v>
      </c>
      <c r="F823" s="3">
        <v>0.984142065048218</v>
      </c>
      <c r="G823" s="3">
        <v>4.6393368393182803E-2</v>
      </c>
      <c r="H823" s="3">
        <v>3.2695762813091299E-2</v>
      </c>
      <c r="I823" s="3">
        <v>0.87550639698799804</v>
      </c>
      <c r="J823" s="3">
        <v>2.5301730632782</v>
      </c>
      <c r="K823" s="3">
        <v>0.98513942956924405</v>
      </c>
      <c r="L823" s="3">
        <f t="shared" si="12"/>
        <v>6</v>
      </c>
      <c r="M823">
        <f>VLOOKUP(A823,Sheet2!$B$2:$E$186,2,FALSE)</f>
        <v>137</v>
      </c>
      <c r="N823" t="s">
        <v>389</v>
      </c>
      <c r="O823" t="s">
        <v>390</v>
      </c>
      <c r="P823">
        <v>0</v>
      </c>
      <c r="Q823">
        <v>1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1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</row>
    <row r="824" spans="1:47" x14ac:dyDescent="0.3">
      <c r="A824" t="s">
        <v>299</v>
      </c>
      <c r="B824" s="3">
        <v>2015</v>
      </c>
      <c r="C824" s="3">
        <v>85642.4140625</v>
      </c>
      <c r="D824" s="3">
        <v>348597.78125</v>
      </c>
      <c r="E824" s="3">
        <v>2.50782346725464</v>
      </c>
      <c r="F824" s="3">
        <v>0.77933162450790405</v>
      </c>
      <c r="G824" s="3">
        <v>0.16832230985164601</v>
      </c>
      <c r="H824" s="3">
        <v>3.19090858101845E-2</v>
      </c>
      <c r="I824" s="3">
        <v>5204.92080811087</v>
      </c>
      <c r="J824" s="3">
        <v>2.5510056018829301</v>
      </c>
      <c r="K824" s="3">
        <v>0.99073243141174305</v>
      </c>
      <c r="L824" s="3">
        <f t="shared" si="12"/>
        <v>1</v>
      </c>
      <c r="M824">
        <f>VLOOKUP(A824,Sheet2!$B$2:$E$186,2,FALSE)</f>
        <v>138</v>
      </c>
      <c r="N824" t="s">
        <v>385</v>
      </c>
      <c r="O824" t="s">
        <v>393</v>
      </c>
      <c r="P824">
        <v>1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</row>
    <row r="825" spans="1:47" x14ac:dyDescent="0.3">
      <c r="A825" t="s">
        <v>299</v>
      </c>
      <c r="B825" s="3">
        <v>2016</v>
      </c>
      <c r="C825" s="3">
        <v>89297.65625</v>
      </c>
      <c r="D825" s="3">
        <v>363003.1875</v>
      </c>
      <c r="E825" s="3">
        <v>2.6195228099822998</v>
      </c>
      <c r="F825" s="3">
        <v>0.80651038885116599</v>
      </c>
      <c r="G825" s="3">
        <v>0.16623228788375899</v>
      </c>
      <c r="H825" s="3">
        <v>3.07144224643707E-2</v>
      </c>
      <c r="I825" s="3">
        <v>5670.5408979978401</v>
      </c>
      <c r="J825" s="3">
        <v>2.5792260169982901</v>
      </c>
      <c r="K825" s="3">
        <v>0.96591132879257202</v>
      </c>
      <c r="L825" s="3">
        <f t="shared" si="12"/>
        <v>2</v>
      </c>
      <c r="M825">
        <f>VLOOKUP(A825,Sheet2!$B$2:$E$186,2,FALSE)</f>
        <v>138</v>
      </c>
      <c r="N825" t="s">
        <v>385</v>
      </c>
      <c r="O825" t="s">
        <v>393</v>
      </c>
      <c r="P825">
        <v>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1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</row>
    <row r="826" spans="1:47" x14ac:dyDescent="0.3">
      <c r="A826" t="s">
        <v>299</v>
      </c>
      <c r="B826" s="3">
        <v>2017</v>
      </c>
      <c r="C826" s="3">
        <v>93592.9375</v>
      </c>
      <c r="D826" s="3">
        <v>378540.25</v>
      </c>
      <c r="E826" s="3">
        <v>2.6877412796020499</v>
      </c>
      <c r="F826" s="3">
        <v>0.84484326839446999</v>
      </c>
      <c r="G826" s="3">
        <v>0.17187346518039701</v>
      </c>
      <c r="H826" s="3">
        <v>3.0588608235120801E-2</v>
      </c>
      <c r="I826" s="3">
        <v>5618.9334516427998</v>
      </c>
      <c r="J826" s="3">
        <v>2.6047675609588601</v>
      </c>
      <c r="K826" s="3">
        <v>0.987043857574463</v>
      </c>
      <c r="L826" s="3">
        <f t="shared" si="12"/>
        <v>3</v>
      </c>
      <c r="M826">
        <f>VLOOKUP(A826,Sheet2!$B$2:$E$186,2,FALSE)</f>
        <v>138</v>
      </c>
      <c r="N826" t="s">
        <v>385</v>
      </c>
      <c r="O826" t="s">
        <v>393</v>
      </c>
      <c r="P826">
        <v>1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</row>
    <row r="827" spans="1:47" x14ac:dyDescent="0.3">
      <c r="A827" t="s">
        <v>299</v>
      </c>
      <c r="B827" s="3">
        <v>2018</v>
      </c>
      <c r="C827" s="3">
        <v>96591.890625</v>
      </c>
      <c r="D827" s="3">
        <v>395076.875</v>
      </c>
      <c r="E827" s="3">
        <v>2.7678182125091602</v>
      </c>
      <c r="F827" s="3">
        <v>0.88652557134628296</v>
      </c>
      <c r="G827" s="3">
        <v>0.16514216363430001</v>
      </c>
      <c r="H827" s="3">
        <v>3.1581912189722103E-2</v>
      </c>
      <c r="I827" s="3">
        <v>5732.10455572912</v>
      </c>
      <c r="J827" s="3">
        <v>2.6305620670318599</v>
      </c>
      <c r="K827" s="3">
        <v>1.01840567588806</v>
      </c>
      <c r="L827" s="3">
        <f t="shared" si="12"/>
        <v>4</v>
      </c>
      <c r="M827">
        <f>VLOOKUP(A827,Sheet2!$B$2:$E$186,2,FALSE)</f>
        <v>138</v>
      </c>
      <c r="N827" t="s">
        <v>385</v>
      </c>
      <c r="O827" t="s">
        <v>393</v>
      </c>
      <c r="P827">
        <v>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1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</row>
    <row r="828" spans="1:47" x14ac:dyDescent="0.3">
      <c r="A828" t="s">
        <v>299</v>
      </c>
      <c r="B828" s="3">
        <v>2019</v>
      </c>
      <c r="C828" s="3">
        <v>96203.7265625</v>
      </c>
      <c r="D828" s="3">
        <v>409098.625</v>
      </c>
      <c r="E828" s="3">
        <v>2.8266088962554901</v>
      </c>
      <c r="F828" s="3">
        <v>0.91986894607544001</v>
      </c>
      <c r="G828" s="3">
        <v>0.15727199614048001</v>
      </c>
      <c r="H828" s="3">
        <v>3.2263416796922698E-2</v>
      </c>
      <c r="I828" s="3">
        <v>6240.7220784425699</v>
      </c>
      <c r="J828" s="3">
        <v>2.6566121578216602</v>
      </c>
      <c r="K828" s="3">
        <v>0.98831224441528298</v>
      </c>
      <c r="L828" s="3">
        <f t="shared" si="12"/>
        <v>5</v>
      </c>
      <c r="M828">
        <f>VLOOKUP(A828,Sheet2!$B$2:$E$186,2,FALSE)</f>
        <v>138</v>
      </c>
      <c r="N828" t="s">
        <v>385</v>
      </c>
      <c r="O828" t="s">
        <v>393</v>
      </c>
      <c r="P828">
        <v>1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</row>
    <row r="829" spans="1:47" x14ac:dyDescent="0.3">
      <c r="A829" t="s">
        <v>299</v>
      </c>
      <c r="B829" s="3">
        <v>2020</v>
      </c>
      <c r="C829" s="3">
        <v>95415.0625</v>
      </c>
      <c r="D829" s="3">
        <v>424055</v>
      </c>
      <c r="E829" s="3">
        <v>2.7581834793090798</v>
      </c>
      <c r="F829" s="3">
        <v>0.95360440015792902</v>
      </c>
      <c r="G829" s="3">
        <v>0.145108923316002</v>
      </c>
      <c r="H829" s="3">
        <v>3.2384984195232398E-2</v>
      </c>
      <c r="I829" s="3">
        <v>6771.0974251965099</v>
      </c>
      <c r="J829" s="3">
        <v>2.6829202175140399</v>
      </c>
      <c r="K829" s="3">
        <v>0.99349582195282005</v>
      </c>
      <c r="L829" s="3">
        <f t="shared" si="12"/>
        <v>6</v>
      </c>
      <c r="M829">
        <f>VLOOKUP(A829,Sheet2!$B$2:$E$186,2,FALSE)</f>
        <v>138</v>
      </c>
      <c r="N829" t="s">
        <v>385</v>
      </c>
      <c r="O829" t="s">
        <v>393</v>
      </c>
      <c r="P829">
        <v>1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1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</row>
    <row r="830" spans="1:47" s="2" customFormat="1" x14ac:dyDescent="0.3">
      <c r="A830" t="s">
        <v>301</v>
      </c>
      <c r="B830" s="3">
        <v>2015</v>
      </c>
      <c r="C830" s="3">
        <v>35038.28125</v>
      </c>
      <c r="D830" s="3">
        <v>122212.9375</v>
      </c>
      <c r="E830" s="3">
        <v>0.90880131721496604</v>
      </c>
      <c r="F830" s="3"/>
      <c r="G830" s="3"/>
      <c r="H830" s="3">
        <v>3.3056385815143599E-2</v>
      </c>
      <c r="I830" s="3">
        <v>1</v>
      </c>
      <c r="J830" s="3"/>
      <c r="K830" s="3"/>
      <c r="L830" s="3">
        <f t="shared" si="12"/>
        <v>1</v>
      </c>
      <c r="M830">
        <f>VLOOKUP(A830,Sheet2!$B$2:$E$186,2,FALSE)</f>
        <v>139</v>
      </c>
      <c r="N830" t="s">
        <v>391</v>
      </c>
      <c r="O830" t="s">
        <v>392</v>
      </c>
      <c r="P830">
        <v>0</v>
      </c>
      <c r="Q830">
        <v>0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1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/>
      <c r="AP830"/>
      <c r="AQ830"/>
      <c r="AR830"/>
      <c r="AS830"/>
      <c r="AT830"/>
      <c r="AU830"/>
    </row>
    <row r="831" spans="1:47" s="2" customFormat="1" x14ac:dyDescent="0.3">
      <c r="A831" t="s">
        <v>301</v>
      </c>
      <c r="B831" s="3">
        <v>2016</v>
      </c>
      <c r="C831" s="3">
        <v>38144.2890625</v>
      </c>
      <c r="D831" s="3">
        <v>128936.5</v>
      </c>
      <c r="E831" s="3">
        <v>0.91986703872680697</v>
      </c>
      <c r="F831" s="3"/>
      <c r="G831" s="3"/>
      <c r="H831" s="3">
        <v>3.3120211213827098E-2</v>
      </c>
      <c r="I831" s="3">
        <v>1</v>
      </c>
      <c r="J831" s="3"/>
      <c r="K831" s="3"/>
      <c r="L831" s="3">
        <f t="shared" si="12"/>
        <v>2</v>
      </c>
      <c r="M831">
        <f>VLOOKUP(A831,Sheet2!$B$2:$E$186,2,FALSE)</f>
        <v>139</v>
      </c>
      <c r="N831" t="s">
        <v>391</v>
      </c>
      <c r="O831" t="s">
        <v>392</v>
      </c>
      <c r="P831">
        <v>0</v>
      </c>
      <c r="Q831">
        <v>0</v>
      </c>
      <c r="R831">
        <v>1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1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/>
      <c r="AP831"/>
      <c r="AQ831"/>
      <c r="AR831"/>
      <c r="AS831"/>
      <c r="AT831"/>
      <c r="AU831"/>
    </row>
    <row r="832" spans="1:47" s="2" customFormat="1" x14ac:dyDescent="0.3">
      <c r="A832" t="s">
        <v>301</v>
      </c>
      <c r="B832" s="3">
        <v>2017</v>
      </c>
      <c r="C832" s="3">
        <v>38685.6953125</v>
      </c>
      <c r="D832" s="3">
        <v>136202.640625</v>
      </c>
      <c r="E832" s="3">
        <v>0.92849123477935802</v>
      </c>
      <c r="F832" s="3"/>
      <c r="G832" s="3"/>
      <c r="H832" s="3">
        <v>3.30712832510471E-2</v>
      </c>
      <c r="I832" s="3">
        <v>1</v>
      </c>
      <c r="J832" s="3"/>
      <c r="K832" s="3"/>
      <c r="L832" s="3">
        <f t="shared" si="12"/>
        <v>3</v>
      </c>
      <c r="M832">
        <f>VLOOKUP(A832,Sheet2!$B$2:$E$186,2,FALSE)</f>
        <v>139</v>
      </c>
      <c r="N832" t="s">
        <v>391</v>
      </c>
      <c r="O832" t="s">
        <v>392</v>
      </c>
      <c r="P832">
        <v>0</v>
      </c>
      <c r="Q832">
        <v>0</v>
      </c>
      <c r="R832">
        <v>1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1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/>
      <c r="AP832"/>
      <c r="AQ832"/>
      <c r="AR832"/>
      <c r="AS832"/>
      <c r="AT832"/>
      <c r="AU832"/>
    </row>
    <row r="833" spans="1:47" s="2" customFormat="1" x14ac:dyDescent="0.3">
      <c r="A833" t="s">
        <v>301</v>
      </c>
      <c r="B833" s="3">
        <v>2018</v>
      </c>
      <c r="C833" s="3">
        <v>39160.40234375</v>
      </c>
      <c r="D833" s="3">
        <v>143568.53125</v>
      </c>
      <c r="E833" s="3">
        <v>0.93301534652710005</v>
      </c>
      <c r="F833" s="3"/>
      <c r="G833" s="3"/>
      <c r="H833" s="3">
        <v>3.2820522785186802E-2</v>
      </c>
      <c r="I833" s="3">
        <v>1</v>
      </c>
      <c r="J833" s="3"/>
      <c r="K833" s="3"/>
      <c r="L833" s="3">
        <f t="shared" si="12"/>
        <v>4</v>
      </c>
      <c r="M833">
        <f>VLOOKUP(A833,Sheet2!$B$2:$E$186,2,FALSE)</f>
        <v>139</v>
      </c>
      <c r="N833" t="s">
        <v>391</v>
      </c>
      <c r="O833" t="s">
        <v>392</v>
      </c>
      <c r="P833">
        <v>0</v>
      </c>
      <c r="Q833">
        <v>0</v>
      </c>
      <c r="R833">
        <v>1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1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/>
      <c r="AP833"/>
      <c r="AQ833"/>
      <c r="AR833"/>
      <c r="AS833"/>
      <c r="AT833"/>
      <c r="AU833"/>
    </row>
    <row r="834" spans="1:47" s="2" customFormat="1" x14ac:dyDescent="0.3">
      <c r="A834" t="s">
        <v>301</v>
      </c>
      <c r="B834" s="3">
        <v>2019</v>
      </c>
      <c r="C834" s="3">
        <v>39694.03515625</v>
      </c>
      <c r="D834" s="3">
        <v>150434.875</v>
      </c>
      <c r="E834" s="3">
        <v>0.98709237575530995</v>
      </c>
      <c r="F834" s="3"/>
      <c r="G834" s="3"/>
      <c r="H834" s="3">
        <v>3.2525788992643398E-2</v>
      </c>
      <c r="I834" s="3">
        <v>1</v>
      </c>
      <c r="J834" s="3"/>
      <c r="K834" s="3"/>
      <c r="L834" s="3">
        <f t="shared" si="12"/>
        <v>5</v>
      </c>
      <c r="M834">
        <f>VLOOKUP(A834,Sheet2!$B$2:$E$186,2,FALSE)</f>
        <v>139</v>
      </c>
      <c r="N834" t="s">
        <v>391</v>
      </c>
      <c r="O834" t="s">
        <v>392</v>
      </c>
      <c r="P834">
        <v>0</v>
      </c>
      <c r="Q834">
        <v>0</v>
      </c>
      <c r="R834">
        <v>1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1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/>
      <c r="AP834"/>
      <c r="AQ834"/>
      <c r="AR834"/>
      <c r="AS834"/>
      <c r="AT834"/>
      <c r="AU834"/>
    </row>
    <row r="835" spans="1:47" s="2" customFormat="1" x14ac:dyDescent="0.3">
      <c r="A835" t="s">
        <v>301</v>
      </c>
      <c r="B835" s="3">
        <v>2020</v>
      </c>
      <c r="C835" s="3">
        <v>35201.2734375</v>
      </c>
      <c r="D835" s="3">
        <v>154736.046875</v>
      </c>
      <c r="E835" s="3">
        <v>0.930888652801514</v>
      </c>
      <c r="F835" s="3"/>
      <c r="G835" s="3"/>
      <c r="H835" s="3">
        <v>3.2132450491189998E-2</v>
      </c>
      <c r="I835" s="3">
        <v>1</v>
      </c>
      <c r="J835" s="3"/>
      <c r="K835" s="3"/>
      <c r="L835" s="3">
        <f t="shared" ref="L835:L898" si="13">B835-2014</f>
        <v>6</v>
      </c>
      <c r="M835">
        <f>VLOOKUP(A835,Sheet2!$B$2:$E$186,2,FALSE)</f>
        <v>139</v>
      </c>
      <c r="N835" t="s">
        <v>391</v>
      </c>
      <c r="O835" t="s">
        <v>392</v>
      </c>
      <c r="P835">
        <v>0</v>
      </c>
      <c r="Q835">
        <v>0</v>
      </c>
      <c r="R835">
        <v>1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1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/>
      <c r="AP835"/>
      <c r="AQ835"/>
      <c r="AR835"/>
      <c r="AS835"/>
      <c r="AT835"/>
      <c r="AU835"/>
    </row>
    <row r="836" spans="1:47" x14ac:dyDescent="0.3">
      <c r="A836" t="s">
        <v>302</v>
      </c>
      <c r="B836" s="3">
        <v>2015</v>
      </c>
      <c r="C836" s="3">
        <v>322996.03125</v>
      </c>
      <c r="D836" s="3">
        <v>1025795.9375</v>
      </c>
      <c r="E836" s="3">
        <v>1.9397157430648799</v>
      </c>
      <c r="F836" s="3">
        <v>0.65205818414688099</v>
      </c>
      <c r="G836" s="3">
        <v>0.18720227479934701</v>
      </c>
      <c r="H836" s="3">
        <v>8.3089143037796007E-2</v>
      </c>
      <c r="I836" s="3">
        <v>3.64</v>
      </c>
      <c r="J836" s="3">
        <v>2.8510270118713401</v>
      </c>
      <c r="K836" s="3">
        <v>1.3352010250091599</v>
      </c>
      <c r="L836" s="3">
        <f t="shared" si="13"/>
        <v>1</v>
      </c>
      <c r="M836">
        <f>VLOOKUP(A836,Sheet2!$B$2:$E$186,2,FALSE)</f>
        <v>140</v>
      </c>
      <c r="N836" t="s">
        <v>391</v>
      </c>
      <c r="O836" t="s">
        <v>392</v>
      </c>
      <c r="P836">
        <v>0</v>
      </c>
      <c r="Q836">
        <v>0</v>
      </c>
      <c r="R836">
        <v>1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1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</row>
    <row r="837" spans="1:47" x14ac:dyDescent="0.3">
      <c r="A837" t="s">
        <v>302</v>
      </c>
      <c r="B837" s="3">
        <v>2016</v>
      </c>
      <c r="C837" s="3">
        <v>332893.25</v>
      </c>
      <c r="D837" s="3">
        <v>1156482.875</v>
      </c>
      <c r="E837" s="3">
        <v>2.0379955768585201</v>
      </c>
      <c r="F837" s="3">
        <v>0.72876888513565097</v>
      </c>
      <c r="G837" s="3">
        <v>0.148407787084579</v>
      </c>
      <c r="H837" s="3">
        <v>7.9585440456867204E-2</v>
      </c>
      <c r="I837" s="3">
        <v>3.64</v>
      </c>
      <c r="J837" s="3">
        <v>2.8462400436401398</v>
      </c>
      <c r="K837" s="3">
        <v>1.3140059709548999</v>
      </c>
      <c r="L837" s="3">
        <f t="shared" si="13"/>
        <v>2</v>
      </c>
      <c r="M837">
        <f>VLOOKUP(A837,Sheet2!$B$2:$E$186,2,FALSE)</f>
        <v>140</v>
      </c>
      <c r="N837" t="s">
        <v>391</v>
      </c>
      <c r="O837" t="s">
        <v>392</v>
      </c>
      <c r="P837">
        <v>0</v>
      </c>
      <c r="Q837">
        <v>0</v>
      </c>
      <c r="R837">
        <v>1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1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</row>
    <row r="838" spans="1:47" x14ac:dyDescent="0.3">
      <c r="A838" t="s">
        <v>302</v>
      </c>
      <c r="B838" s="3">
        <v>2017</v>
      </c>
      <c r="C838" s="3">
        <v>327907.84375</v>
      </c>
      <c r="D838" s="3">
        <v>1264241.375</v>
      </c>
      <c r="E838" s="3">
        <v>2.0343017578125</v>
      </c>
      <c r="F838" s="3">
        <v>0.78829646110534701</v>
      </c>
      <c r="G838" s="3">
        <v>0.147149547934532</v>
      </c>
      <c r="H838" s="3">
        <v>7.7010959386825603E-2</v>
      </c>
      <c r="I838" s="3">
        <v>3.64</v>
      </c>
      <c r="J838" s="3">
        <v>2.8577420711517298</v>
      </c>
      <c r="K838" s="3">
        <v>1.1742417812347401</v>
      </c>
      <c r="L838" s="3">
        <f t="shared" si="13"/>
        <v>3</v>
      </c>
      <c r="M838">
        <f>VLOOKUP(A838,Sheet2!$B$2:$E$186,2,FALSE)</f>
        <v>140</v>
      </c>
      <c r="N838" t="s">
        <v>391</v>
      </c>
      <c r="O838" t="s">
        <v>392</v>
      </c>
      <c r="P838">
        <v>0</v>
      </c>
      <c r="Q838">
        <v>0</v>
      </c>
      <c r="R838">
        <v>1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1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</row>
    <row r="839" spans="1:47" x14ac:dyDescent="0.3">
      <c r="A839" t="s">
        <v>302</v>
      </c>
      <c r="B839" s="3">
        <v>2018</v>
      </c>
      <c r="C839" s="3">
        <v>331957.0625</v>
      </c>
      <c r="D839" s="3">
        <v>1380681.25</v>
      </c>
      <c r="E839" s="3">
        <v>2.0570158958435099</v>
      </c>
      <c r="F839" s="3">
        <v>0.85333824157714799</v>
      </c>
      <c r="G839" s="3">
        <v>0.157057210803032</v>
      </c>
      <c r="H839" s="3">
        <v>7.47015625238419E-2</v>
      </c>
      <c r="I839" s="3">
        <v>3.64</v>
      </c>
      <c r="J839" s="3">
        <v>2.89797782897949</v>
      </c>
      <c r="K839" s="3">
        <v>1.1461610794067401</v>
      </c>
      <c r="L839" s="3">
        <f t="shared" si="13"/>
        <v>4</v>
      </c>
      <c r="M839">
        <f>VLOOKUP(A839,Sheet2!$B$2:$E$186,2,FALSE)</f>
        <v>140</v>
      </c>
      <c r="N839" t="s">
        <v>391</v>
      </c>
      <c r="O839" t="s">
        <v>392</v>
      </c>
      <c r="P839">
        <v>0</v>
      </c>
      <c r="Q839">
        <v>0</v>
      </c>
      <c r="R839">
        <v>1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1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</row>
    <row r="840" spans="1:47" x14ac:dyDescent="0.3">
      <c r="A840" t="s">
        <v>302</v>
      </c>
      <c r="B840" s="3">
        <v>2019</v>
      </c>
      <c r="C840" s="3">
        <v>334241.75</v>
      </c>
      <c r="D840" s="3">
        <v>1495486.375</v>
      </c>
      <c r="E840" s="3">
        <v>2.0878965854644802</v>
      </c>
      <c r="F840" s="3">
        <v>0.91486293077468905</v>
      </c>
      <c r="G840" s="3">
        <v>0.137135669589043</v>
      </c>
      <c r="H840" s="3">
        <v>7.2455674409866305E-2</v>
      </c>
      <c r="I840" s="3">
        <v>3.64</v>
      </c>
      <c r="J840" s="3">
        <v>2.9387800693511998</v>
      </c>
      <c r="K840" s="3">
        <v>1.1174854040145901</v>
      </c>
      <c r="L840" s="3">
        <f t="shared" si="13"/>
        <v>5</v>
      </c>
      <c r="M840">
        <f>VLOOKUP(A840,Sheet2!$B$2:$E$186,2,FALSE)</f>
        <v>140</v>
      </c>
      <c r="N840" t="s">
        <v>391</v>
      </c>
      <c r="O840" t="s">
        <v>392</v>
      </c>
      <c r="P840">
        <v>0</v>
      </c>
      <c r="Q840">
        <v>0</v>
      </c>
      <c r="R840">
        <v>1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1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</row>
    <row r="841" spans="1:47" x14ac:dyDescent="0.3">
      <c r="A841" t="s">
        <v>302</v>
      </c>
      <c r="B841" s="3">
        <v>2020</v>
      </c>
      <c r="C841" s="3">
        <v>322350.75</v>
      </c>
      <c r="D841" s="3">
        <v>1584377.75</v>
      </c>
      <c r="E841" s="3">
        <v>2.0767045021057098</v>
      </c>
      <c r="F841" s="3">
        <v>0.95577532052993797</v>
      </c>
      <c r="G841" s="3">
        <v>0.109501875936985</v>
      </c>
      <c r="H841" s="3">
        <v>6.9870248436927795E-2</v>
      </c>
      <c r="I841" s="3">
        <v>3.64</v>
      </c>
      <c r="J841" s="3">
        <v>2.98015689849854</v>
      </c>
      <c r="K841" s="3">
        <v>1.00631999969482</v>
      </c>
      <c r="L841" s="3">
        <f t="shared" si="13"/>
        <v>6</v>
      </c>
      <c r="M841">
        <f>VLOOKUP(A841,Sheet2!$B$2:$E$186,2,FALSE)</f>
        <v>140</v>
      </c>
      <c r="N841" t="s">
        <v>391</v>
      </c>
      <c r="O841" t="s">
        <v>392</v>
      </c>
      <c r="P841">
        <v>0</v>
      </c>
      <c r="Q841">
        <v>0</v>
      </c>
      <c r="R841">
        <v>1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1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</row>
    <row r="842" spans="1:47" x14ac:dyDescent="0.3">
      <c r="A842" t="s">
        <v>304</v>
      </c>
      <c r="B842" s="3">
        <v>2015</v>
      </c>
      <c r="C842" s="3">
        <v>499734.28125</v>
      </c>
      <c r="D842" s="3">
        <v>1649739.25</v>
      </c>
      <c r="E842" s="3">
        <v>8.5353860855102504</v>
      </c>
      <c r="F842" s="3">
        <v>0.79711300134658802</v>
      </c>
      <c r="G842" s="3">
        <v>0.165366411209106</v>
      </c>
      <c r="H842" s="3">
        <v>6.9237984716892201E-2</v>
      </c>
      <c r="I842" s="3">
        <v>4.00566666666667</v>
      </c>
      <c r="J842" s="3">
        <v>3.1948223114013699</v>
      </c>
      <c r="K842" s="3">
        <v>0.81803804636001598</v>
      </c>
      <c r="L842" s="3">
        <f t="shared" si="13"/>
        <v>1</v>
      </c>
      <c r="M842">
        <f>VLOOKUP(A842,Sheet2!$B$2:$E$186,2,FALSE)</f>
        <v>141</v>
      </c>
      <c r="N842" t="s">
        <v>389</v>
      </c>
      <c r="O842" t="s">
        <v>400</v>
      </c>
      <c r="P842">
        <v>0</v>
      </c>
      <c r="Q842">
        <v>1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</row>
    <row r="843" spans="1:47" x14ac:dyDescent="0.3">
      <c r="A843" t="s">
        <v>304</v>
      </c>
      <c r="B843" s="3">
        <v>2016</v>
      </c>
      <c r="C843" s="3">
        <v>514026.4375</v>
      </c>
      <c r="D843" s="3">
        <v>1711110.75</v>
      </c>
      <c r="E843" s="3">
        <v>8.4487752914428693</v>
      </c>
      <c r="F843" s="3">
        <v>0.82555109262466397</v>
      </c>
      <c r="G843" s="3">
        <v>0.15957120060920699</v>
      </c>
      <c r="H843" s="3">
        <v>6.7529372870922103E-2</v>
      </c>
      <c r="I843" s="3">
        <v>4.0591833333333298</v>
      </c>
      <c r="J843" s="3">
        <v>3.2142016887664799</v>
      </c>
      <c r="K843" s="3">
        <v>0.82395601272582997</v>
      </c>
      <c r="L843" s="3">
        <f t="shared" si="13"/>
        <v>2</v>
      </c>
      <c r="M843">
        <f>VLOOKUP(A843,Sheet2!$B$2:$E$186,2,FALSE)</f>
        <v>141</v>
      </c>
      <c r="N843" t="s">
        <v>389</v>
      </c>
      <c r="O843" t="s">
        <v>400</v>
      </c>
      <c r="P843">
        <v>0</v>
      </c>
      <c r="Q843">
        <v>1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</row>
    <row r="844" spans="1:47" x14ac:dyDescent="0.3">
      <c r="A844" t="s">
        <v>304</v>
      </c>
      <c r="B844" s="3">
        <v>2017</v>
      </c>
      <c r="C844" s="3">
        <v>556153.3125</v>
      </c>
      <c r="D844" s="3">
        <v>1780354.125</v>
      </c>
      <c r="E844" s="3">
        <v>8.6705551147460902</v>
      </c>
      <c r="F844" s="3">
        <v>0.85626870393753096</v>
      </c>
      <c r="G844" s="3">
        <v>0.161509364843369</v>
      </c>
      <c r="H844" s="3">
        <v>6.5685100853443201E-2</v>
      </c>
      <c r="I844" s="3">
        <v>4.0524916666666702</v>
      </c>
      <c r="J844" s="3">
        <v>3.2336986064910902</v>
      </c>
      <c r="K844" s="3">
        <v>0.87938433885574296</v>
      </c>
      <c r="L844" s="3">
        <f t="shared" si="13"/>
        <v>3</v>
      </c>
      <c r="M844">
        <f>VLOOKUP(A844,Sheet2!$B$2:$E$186,2,FALSE)</f>
        <v>141</v>
      </c>
      <c r="N844" t="s">
        <v>389</v>
      </c>
      <c r="O844" t="s">
        <v>400</v>
      </c>
      <c r="P844">
        <v>0</v>
      </c>
      <c r="Q844">
        <v>1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</row>
    <row r="845" spans="1:47" x14ac:dyDescent="0.3">
      <c r="A845" t="s">
        <v>304</v>
      </c>
      <c r="B845" s="3">
        <v>2018</v>
      </c>
      <c r="C845" s="3">
        <v>590195.125</v>
      </c>
      <c r="D845" s="3">
        <v>1845279</v>
      </c>
      <c r="E845" s="3">
        <v>8.68853855133057</v>
      </c>
      <c r="F845" s="3">
        <v>0.88406586647033703</v>
      </c>
      <c r="G845" s="3">
        <v>0.168205857276917</v>
      </c>
      <c r="H845" s="3">
        <v>6.4038679003715501E-2</v>
      </c>
      <c r="I845" s="3">
        <v>3.9416166666666701</v>
      </c>
      <c r="J845" s="3">
        <v>3.25331354141235</v>
      </c>
      <c r="K845" s="3">
        <v>0.927645623683929</v>
      </c>
      <c r="L845" s="3">
        <f t="shared" si="13"/>
        <v>4</v>
      </c>
      <c r="M845">
        <f>VLOOKUP(A845,Sheet2!$B$2:$E$186,2,FALSE)</f>
        <v>141</v>
      </c>
      <c r="N845" t="s">
        <v>389</v>
      </c>
      <c r="O845" t="s">
        <v>400</v>
      </c>
      <c r="P845">
        <v>0</v>
      </c>
      <c r="Q845">
        <v>1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</row>
    <row r="846" spans="1:47" x14ac:dyDescent="0.3">
      <c r="A846" t="s">
        <v>304</v>
      </c>
      <c r="B846" s="3">
        <v>2019</v>
      </c>
      <c r="C846" s="3">
        <v>613350</v>
      </c>
      <c r="D846" s="3">
        <v>1935230.625</v>
      </c>
      <c r="E846" s="3">
        <v>8.6803274154663104</v>
      </c>
      <c r="F846" s="3">
        <v>0.92401540279388406</v>
      </c>
      <c r="G846" s="3">
        <v>0.16742831468582201</v>
      </c>
      <c r="H846" s="3">
        <v>6.2756896018981906E-2</v>
      </c>
      <c r="I846" s="3">
        <v>4.2379249999999997</v>
      </c>
      <c r="J846" s="3">
        <v>3.2730479240417498</v>
      </c>
      <c r="K846" s="3">
        <v>0.95066171884536699</v>
      </c>
      <c r="L846" s="3">
        <f t="shared" si="13"/>
        <v>5</v>
      </c>
      <c r="M846">
        <f>VLOOKUP(A846,Sheet2!$B$2:$E$186,2,FALSE)</f>
        <v>141</v>
      </c>
      <c r="N846" t="s">
        <v>389</v>
      </c>
      <c r="O846" t="s">
        <v>400</v>
      </c>
      <c r="P846">
        <v>0</v>
      </c>
      <c r="Q846">
        <v>1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</row>
    <row r="847" spans="1:47" x14ac:dyDescent="0.3">
      <c r="A847" t="s">
        <v>304</v>
      </c>
      <c r="B847" s="3">
        <v>2020</v>
      </c>
      <c r="C847" s="3">
        <v>590813.1875</v>
      </c>
      <c r="D847" s="3">
        <v>2021194.75</v>
      </c>
      <c r="E847" s="3">
        <v>8.52105712890625</v>
      </c>
      <c r="F847" s="3">
        <v>0.95974558591842696</v>
      </c>
      <c r="G847" s="3">
        <v>0.15403278172016099</v>
      </c>
      <c r="H847" s="3">
        <v>6.1449877917766599E-2</v>
      </c>
      <c r="I847" s="3">
        <v>4.2439916666666697</v>
      </c>
      <c r="J847" s="3">
        <v>3.2929015159606898</v>
      </c>
      <c r="K847" s="3">
        <v>0.93230515718460105</v>
      </c>
      <c r="L847" s="3">
        <f t="shared" si="13"/>
        <v>6</v>
      </c>
      <c r="M847">
        <f>VLOOKUP(A847,Sheet2!$B$2:$E$186,2,FALSE)</f>
        <v>141</v>
      </c>
      <c r="N847" t="s">
        <v>389</v>
      </c>
      <c r="O847" t="s">
        <v>400</v>
      </c>
      <c r="P847">
        <v>0</v>
      </c>
      <c r="Q847">
        <v>1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</row>
    <row r="848" spans="1:47" x14ac:dyDescent="0.3">
      <c r="A848" t="s">
        <v>306</v>
      </c>
      <c r="B848" s="3">
        <v>2015</v>
      </c>
      <c r="C848" s="3">
        <v>4986515.5</v>
      </c>
      <c r="D848" s="3">
        <v>37526296</v>
      </c>
      <c r="E848" s="3">
        <v>71.779289245605497</v>
      </c>
      <c r="F848" s="3">
        <v>0.94567120075225797</v>
      </c>
      <c r="G848" s="3">
        <v>2.4837298318743699E-2</v>
      </c>
      <c r="H848" s="3">
        <v>3.5228457301855101E-2</v>
      </c>
      <c r="I848" s="3">
        <v>60.937650108895198</v>
      </c>
      <c r="J848" s="3">
        <v>3.3048675060272199</v>
      </c>
      <c r="K848" s="3">
        <v>0.89321762323379505</v>
      </c>
      <c r="L848" s="3">
        <f t="shared" si="13"/>
        <v>1</v>
      </c>
      <c r="M848">
        <f>VLOOKUP(A848,Sheet2!$B$2:$E$186,2,FALSE)</f>
        <v>142</v>
      </c>
      <c r="N848" t="s">
        <v>389</v>
      </c>
      <c r="O848" t="s">
        <v>400</v>
      </c>
      <c r="P848">
        <v>0</v>
      </c>
      <c r="Q848">
        <v>1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</row>
    <row r="849" spans="1:40" x14ac:dyDescent="0.3">
      <c r="A849" t="s">
        <v>306</v>
      </c>
      <c r="B849" s="3">
        <v>2016</v>
      </c>
      <c r="C849" s="3">
        <v>4996174.5</v>
      </c>
      <c r="D849" s="3">
        <v>37716004</v>
      </c>
      <c r="E849" s="3">
        <v>71.948722839355497</v>
      </c>
      <c r="F849" s="3">
        <v>0.94946789741516102</v>
      </c>
      <c r="G849" s="3">
        <v>2.22516041249037E-2</v>
      </c>
      <c r="H849" s="3">
        <v>3.5041887313127497E-2</v>
      </c>
      <c r="I849" s="3">
        <v>67.0559333333333</v>
      </c>
      <c r="J849" s="3">
        <v>3.3062267303466801</v>
      </c>
      <c r="K849" s="3">
        <v>0.88013589382171598</v>
      </c>
      <c r="L849" s="3">
        <f t="shared" si="13"/>
        <v>2</v>
      </c>
      <c r="M849">
        <f>VLOOKUP(A849,Sheet2!$B$2:$E$186,2,FALSE)</f>
        <v>142</v>
      </c>
      <c r="N849" t="s">
        <v>389</v>
      </c>
      <c r="O849" t="s">
        <v>400</v>
      </c>
      <c r="P849">
        <v>0</v>
      </c>
      <c r="Q849">
        <v>1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</row>
    <row r="850" spans="1:40" x14ac:dyDescent="0.3">
      <c r="A850" t="s">
        <v>306</v>
      </c>
      <c r="B850" s="3">
        <v>2017</v>
      </c>
      <c r="C850" s="3">
        <v>5087440</v>
      </c>
      <c r="D850" s="3">
        <v>37973636</v>
      </c>
      <c r="E850" s="3">
        <v>71.991325378417997</v>
      </c>
      <c r="F850" s="3">
        <v>0.95749491453170799</v>
      </c>
      <c r="G850" s="3">
        <v>2.54758968949318E-2</v>
      </c>
      <c r="H850" s="3">
        <v>3.4981444478035001E-2</v>
      </c>
      <c r="I850" s="3">
        <v>58.342801185171901</v>
      </c>
      <c r="J850" s="3">
        <v>3.3075864315032999</v>
      </c>
      <c r="K850" s="3">
        <v>0.913945853710175</v>
      </c>
      <c r="L850" s="3">
        <f t="shared" si="13"/>
        <v>3</v>
      </c>
      <c r="M850">
        <f>VLOOKUP(A850,Sheet2!$B$2:$E$186,2,FALSE)</f>
        <v>142</v>
      </c>
      <c r="N850" t="s">
        <v>389</v>
      </c>
      <c r="O850" t="s">
        <v>400</v>
      </c>
      <c r="P850">
        <v>0</v>
      </c>
      <c r="Q850">
        <v>1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</row>
    <row r="851" spans="1:40" x14ac:dyDescent="0.3">
      <c r="A851" t="s">
        <v>306</v>
      </c>
      <c r="B851" s="3">
        <v>2018</v>
      </c>
      <c r="C851" s="3">
        <v>5230210</v>
      </c>
      <c r="D851" s="3">
        <v>38231836</v>
      </c>
      <c r="E851" s="3">
        <v>72.332077026367202</v>
      </c>
      <c r="F851" s="3">
        <v>0.966877460479736</v>
      </c>
      <c r="G851" s="3">
        <v>3.6098964512348203E-2</v>
      </c>
      <c r="H851" s="3">
        <v>3.5062637180089999E-2</v>
      </c>
      <c r="I851" s="3">
        <v>62.668133333333301</v>
      </c>
      <c r="J851" s="3">
        <v>3.3089468479156499</v>
      </c>
      <c r="K851" s="3">
        <v>0.92895096540451105</v>
      </c>
      <c r="L851" s="3">
        <f t="shared" si="13"/>
        <v>4</v>
      </c>
      <c r="M851">
        <f>VLOOKUP(A851,Sheet2!$B$2:$E$186,2,FALSE)</f>
        <v>142</v>
      </c>
      <c r="N851" t="s">
        <v>389</v>
      </c>
      <c r="O851" t="s">
        <v>400</v>
      </c>
      <c r="P851">
        <v>0</v>
      </c>
      <c r="Q851">
        <v>1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</row>
    <row r="852" spans="1:40" x14ac:dyDescent="0.3">
      <c r="A852" t="s">
        <v>306</v>
      </c>
      <c r="B852" s="3">
        <v>2019</v>
      </c>
      <c r="C852" s="3">
        <v>5345176</v>
      </c>
      <c r="D852" s="3">
        <v>38493524</v>
      </c>
      <c r="E852" s="3">
        <v>71.817832946777301</v>
      </c>
      <c r="F852" s="3">
        <v>0.97835260629653897</v>
      </c>
      <c r="G852" s="3">
        <v>3.6934532225132002E-2</v>
      </c>
      <c r="H852" s="3">
        <v>3.5273399204015697E-2</v>
      </c>
      <c r="I852" s="3">
        <v>64.7376583333333</v>
      </c>
      <c r="J852" s="3">
        <v>3.3103075027465798</v>
      </c>
      <c r="K852" s="3">
        <v>0.95743590593338002</v>
      </c>
      <c r="L852" s="3">
        <f t="shared" si="13"/>
        <v>5</v>
      </c>
      <c r="M852">
        <f>VLOOKUP(A852,Sheet2!$B$2:$E$186,2,FALSE)</f>
        <v>142</v>
      </c>
      <c r="N852" t="s">
        <v>389</v>
      </c>
      <c r="O852" t="s">
        <v>400</v>
      </c>
      <c r="P852">
        <v>0</v>
      </c>
      <c r="Q852">
        <v>1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</row>
    <row r="853" spans="1:40" x14ac:dyDescent="0.3">
      <c r="A853" t="s">
        <v>306</v>
      </c>
      <c r="B853" s="3">
        <v>2020</v>
      </c>
      <c r="C853" s="3">
        <v>5203332.5</v>
      </c>
      <c r="D853" s="3">
        <v>38671908</v>
      </c>
      <c r="E853" s="3">
        <v>70.556625366210895</v>
      </c>
      <c r="F853" s="3">
        <v>0.989687919616699</v>
      </c>
      <c r="G853" s="3">
        <v>3.10156513005495E-2</v>
      </c>
      <c r="H853" s="3">
        <v>3.5633463412523297E-2</v>
      </c>
      <c r="I853" s="3">
        <v>72.104908333333299</v>
      </c>
      <c r="J853" s="3">
        <v>3.3116691112518302</v>
      </c>
      <c r="K853" s="3">
        <v>0.94620007276535001</v>
      </c>
      <c r="L853" s="3">
        <f t="shared" si="13"/>
        <v>6</v>
      </c>
      <c r="M853">
        <f>VLOOKUP(A853,Sheet2!$B$2:$E$186,2,FALSE)</f>
        <v>142</v>
      </c>
      <c r="N853" t="s">
        <v>389</v>
      </c>
      <c r="O853" t="s">
        <v>400</v>
      </c>
      <c r="P853">
        <v>0</v>
      </c>
      <c r="Q853">
        <v>1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</row>
    <row r="854" spans="1:40" x14ac:dyDescent="0.3">
      <c r="A854" t="s">
        <v>308</v>
      </c>
      <c r="B854" s="3">
        <v>2015</v>
      </c>
      <c r="C854" s="3">
        <v>26525.716796875</v>
      </c>
      <c r="D854" s="3">
        <v>42837.8671875</v>
      </c>
      <c r="E854" s="3">
        <v>4.45711469650269</v>
      </c>
      <c r="F854" s="3">
        <v>0.53545665740966797</v>
      </c>
      <c r="G854" s="3">
        <v>8.6303316056728405E-2</v>
      </c>
      <c r="H854" s="3">
        <v>4.4271439313888598E-2</v>
      </c>
      <c r="I854" s="3">
        <v>719.85955550000006</v>
      </c>
      <c r="J854" s="3">
        <v>1.6992437839508101</v>
      </c>
      <c r="K854" s="3">
        <v>0.98240637779235795</v>
      </c>
      <c r="L854" s="3">
        <f t="shared" si="13"/>
        <v>1</v>
      </c>
      <c r="M854">
        <f>VLOOKUP(A854,Sheet2!$B$2:$E$186,2,FALSE)</f>
        <v>143</v>
      </c>
      <c r="N854" t="s">
        <v>387</v>
      </c>
      <c r="O854" t="s">
        <v>397</v>
      </c>
      <c r="P854">
        <v>0</v>
      </c>
      <c r="Q854">
        <v>0</v>
      </c>
      <c r="R854">
        <v>0</v>
      </c>
      <c r="S854">
        <v>1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1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</row>
    <row r="855" spans="1:40" x14ac:dyDescent="0.3">
      <c r="A855" t="s">
        <v>308</v>
      </c>
      <c r="B855" s="3">
        <v>2016</v>
      </c>
      <c r="C855" s="3">
        <v>28109.73828125</v>
      </c>
      <c r="D855" s="3">
        <v>48084.76171875</v>
      </c>
      <c r="E855" s="3">
        <v>4.6917538642883301</v>
      </c>
      <c r="F855" s="3">
        <v>0.60351270437240601</v>
      </c>
      <c r="G855" s="3">
        <v>7.0415496826171903E-2</v>
      </c>
      <c r="H855" s="3">
        <v>4.3607205152511597E-2</v>
      </c>
      <c r="I855" s="3">
        <v>787.25152175000005</v>
      </c>
      <c r="J855" s="3">
        <v>1.7147287130355799</v>
      </c>
      <c r="K855" s="3">
        <v>0.95531427860259999</v>
      </c>
      <c r="L855" s="3">
        <f t="shared" si="13"/>
        <v>2</v>
      </c>
      <c r="M855">
        <f>VLOOKUP(A855,Sheet2!$B$2:$E$186,2,FALSE)</f>
        <v>143</v>
      </c>
      <c r="N855" t="s">
        <v>387</v>
      </c>
      <c r="O855" t="s">
        <v>397</v>
      </c>
      <c r="P855">
        <v>0</v>
      </c>
      <c r="Q855">
        <v>0</v>
      </c>
      <c r="R855">
        <v>0</v>
      </c>
      <c r="S855">
        <v>1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1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</row>
    <row r="856" spans="1:40" x14ac:dyDescent="0.3">
      <c r="A856" t="s">
        <v>308</v>
      </c>
      <c r="B856" s="3">
        <v>2017</v>
      </c>
      <c r="C856" s="3">
        <v>29226.52734375</v>
      </c>
      <c r="D856" s="3">
        <v>52347.19140625</v>
      </c>
      <c r="E856" s="3">
        <v>4.8983588218689</v>
      </c>
      <c r="F856" s="3">
        <v>0.66434127092361495</v>
      </c>
      <c r="G856" s="3">
        <v>6.9675453007221194E-2</v>
      </c>
      <c r="H856" s="3">
        <v>4.3897341936826699E-2</v>
      </c>
      <c r="I856" s="3">
        <v>831.55433975000005</v>
      </c>
      <c r="J856" s="3">
        <v>1.7278778553009</v>
      </c>
      <c r="K856" s="3">
        <v>0.88498133420944203</v>
      </c>
      <c r="L856" s="3">
        <f t="shared" si="13"/>
        <v>3</v>
      </c>
      <c r="M856">
        <f>VLOOKUP(A856,Sheet2!$B$2:$E$186,2,FALSE)</f>
        <v>143</v>
      </c>
      <c r="N856" t="s">
        <v>387</v>
      </c>
      <c r="O856" t="s">
        <v>397</v>
      </c>
      <c r="P856">
        <v>0</v>
      </c>
      <c r="Q856">
        <v>0</v>
      </c>
      <c r="R856">
        <v>0</v>
      </c>
      <c r="S856">
        <v>1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1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</row>
    <row r="857" spans="1:40" x14ac:dyDescent="0.3">
      <c r="A857" t="s">
        <v>308</v>
      </c>
      <c r="B857" s="3">
        <v>2018</v>
      </c>
      <c r="C857" s="3">
        <v>31718.41796875</v>
      </c>
      <c r="D857" s="3">
        <v>56786.97265625</v>
      </c>
      <c r="E857" s="3">
        <v>5.1615223884582502</v>
      </c>
      <c r="F857" s="3">
        <v>0.72617751359939597</v>
      </c>
      <c r="G857" s="3">
        <v>6.7330002784729004E-2</v>
      </c>
      <c r="H857" s="3">
        <v>4.46129254996777E-2</v>
      </c>
      <c r="I857" s="3">
        <v>861.09341216666701</v>
      </c>
      <c r="J857" s="3">
        <v>1.74112772941589</v>
      </c>
      <c r="K857" s="3">
        <v>0.86882001161575295</v>
      </c>
      <c r="L857" s="3">
        <f t="shared" si="13"/>
        <v>4</v>
      </c>
      <c r="M857">
        <f>VLOOKUP(A857,Sheet2!$B$2:$E$186,2,FALSE)</f>
        <v>143</v>
      </c>
      <c r="N857" t="s">
        <v>387</v>
      </c>
      <c r="O857" t="s">
        <v>397</v>
      </c>
      <c r="P857">
        <v>0</v>
      </c>
      <c r="Q857">
        <v>0</v>
      </c>
      <c r="R857">
        <v>0</v>
      </c>
      <c r="S857">
        <v>1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1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</row>
    <row r="858" spans="1:40" x14ac:dyDescent="0.3">
      <c r="A858" t="s">
        <v>308</v>
      </c>
      <c r="B858" s="3">
        <v>2019</v>
      </c>
      <c r="C858" s="3">
        <v>34711.73046875</v>
      </c>
      <c r="D858" s="3">
        <v>63146.12890625</v>
      </c>
      <c r="E858" s="3">
        <v>5.1580052375793501</v>
      </c>
      <c r="F858" s="3">
        <v>0.82603961229324296</v>
      </c>
      <c r="G858" s="3">
        <v>6.8791806697845501E-2</v>
      </c>
      <c r="H858" s="3">
        <v>4.6182837337255499E-2</v>
      </c>
      <c r="I858" s="3">
        <v>899.35050899999999</v>
      </c>
      <c r="J858" s="3">
        <v>1.78833651542664</v>
      </c>
      <c r="K858" s="3">
        <v>0.924460589885712</v>
      </c>
      <c r="L858" s="3">
        <f t="shared" si="13"/>
        <v>5</v>
      </c>
      <c r="M858">
        <f>VLOOKUP(A858,Sheet2!$B$2:$E$186,2,FALSE)</f>
        <v>143</v>
      </c>
      <c r="N858" t="s">
        <v>387</v>
      </c>
      <c r="O858" t="s">
        <v>397</v>
      </c>
      <c r="P858">
        <v>0</v>
      </c>
      <c r="Q858">
        <v>0</v>
      </c>
      <c r="R858">
        <v>0</v>
      </c>
      <c r="S858">
        <v>1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1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</row>
    <row r="859" spans="1:40" x14ac:dyDescent="0.3">
      <c r="A859" t="s">
        <v>308</v>
      </c>
      <c r="B859" s="3">
        <v>2020</v>
      </c>
      <c r="C859" s="3">
        <v>33541.75390625</v>
      </c>
      <c r="D859" s="3">
        <v>68673.3984375</v>
      </c>
      <c r="E859" s="3">
        <v>5.6925582885742196</v>
      </c>
      <c r="F859" s="3">
        <v>0.90155673027038596</v>
      </c>
      <c r="G859" s="3">
        <v>6.2355451285839102E-2</v>
      </c>
      <c r="H859" s="3">
        <v>4.7548022121190997E-2</v>
      </c>
      <c r="I859" s="3">
        <v>943.27804816666696</v>
      </c>
      <c r="J859" s="3">
        <v>1.83682525157928</v>
      </c>
      <c r="K859" s="3">
        <v>0.83057421445846602</v>
      </c>
      <c r="L859" s="3">
        <f t="shared" si="13"/>
        <v>6</v>
      </c>
      <c r="M859">
        <f>VLOOKUP(A859,Sheet2!$B$2:$E$186,2,FALSE)</f>
        <v>143</v>
      </c>
      <c r="N859" t="s">
        <v>387</v>
      </c>
      <c r="O859" t="s">
        <v>397</v>
      </c>
      <c r="P859">
        <v>0</v>
      </c>
      <c r="Q859">
        <v>0</v>
      </c>
      <c r="R859">
        <v>0</v>
      </c>
      <c r="S859">
        <v>1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1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</row>
    <row r="860" spans="1:40" x14ac:dyDescent="0.3">
      <c r="A860" t="s">
        <v>310</v>
      </c>
      <c r="B860" s="3">
        <v>2015</v>
      </c>
      <c r="C860" s="3">
        <v>1723534.625</v>
      </c>
      <c r="D860" s="3">
        <v>6039331.5</v>
      </c>
      <c r="E860" s="3">
        <v>11.0777540206909</v>
      </c>
      <c r="F860" s="3">
        <v>0.76529341936111495</v>
      </c>
      <c r="G860" s="3">
        <v>0.11306438595056501</v>
      </c>
      <c r="H860" s="3">
        <v>5.9539131820201902E-2</v>
      </c>
      <c r="I860" s="3">
        <v>3.75</v>
      </c>
      <c r="J860" s="3">
        <v>2.6756613254547101</v>
      </c>
      <c r="K860" s="3">
        <v>1.3189934492111199</v>
      </c>
      <c r="L860" s="3">
        <f t="shared" si="13"/>
        <v>1</v>
      </c>
      <c r="M860">
        <f>VLOOKUP(A860,Sheet2!$B$2:$E$186,2,FALSE)</f>
        <v>144</v>
      </c>
      <c r="N860" t="s">
        <v>391</v>
      </c>
      <c r="O860" t="s">
        <v>392</v>
      </c>
      <c r="P860">
        <v>0</v>
      </c>
      <c r="Q860">
        <v>0</v>
      </c>
      <c r="R860">
        <v>1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1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</row>
    <row r="861" spans="1:40" x14ac:dyDescent="0.3">
      <c r="A861" t="s">
        <v>310</v>
      </c>
      <c r="B861" s="3">
        <v>2016</v>
      </c>
      <c r="C861" s="3">
        <v>1756014.625</v>
      </c>
      <c r="D861" s="3">
        <v>6353098</v>
      </c>
      <c r="E861" s="3">
        <v>11.7519083023071</v>
      </c>
      <c r="F861" s="3">
        <v>0.80863499641418501</v>
      </c>
      <c r="G861" s="3">
        <v>0.115607261657715</v>
      </c>
      <c r="H861" s="3">
        <v>5.9803217649459797E-2</v>
      </c>
      <c r="I861" s="3">
        <v>3.75</v>
      </c>
      <c r="J861" s="3">
        <v>2.6979200839996298</v>
      </c>
      <c r="K861" s="3">
        <v>1.1477690935134901</v>
      </c>
      <c r="L861" s="3">
        <f t="shared" si="13"/>
        <v>2</v>
      </c>
      <c r="M861">
        <f>VLOOKUP(A861,Sheet2!$B$2:$E$186,2,FALSE)</f>
        <v>144</v>
      </c>
      <c r="N861" t="s">
        <v>391</v>
      </c>
      <c r="O861" t="s">
        <v>392</v>
      </c>
      <c r="P861">
        <v>0</v>
      </c>
      <c r="Q861">
        <v>0</v>
      </c>
      <c r="R861">
        <v>1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1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</row>
    <row r="862" spans="1:40" x14ac:dyDescent="0.3">
      <c r="A862" t="s">
        <v>310</v>
      </c>
      <c r="B862" s="3">
        <v>2017</v>
      </c>
      <c r="C862" s="3">
        <v>1772012.75</v>
      </c>
      <c r="D862" s="3">
        <v>6653178.5</v>
      </c>
      <c r="E862" s="3">
        <v>11.6777791976929</v>
      </c>
      <c r="F862" s="3">
        <v>0.84848356246948198</v>
      </c>
      <c r="G862" s="3">
        <v>0.13215771317482</v>
      </c>
      <c r="H862" s="3">
        <v>5.9769958257675199E-2</v>
      </c>
      <c r="I862" s="3">
        <v>3.75</v>
      </c>
      <c r="J862" s="3">
        <v>2.7203636169433598</v>
      </c>
      <c r="K862" s="3">
        <v>1.12858366966248</v>
      </c>
      <c r="L862" s="3">
        <f t="shared" si="13"/>
        <v>3</v>
      </c>
      <c r="M862">
        <f>VLOOKUP(A862,Sheet2!$B$2:$E$186,2,FALSE)</f>
        <v>144</v>
      </c>
      <c r="N862" t="s">
        <v>391</v>
      </c>
      <c r="O862" t="s">
        <v>392</v>
      </c>
      <c r="P862">
        <v>0</v>
      </c>
      <c r="Q862">
        <v>0</v>
      </c>
      <c r="R862">
        <v>1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</row>
    <row r="863" spans="1:40" x14ac:dyDescent="0.3">
      <c r="A863" t="s">
        <v>310</v>
      </c>
      <c r="B863" s="3">
        <v>2018</v>
      </c>
      <c r="C863" s="3">
        <v>1828703.375</v>
      </c>
      <c r="D863" s="3">
        <v>6947060</v>
      </c>
      <c r="E863" s="3">
        <v>11.7068681716919</v>
      </c>
      <c r="F863" s="3">
        <v>0.88787227869033802</v>
      </c>
      <c r="G863" s="3">
        <v>0.16854602098464999</v>
      </c>
      <c r="H863" s="3">
        <v>5.9809748083353001E-2</v>
      </c>
      <c r="I863" s="3">
        <v>3.75</v>
      </c>
      <c r="J863" s="3">
        <v>2.7794852256774898</v>
      </c>
      <c r="K863" s="3">
        <v>1.09199166297913</v>
      </c>
      <c r="L863" s="3">
        <f t="shared" si="13"/>
        <v>4</v>
      </c>
      <c r="M863">
        <f>VLOOKUP(A863,Sheet2!$B$2:$E$186,2,FALSE)</f>
        <v>144</v>
      </c>
      <c r="N863" t="s">
        <v>391</v>
      </c>
      <c r="O863" t="s">
        <v>392</v>
      </c>
      <c r="P863">
        <v>0</v>
      </c>
      <c r="Q863">
        <v>0</v>
      </c>
      <c r="R863">
        <v>1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1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</row>
    <row r="864" spans="1:40" x14ac:dyDescent="0.3">
      <c r="A864" t="s">
        <v>310</v>
      </c>
      <c r="B864" s="3">
        <v>2019</v>
      </c>
      <c r="C864" s="3">
        <v>1848777.625</v>
      </c>
      <c r="D864" s="3">
        <v>7258971.5</v>
      </c>
      <c r="E864" s="3">
        <v>12.174862861633301</v>
      </c>
      <c r="F864" s="3">
        <v>0.93305945396423295</v>
      </c>
      <c r="G864" s="3">
        <v>0.163205280900002</v>
      </c>
      <c r="H864" s="3">
        <v>6.0431692749261898E-2</v>
      </c>
      <c r="I864" s="3">
        <v>3.75</v>
      </c>
      <c r="J864" s="3">
        <v>2.8398914337158199</v>
      </c>
      <c r="K864" s="3">
        <v>1.11022305488586</v>
      </c>
      <c r="L864" s="3">
        <f t="shared" si="13"/>
        <v>5</v>
      </c>
      <c r="M864">
        <f>VLOOKUP(A864,Sheet2!$B$2:$E$186,2,FALSE)</f>
        <v>144</v>
      </c>
      <c r="N864" t="s">
        <v>391</v>
      </c>
      <c r="O864" t="s">
        <v>392</v>
      </c>
      <c r="P864">
        <v>0</v>
      </c>
      <c r="Q864">
        <v>0</v>
      </c>
      <c r="R864">
        <v>1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1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</row>
    <row r="865" spans="1:40" x14ac:dyDescent="0.3">
      <c r="A865" t="s">
        <v>310</v>
      </c>
      <c r="B865" s="3">
        <v>2020</v>
      </c>
      <c r="C865" s="3">
        <v>1782563</v>
      </c>
      <c r="D865" s="3">
        <v>7482463</v>
      </c>
      <c r="E865" s="3">
        <v>12.452557563781699</v>
      </c>
      <c r="F865" s="3">
        <v>0.96203261613845803</v>
      </c>
      <c r="G865" s="3">
        <v>0.13094569742679599</v>
      </c>
      <c r="H865" s="3">
        <v>6.0846365988254603E-2</v>
      </c>
      <c r="I865" s="3">
        <v>3.75</v>
      </c>
      <c r="J865" s="3">
        <v>2.90161061286926</v>
      </c>
      <c r="K865" s="3">
        <v>1.0214039087295499</v>
      </c>
      <c r="L865" s="3">
        <f t="shared" si="13"/>
        <v>6</v>
      </c>
      <c r="M865">
        <f>VLOOKUP(A865,Sheet2!$B$2:$E$186,2,FALSE)</f>
        <v>144</v>
      </c>
      <c r="N865" t="s">
        <v>391</v>
      </c>
      <c r="O865" t="s">
        <v>392</v>
      </c>
      <c r="P865">
        <v>0</v>
      </c>
      <c r="Q865">
        <v>0</v>
      </c>
      <c r="R865">
        <v>1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1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</row>
    <row r="866" spans="1:40" x14ac:dyDescent="0.3">
      <c r="A866" t="s">
        <v>312</v>
      </c>
      <c r="B866" s="3">
        <v>2015</v>
      </c>
      <c r="C866" s="3">
        <v>139543.15625</v>
      </c>
      <c r="D866" s="3">
        <v>357213.0625</v>
      </c>
      <c r="E866" s="3">
        <v>9.0532493591308594</v>
      </c>
      <c r="F866" s="3">
        <v>0.94497203826904297</v>
      </c>
      <c r="G866" s="3">
        <v>0.14372627437114699</v>
      </c>
      <c r="H866" s="3">
        <v>4.88576404750347E-2</v>
      </c>
      <c r="I866" s="3">
        <v>6.0257325979166696</v>
      </c>
      <c r="J866" s="3">
        <v>1.5707044601440401</v>
      </c>
      <c r="K866" s="3">
        <v>1.0476016998291</v>
      </c>
      <c r="L866" s="3">
        <f t="shared" si="13"/>
        <v>1</v>
      </c>
      <c r="M866">
        <f>VLOOKUP(A866,Sheet2!$B$2:$E$186,2,FALSE)</f>
        <v>145</v>
      </c>
      <c r="N866" t="s">
        <v>387</v>
      </c>
      <c r="O866" t="s">
        <v>407</v>
      </c>
      <c r="P866">
        <v>0</v>
      </c>
      <c r="Q866">
        <v>0</v>
      </c>
      <c r="R866">
        <v>0</v>
      </c>
      <c r="S866">
        <v>1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1</v>
      </c>
      <c r="AM866">
        <v>0</v>
      </c>
      <c r="AN866">
        <v>0</v>
      </c>
    </row>
    <row r="867" spans="1:40" x14ac:dyDescent="0.3">
      <c r="A867" t="s">
        <v>312</v>
      </c>
      <c r="B867" s="3">
        <v>2016</v>
      </c>
      <c r="C867" s="3">
        <v>144531.796875</v>
      </c>
      <c r="D867" s="3">
        <v>366760.40625</v>
      </c>
      <c r="E867" s="3">
        <v>9.2609281539916992</v>
      </c>
      <c r="F867" s="3">
        <v>0.962574303150177</v>
      </c>
      <c r="G867" s="3">
        <v>0.21648909151554099</v>
      </c>
      <c r="H867" s="3">
        <v>4.8013523221015902E-2</v>
      </c>
      <c r="I867" s="3">
        <v>6.2117136458333304</v>
      </c>
      <c r="J867" s="3">
        <v>1.5808751583099401</v>
      </c>
      <c r="K867" s="3">
        <v>1.0869340896606401</v>
      </c>
      <c r="L867" s="3">
        <f t="shared" si="13"/>
        <v>2</v>
      </c>
      <c r="M867">
        <f>VLOOKUP(A867,Sheet2!$B$2:$E$186,2,FALSE)</f>
        <v>145</v>
      </c>
      <c r="N867" t="s">
        <v>387</v>
      </c>
      <c r="O867" t="s">
        <v>407</v>
      </c>
      <c r="P867">
        <v>0</v>
      </c>
      <c r="Q867">
        <v>0</v>
      </c>
      <c r="R867">
        <v>0</v>
      </c>
      <c r="S867">
        <v>1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1</v>
      </c>
      <c r="AM867">
        <v>0</v>
      </c>
      <c r="AN867">
        <v>0</v>
      </c>
    </row>
    <row r="868" spans="1:40" x14ac:dyDescent="0.3">
      <c r="A868" t="s">
        <v>312</v>
      </c>
      <c r="B868" s="3">
        <v>2017</v>
      </c>
      <c r="C868" s="3">
        <v>151287.34375</v>
      </c>
      <c r="D868" s="3">
        <v>371834.78125</v>
      </c>
      <c r="E868" s="3">
        <v>9.5476760864257795</v>
      </c>
      <c r="F868" s="3">
        <v>0.96290552616119396</v>
      </c>
      <c r="G868" s="3">
        <v>0.13454195857048001</v>
      </c>
      <c r="H868" s="3">
        <v>4.6213299036026001E-2</v>
      </c>
      <c r="I868" s="3">
        <v>6.6833600000000004</v>
      </c>
      <c r="J868" s="3">
        <v>1.5911116600036601</v>
      </c>
      <c r="K868" s="3">
        <v>1.09958159923553</v>
      </c>
      <c r="L868" s="3">
        <f t="shared" si="13"/>
        <v>3</v>
      </c>
      <c r="M868">
        <f>VLOOKUP(A868,Sheet2!$B$2:$E$186,2,FALSE)</f>
        <v>145</v>
      </c>
      <c r="N868" t="s">
        <v>387</v>
      </c>
      <c r="O868" t="s">
        <v>407</v>
      </c>
      <c r="P868">
        <v>0</v>
      </c>
      <c r="Q868">
        <v>0</v>
      </c>
      <c r="R868">
        <v>0</v>
      </c>
      <c r="S868">
        <v>1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1</v>
      </c>
      <c r="AM868">
        <v>0</v>
      </c>
      <c r="AN868">
        <v>0</v>
      </c>
    </row>
    <row r="869" spans="1:40" x14ac:dyDescent="0.3">
      <c r="A869" t="s">
        <v>312</v>
      </c>
      <c r="B869" s="3">
        <v>2018</v>
      </c>
      <c r="C869" s="3">
        <v>155549.78125</v>
      </c>
      <c r="D869" s="3">
        <v>436737.40625</v>
      </c>
      <c r="E869" s="3">
        <v>9.8526706695556605</v>
      </c>
      <c r="F869" s="3">
        <v>1.1201912164688099</v>
      </c>
      <c r="G869" s="3">
        <v>7.9202152788639096E-2</v>
      </c>
      <c r="H869" s="3">
        <v>4.4985536485910402E-2</v>
      </c>
      <c r="I869" s="3">
        <v>24.3289109018116</v>
      </c>
      <c r="J869" s="3">
        <v>1.6014145612716699</v>
      </c>
      <c r="K869" s="3">
        <v>1.03198194503784</v>
      </c>
      <c r="L869" s="3">
        <f t="shared" si="13"/>
        <v>4</v>
      </c>
      <c r="M869">
        <f>VLOOKUP(A869,Sheet2!$B$2:$E$186,2,FALSE)</f>
        <v>145</v>
      </c>
      <c r="N869" t="s">
        <v>387</v>
      </c>
      <c r="O869" t="s">
        <v>407</v>
      </c>
      <c r="P869">
        <v>0</v>
      </c>
      <c r="Q869">
        <v>0</v>
      </c>
      <c r="R869">
        <v>0</v>
      </c>
      <c r="S869">
        <v>1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1</v>
      </c>
      <c r="AM869">
        <v>0</v>
      </c>
      <c r="AN869">
        <v>0</v>
      </c>
    </row>
    <row r="870" spans="1:40" x14ac:dyDescent="0.3">
      <c r="A870" t="s">
        <v>312</v>
      </c>
      <c r="B870" s="3">
        <v>2019</v>
      </c>
      <c r="C870" s="3">
        <v>157530.28125</v>
      </c>
      <c r="D870" s="3">
        <v>386448.46875</v>
      </c>
      <c r="E870" s="3">
        <v>10.0532579421997</v>
      </c>
      <c r="F870" s="3">
        <v>0.97948062419891402</v>
      </c>
      <c r="G870" s="3">
        <v>0.10959400981664701</v>
      </c>
      <c r="H870" s="3">
        <v>4.39641363918781E-2</v>
      </c>
      <c r="I870" s="3">
        <v>45.767045454545503</v>
      </c>
      <c r="J870" s="3">
        <v>1.61178410053253</v>
      </c>
      <c r="K870" s="3">
        <v>1.07379055023193</v>
      </c>
      <c r="L870" s="3">
        <f t="shared" si="13"/>
        <v>5</v>
      </c>
      <c r="M870">
        <f>VLOOKUP(A870,Sheet2!$B$2:$E$186,2,FALSE)</f>
        <v>145</v>
      </c>
      <c r="N870" t="s">
        <v>387</v>
      </c>
      <c r="O870" t="s">
        <v>407</v>
      </c>
      <c r="P870">
        <v>0</v>
      </c>
      <c r="Q870">
        <v>0</v>
      </c>
      <c r="R870">
        <v>0</v>
      </c>
      <c r="S870">
        <v>1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1</v>
      </c>
      <c r="AM870">
        <v>0</v>
      </c>
      <c r="AN870">
        <v>0</v>
      </c>
    </row>
    <row r="871" spans="1:40" x14ac:dyDescent="0.3">
      <c r="A871" t="s">
        <v>312</v>
      </c>
      <c r="B871" s="3">
        <v>2020</v>
      </c>
      <c r="C871" s="3">
        <v>151812.234375</v>
      </c>
      <c r="D871" s="3">
        <v>393709.34375</v>
      </c>
      <c r="E871" s="3">
        <v>10.0112771987915</v>
      </c>
      <c r="F871" s="3">
        <v>0.98983156681060802</v>
      </c>
      <c r="G871" s="3">
        <v>9.7104549407958998E-2</v>
      </c>
      <c r="H871" s="3">
        <v>4.2837355285882998E-2</v>
      </c>
      <c r="I871" s="3">
        <v>75.447389596092407</v>
      </c>
      <c r="J871" s="3">
        <v>1.62222075462341</v>
      </c>
      <c r="K871" s="3">
        <v>1.0499795675277701</v>
      </c>
      <c r="L871" s="3">
        <f t="shared" si="13"/>
        <v>6</v>
      </c>
      <c r="M871">
        <f>VLOOKUP(A871,Sheet2!$B$2:$E$186,2,FALSE)</f>
        <v>145</v>
      </c>
      <c r="N871" t="s">
        <v>387</v>
      </c>
      <c r="O871" t="s">
        <v>407</v>
      </c>
      <c r="P871">
        <v>0</v>
      </c>
      <c r="Q871">
        <v>0</v>
      </c>
      <c r="R871">
        <v>0</v>
      </c>
      <c r="S871">
        <v>1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1</v>
      </c>
      <c r="AM871">
        <v>0</v>
      </c>
      <c r="AN871">
        <v>0</v>
      </c>
    </row>
    <row r="872" spans="1:40" x14ac:dyDescent="0.3">
      <c r="A872" t="s">
        <v>314</v>
      </c>
      <c r="B872" s="3">
        <v>2015</v>
      </c>
      <c r="C872" s="3">
        <v>49994.8203125</v>
      </c>
      <c r="D872" s="3">
        <v>148918.140625</v>
      </c>
      <c r="E872" s="3">
        <v>5.3643703460693404</v>
      </c>
      <c r="F872" s="3">
        <v>0.56800734996795699</v>
      </c>
      <c r="G872" s="3">
        <v>0.18030779063701599</v>
      </c>
      <c r="H872" s="3">
        <v>4.56878393888474E-2</v>
      </c>
      <c r="I872" s="3">
        <v>591.21169798260996</v>
      </c>
      <c r="J872" s="3">
        <v>1.5425120592117301</v>
      </c>
      <c r="K872" s="3">
        <v>1.1730264425277701</v>
      </c>
      <c r="L872" s="3">
        <f t="shared" si="13"/>
        <v>1</v>
      </c>
      <c r="M872">
        <f>VLOOKUP(A872,Sheet2!$B$2:$E$186,2,FALSE)</f>
        <v>146</v>
      </c>
      <c r="N872" t="s">
        <v>387</v>
      </c>
      <c r="O872" t="s">
        <v>398</v>
      </c>
      <c r="P872">
        <v>0</v>
      </c>
      <c r="Q872">
        <v>0</v>
      </c>
      <c r="R872">
        <v>0</v>
      </c>
      <c r="S872">
        <v>1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1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</row>
    <row r="873" spans="1:40" x14ac:dyDescent="0.3">
      <c r="A873" t="s">
        <v>314</v>
      </c>
      <c r="B873" s="3">
        <v>2016</v>
      </c>
      <c r="C873" s="3">
        <v>53172.69140625</v>
      </c>
      <c r="D873" s="3">
        <v>160527.625</v>
      </c>
      <c r="E873" s="3">
        <v>5.5552687644958496</v>
      </c>
      <c r="F873" s="3">
        <v>0.61396563053131104</v>
      </c>
      <c r="G873" s="3">
        <v>0.19125464558601399</v>
      </c>
      <c r="H873" s="3">
        <v>4.59922887384892E-2</v>
      </c>
      <c r="I873" s="3">
        <v>592.60561506302201</v>
      </c>
      <c r="J873" s="3">
        <v>1.56093537807465</v>
      </c>
      <c r="K873" s="3">
        <v>1.13781750202179</v>
      </c>
      <c r="L873" s="3">
        <f t="shared" si="13"/>
        <v>2</v>
      </c>
      <c r="M873">
        <f>VLOOKUP(A873,Sheet2!$B$2:$E$186,2,FALSE)</f>
        <v>146</v>
      </c>
      <c r="N873" t="s">
        <v>387</v>
      </c>
      <c r="O873" t="s">
        <v>398</v>
      </c>
      <c r="P873">
        <v>0</v>
      </c>
      <c r="Q873">
        <v>0</v>
      </c>
      <c r="R873">
        <v>0</v>
      </c>
      <c r="S873">
        <v>1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</row>
    <row r="874" spans="1:40" x14ac:dyDescent="0.3">
      <c r="A874" t="s">
        <v>314</v>
      </c>
      <c r="B874" s="3">
        <v>2017</v>
      </c>
      <c r="C874" s="3">
        <v>57111.24609375</v>
      </c>
      <c r="D874" s="3">
        <v>174431.21875</v>
      </c>
      <c r="E874" s="3">
        <v>5.7697772979736301</v>
      </c>
      <c r="F874" s="3">
        <v>0.67098987102508501</v>
      </c>
      <c r="G874" s="3">
        <v>0.18117076158523601</v>
      </c>
      <c r="H874" s="3">
        <v>4.6543650329113E-2</v>
      </c>
      <c r="I874" s="3">
        <v>580.65674958785803</v>
      </c>
      <c r="J874" s="3">
        <v>1.57957863807678</v>
      </c>
      <c r="K874" s="3">
        <v>1.1116919517517101</v>
      </c>
      <c r="L874" s="3">
        <f t="shared" si="13"/>
        <v>3</v>
      </c>
      <c r="M874">
        <f>VLOOKUP(A874,Sheet2!$B$2:$E$186,2,FALSE)</f>
        <v>146</v>
      </c>
      <c r="N874" t="s">
        <v>387</v>
      </c>
      <c r="O874" t="s">
        <v>398</v>
      </c>
      <c r="P874">
        <v>0</v>
      </c>
      <c r="Q874">
        <v>0</v>
      </c>
      <c r="R874">
        <v>0</v>
      </c>
      <c r="S874">
        <v>1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1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</row>
    <row r="875" spans="1:40" x14ac:dyDescent="0.3">
      <c r="A875" t="s">
        <v>314</v>
      </c>
      <c r="B875" s="3">
        <v>2018</v>
      </c>
      <c r="C875" s="3">
        <v>60657.5703125</v>
      </c>
      <c r="D875" s="3">
        <v>190553.140625</v>
      </c>
      <c r="E875" s="3">
        <v>6.0239968299865696</v>
      </c>
      <c r="F875" s="3">
        <v>0.73801636695861805</v>
      </c>
      <c r="G875" s="3">
        <v>0.17029337584972401</v>
      </c>
      <c r="H875" s="3">
        <v>4.7421947121620199E-2</v>
      </c>
      <c r="I875" s="3">
        <v>555.44645839822601</v>
      </c>
      <c r="J875" s="3">
        <v>1.59844470024109</v>
      </c>
      <c r="K875" s="3">
        <v>1.08905041217804</v>
      </c>
      <c r="L875" s="3">
        <f t="shared" si="13"/>
        <v>4</v>
      </c>
      <c r="M875">
        <f>VLOOKUP(A875,Sheet2!$B$2:$E$186,2,FALSE)</f>
        <v>146</v>
      </c>
      <c r="N875" t="s">
        <v>387</v>
      </c>
      <c r="O875" t="s">
        <v>398</v>
      </c>
      <c r="P875">
        <v>0</v>
      </c>
      <c r="Q875">
        <v>0</v>
      </c>
      <c r="R875">
        <v>0</v>
      </c>
      <c r="S875">
        <v>1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1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</row>
    <row r="876" spans="1:40" x14ac:dyDescent="0.3">
      <c r="A876" t="s">
        <v>314</v>
      </c>
      <c r="B876" s="3">
        <v>2019</v>
      </c>
      <c r="C876" s="3">
        <v>63456.08203125</v>
      </c>
      <c r="D876" s="3">
        <v>208204.984375</v>
      </c>
      <c r="E876" s="3">
        <v>6.7341961860656703</v>
      </c>
      <c r="F876" s="3">
        <v>0.81343680620193504</v>
      </c>
      <c r="G876" s="3">
        <v>0.15774638950824699</v>
      </c>
      <c r="H876" s="3">
        <v>4.8728622496128103E-2</v>
      </c>
      <c r="I876" s="3">
        <v>585.91101318036897</v>
      </c>
      <c r="J876" s="3">
        <v>1.61753606796265</v>
      </c>
      <c r="K876" s="3">
        <v>0.99958056211471602</v>
      </c>
      <c r="L876" s="3">
        <f t="shared" si="13"/>
        <v>5</v>
      </c>
      <c r="M876">
        <f>VLOOKUP(A876,Sheet2!$B$2:$E$186,2,FALSE)</f>
        <v>146</v>
      </c>
      <c r="N876" t="s">
        <v>387</v>
      </c>
      <c r="O876" t="s">
        <v>398</v>
      </c>
      <c r="P876">
        <v>0</v>
      </c>
      <c r="Q876">
        <v>0</v>
      </c>
      <c r="R876">
        <v>0</v>
      </c>
      <c r="S876">
        <v>1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1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</row>
    <row r="877" spans="1:40" x14ac:dyDescent="0.3">
      <c r="A877" t="s">
        <v>314</v>
      </c>
      <c r="B877" s="3">
        <v>2020</v>
      </c>
      <c r="C877" s="3">
        <v>64307.70703125</v>
      </c>
      <c r="D877" s="3">
        <v>226497.125</v>
      </c>
      <c r="E877" s="3">
        <v>6.8936624526977504</v>
      </c>
      <c r="F877" s="3">
        <v>0.89801067113876298</v>
      </c>
      <c r="G877" s="3">
        <v>0.141480833292007</v>
      </c>
      <c r="H877" s="3">
        <v>5.0827361643314403E-2</v>
      </c>
      <c r="I877" s="3">
        <v>575.58600451094503</v>
      </c>
      <c r="J877" s="3">
        <v>1.6368553638458301</v>
      </c>
      <c r="K877" s="3">
        <v>1.0145570039749101</v>
      </c>
      <c r="L877" s="3">
        <f t="shared" si="13"/>
        <v>6</v>
      </c>
      <c r="M877">
        <f>VLOOKUP(A877,Sheet2!$B$2:$E$186,2,FALSE)</f>
        <v>146</v>
      </c>
      <c r="N877" t="s">
        <v>387</v>
      </c>
      <c r="O877" t="s">
        <v>398</v>
      </c>
      <c r="P877">
        <v>0</v>
      </c>
      <c r="Q877">
        <v>0</v>
      </c>
      <c r="R877">
        <v>0</v>
      </c>
      <c r="S877">
        <v>1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1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</row>
    <row r="878" spans="1:40" x14ac:dyDescent="0.3">
      <c r="A878" t="s">
        <v>315</v>
      </c>
      <c r="B878" s="3">
        <v>2015</v>
      </c>
      <c r="C878" s="3">
        <v>485530.59375</v>
      </c>
      <c r="D878" s="3">
        <v>1954235.375</v>
      </c>
      <c r="E878" s="3">
        <v>3.6554901599884002</v>
      </c>
      <c r="F878" s="3">
        <v>0.78405058383941695</v>
      </c>
      <c r="G878" s="3">
        <v>0.16483950614929199</v>
      </c>
      <c r="H878" s="3">
        <v>5.3550731390714597E-2</v>
      </c>
      <c r="I878" s="3">
        <v>1.374825</v>
      </c>
      <c r="J878" s="3">
        <v>3.1485192775726301</v>
      </c>
      <c r="K878" s="3">
        <v>1.01177477836609</v>
      </c>
      <c r="L878" s="3">
        <f t="shared" si="13"/>
        <v>1</v>
      </c>
      <c r="M878">
        <f>VLOOKUP(A878,Sheet2!$B$2:$E$186,2,FALSE)</f>
        <v>147</v>
      </c>
      <c r="N878" t="s">
        <v>391</v>
      </c>
      <c r="O878" t="s">
        <v>403</v>
      </c>
      <c r="P878">
        <v>0</v>
      </c>
      <c r="Q878">
        <v>0</v>
      </c>
      <c r="R878">
        <v>1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</row>
    <row r="879" spans="1:40" x14ac:dyDescent="0.3">
      <c r="A879" t="s">
        <v>315</v>
      </c>
      <c r="B879" s="3">
        <v>2016</v>
      </c>
      <c r="C879" s="3">
        <v>502954.53125</v>
      </c>
      <c r="D879" s="3">
        <v>2050039.5</v>
      </c>
      <c r="E879" s="3">
        <v>3.6726498603820801</v>
      </c>
      <c r="F879" s="3">
        <v>0.82574921846389804</v>
      </c>
      <c r="G879" s="3">
        <v>0.16713818907737699</v>
      </c>
      <c r="H879" s="3">
        <v>5.4171912372112302E-2</v>
      </c>
      <c r="I879" s="3">
        <v>1.3815463636363601</v>
      </c>
      <c r="J879" s="3">
        <v>3.1505994796752899</v>
      </c>
      <c r="K879" s="3">
        <v>1.0364644527435301</v>
      </c>
      <c r="L879" s="3">
        <f t="shared" si="13"/>
        <v>2</v>
      </c>
      <c r="M879">
        <f>VLOOKUP(A879,Sheet2!$B$2:$E$186,2,FALSE)</f>
        <v>147</v>
      </c>
      <c r="N879" t="s">
        <v>391</v>
      </c>
      <c r="O879" t="s">
        <v>403</v>
      </c>
      <c r="P879">
        <v>0</v>
      </c>
      <c r="Q879">
        <v>0</v>
      </c>
      <c r="R879">
        <v>1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</row>
    <row r="880" spans="1:40" x14ac:dyDescent="0.3">
      <c r="A880" t="s">
        <v>315</v>
      </c>
      <c r="B880" s="3">
        <v>2017</v>
      </c>
      <c r="C880" s="3">
        <v>525652.5625</v>
      </c>
      <c r="D880" s="3">
        <v>2148504.5</v>
      </c>
      <c r="E880" s="3">
        <v>3.6692855358123802</v>
      </c>
      <c r="F880" s="3">
        <v>0.87304913997650202</v>
      </c>
      <c r="G880" s="3">
        <v>0.174032852053642</v>
      </c>
      <c r="H880" s="3">
        <v>5.5641073733568198E-2</v>
      </c>
      <c r="I880" s="3">
        <v>1.380925</v>
      </c>
      <c r="J880" s="3">
        <v>3.1422872543335001</v>
      </c>
      <c r="K880" s="3">
        <v>1.0704051256179801</v>
      </c>
      <c r="L880" s="3">
        <f t="shared" si="13"/>
        <v>3</v>
      </c>
      <c r="M880">
        <f>VLOOKUP(A880,Sheet2!$B$2:$E$186,2,FALSE)</f>
        <v>147</v>
      </c>
      <c r="N880" t="s">
        <v>391</v>
      </c>
      <c r="O880" t="s">
        <v>403</v>
      </c>
      <c r="P880">
        <v>0</v>
      </c>
      <c r="Q880">
        <v>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</row>
    <row r="881" spans="1:47" x14ac:dyDescent="0.3">
      <c r="A881" t="s">
        <v>315</v>
      </c>
      <c r="B881" s="3">
        <v>2018</v>
      </c>
      <c r="C881" s="3">
        <v>544140.3125</v>
      </c>
      <c r="D881" s="3">
        <v>2227459.75</v>
      </c>
      <c r="E881" s="3">
        <v>3.7147662639617902</v>
      </c>
      <c r="F881" s="3">
        <v>0.90925753116607699</v>
      </c>
      <c r="G881" s="3">
        <v>0.17929862439632399</v>
      </c>
      <c r="H881" s="3">
        <v>5.7182341814041103E-2</v>
      </c>
      <c r="I881" s="3">
        <v>1.34884166666667</v>
      </c>
      <c r="J881" s="3">
        <v>3.1882777214050302</v>
      </c>
      <c r="K881" s="3">
        <v>1.05252325534821</v>
      </c>
      <c r="L881" s="3">
        <f t="shared" si="13"/>
        <v>4</v>
      </c>
      <c r="M881">
        <f>VLOOKUP(A881,Sheet2!$B$2:$E$186,2,FALSE)</f>
        <v>147</v>
      </c>
      <c r="N881" t="s">
        <v>391</v>
      </c>
      <c r="O881" t="s">
        <v>403</v>
      </c>
      <c r="P881">
        <v>0</v>
      </c>
      <c r="Q881">
        <v>0</v>
      </c>
      <c r="R881">
        <v>1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</row>
    <row r="882" spans="1:47" x14ac:dyDescent="0.3">
      <c r="A882" t="s">
        <v>315</v>
      </c>
      <c r="B882" s="3">
        <v>2019</v>
      </c>
      <c r="C882" s="3">
        <v>551459.3125</v>
      </c>
      <c r="D882" s="3">
        <v>2306089</v>
      </c>
      <c r="E882" s="3">
        <v>3.75960373878479</v>
      </c>
      <c r="F882" s="3">
        <v>0.94467860460281405</v>
      </c>
      <c r="G882" s="3">
        <v>0.17342828214168499</v>
      </c>
      <c r="H882" s="3">
        <v>5.8089263737201698E-2</v>
      </c>
      <c r="I882" s="3">
        <v>1.36415833333333</v>
      </c>
      <c r="J882" s="3">
        <v>3.2136464118957502</v>
      </c>
      <c r="K882" s="3">
        <v>1.03575015068054</v>
      </c>
      <c r="L882" s="3">
        <f t="shared" si="13"/>
        <v>5</v>
      </c>
      <c r="M882">
        <f>VLOOKUP(A882,Sheet2!$B$2:$E$186,2,FALSE)</f>
        <v>147</v>
      </c>
      <c r="N882" t="s">
        <v>391</v>
      </c>
      <c r="O882" t="s">
        <v>403</v>
      </c>
      <c r="P882">
        <v>0</v>
      </c>
      <c r="Q882">
        <v>0</v>
      </c>
      <c r="R882">
        <v>1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</row>
    <row r="883" spans="1:47" x14ac:dyDescent="0.3">
      <c r="A883" t="s">
        <v>315</v>
      </c>
      <c r="B883" s="3">
        <v>2020</v>
      </c>
      <c r="C883" s="3">
        <v>530118.9375</v>
      </c>
      <c r="D883" s="3">
        <v>2351833.25</v>
      </c>
      <c r="E883" s="3">
        <v>3.7467930316925102</v>
      </c>
      <c r="F883" s="3">
        <v>0.96278280019760099</v>
      </c>
      <c r="G883" s="3">
        <v>0.156133413314819</v>
      </c>
      <c r="H883" s="3">
        <v>5.8365799486637102E-2</v>
      </c>
      <c r="I883" s="3">
        <v>1.37974166666667</v>
      </c>
      <c r="J883" s="3">
        <v>3.2306711673736599</v>
      </c>
      <c r="K883" s="3">
        <v>0.94754838943481501</v>
      </c>
      <c r="L883" s="3">
        <f t="shared" si="13"/>
        <v>6</v>
      </c>
      <c r="M883">
        <f>VLOOKUP(A883,Sheet2!$B$2:$E$186,2,FALSE)</f>
        <v>147</v>
      </c>
      <c r="N883" t="s">
        <v>391</v>
      </c>
      <c r="O883" t="s">
        <v>403</v>
      </c>
      <c r="P883">
        <v>0</v>
      </c>
      <c r="Q883">
        <v>0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</row>
    <row r="884" spans="1:47" x14ac:dyDescent="0.3">
      <c r="A884" t="s">
        <v>317</v>
      </c>
      <c r="B884" s="3">
        <v>2015</v>
      </c>
      <c r="C884" s="3">
        <v>12388.41015625</v>
      </c>
      <c r="D884" s="3">
        <v>22927.76171875</v>
      </c>
      <c r="E884" s="3">
        <v>2.4974522590637198</v>
      </c>
      <c r="F884" s="3">
        <v>0.74412101507186901</v>
      </c>
      <c r="G884" s="3">
        <v>0.17835138738155401</v>
      </c>
      <c r="H884" s="3">
        <v>6.7675024271011394E-2</v>
      </c>
      <c r="I884" s="3">
        <v>5.0807475000000002</v>
      </c>
      <c r="J884" s="3">
        <v>1.5820829868316699</v>
      </c>
      <c r="K884" s="3">
        <v>0.77096116542816195</v>
      </c>
      <c r="L884" s="3">
        <f t="shared" si="13"/>
        <v>1</v>
      </c>
      <c r="M884">
        <f>VLOOKUP(A884,Sheet2!$B$2:$E$186,2,FALSE)</f>
        <v>148</v>
      </c>
      <c r="N884" t="s">
        <v>387</v>
      </c>
      <c r="O884" t="s">
        <v>398</v>
      </c>
      <c r="P884">
        <v>0</v>
      </c>
      <c r="Q884">
        <v>0</v>
      </c>
      <c r="R884">
        <v>0</v>
      </c>
      <c r="S884">
        <v>1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1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</row>
    <row r="885" spans="1:47" x14ac:dyDescent="0.3">
      <c r="A885" t="s">
        <v>317</v>
      </c>
      <c r="B885" s="3">
        <v>2016</v>
      </c>
      <c r="C885" s="3">
        <v>14732.984375</v>
      </c>
      <c r="D885" s="3">
        <v>24039.078125</v>
      </c>
      <c r="E885" s="3">
        <v>2.5569541454315199</v>
      </c>
      <c r="F885" s="3">
        <v>0.78222721815109297</v>
      </c>
      <c r="G885" s="3">
        <v>0.18178598582744601</v>
      </c>
      <c r="H885" s="3">
        <v>6.7134208977222401E-2</v>
      </c>
      <c r="I885" s="3">
        <v>6.2902974149522803</v>
      </c>
      <c r="J885" s="3">
        <v>1.59761118888855</v>
      </c>
      <c r="K885" s="3">
        <v>0.91430842876434304</v>
      </c>
      <c r="L885" s="3">
        <f t="shared" si="13"/>
        <v>2</v>
      </c>
      <c r="M885">
        <f>VLOOKUP(A885,Sheet2!$B$2:$E$186,2,FALSE)</f>
        <v>148</v>
      </c>
      <c r="N885" t="s">
        <v>387</v>
      </c>
      <c r="O885" t="s">
        <v>398</v>
      </c>
      <c r="P885">
        <v>0</v>
      </c>
      <c r="Q885">
        <v>0</v>
      </c>
      <c r="R885">
        <v>0</v>
      </c>
      <c r="S885">
        <v>1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1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</row>
    <row r="886" spans="1:47" x14ac:dyDescent="0.3">
      <c r="A886" t="s">
        <v>317</v>
      </c>
      <c r="B886" s="3">
        <v>2017</v>
      </c>
      <c r="C886" s="3">
        <v>17097.90234375</v>
      </c>
      <c r="D886" s="3">
        <v>25841.73046875</v>
      </c>
      <c r="E886" s="3">
        <v>2.61869120597839</v>
      </c>
      <c r="F886" s="3">
        <v>0.84719872474670399</v>
      </c>
      <c r="G886" s="3">
        <v>0.209161281585693</v>
      </c>
      <c r="H886" s="3">
        <v>6.7270018160343198E-2</v>
      </c>
      <c r="I886" s="3">
        <v>7.3844322224869199</v>
      </c>
      <c r="J886" s="3">
        <v>1.61329197883606</v>
      </c>
      <c r="K886" s="3">
        <v>0.92040002346038796</v>
      </c>
      <c r="L886" s="3">
        <f t="shared" si="13"/>
        <v>3</v>
      </c>
      <c r="M886">
        <f>VLOOKUP(A886,Sheet2!$B$2:$E$186,2,FALSE)</f>
        <v>148</v>
      </c>
      <c r="N886" t="s">
        <v>387</v>
      </c>
      <c r="O886" t="s">
        <v>398</v>
      </c>
      <c r="P886">
        <v>0</v>
      </c>
      <c r="Q886">
        <v>0</v>
      </c>
      <c r="R886">
        <v>0</v>
      </c>
      <c r="S886">
        <v>1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1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</row>
    <row r="887" spans="1:47" x14ac:dyDescent="0.3">
      <c r="A887" t="s">
        <v>317</v>
      </c>
      <c r="B887" s="3">
        <v>2018</v>
      </c>
      <c r="C887" s="3">
        <v>19784.158203125</v>
      </c>
      <c r="D887" s="3">
        <v>27201.69140625</v>
      </c>
      <c r="E887" s="3">
        <v>2.68088722229004</v>
      </c>
      <c r="F887" s="3">
        <v>0.88815152645111095</v>
      </c>
      <c r="G887" s="3">
        <v>0.20748174190521201</v>
      </c>
      <c r="H887" s="3">
        <v>6.6526815295219394E-2</v>
      </c>
      <c r="I887" s="3">
        <v>7.9316317497372797</v>
      </c>
      <c r="J887" s="3">
        <v>1.6291264295578001</v>
      </c>
      <c r="K887" s="3">
        <v>1.0701206922531099</v>
      </c>
      <c r="L887" s="3">
        <f t="shared" si="13"/>
        <v>4</v>
      </c>
      <c r="M887">
        <f>VLOOKUP(A887,Sheet2!$B$2:$E$186,2,FALSE)</f>
        <v>148</v>
      </c>
      <c r="N887" t="s">
        <v>387</v>
      </c>
      <c r="O887" t="s">
        <v>398</v>
      </c>
      <c r="P887">
        <v>0</v>
      </c>
      <c r="Q887">
        <v>0</v>
      </c>
      <c r="R887">
        <v>0</v>
      </c>
      <c r="S887">
        <v>1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1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</row>
    <row r="888" spans="1:47" x14ac:dyDescent="0.3">
      <c r="A888" t="s">
        <v>317</v>
      </c>
      <c r="B888" s="3">
        <v>2019</v>
      </c>
      <c r="C888" s="3">
        <v>20872.822265625</v>
      </c>
      <c r="D888" s="3">
        <v>28860.30078125</v>
      </c>
      <c r="E888" s="3">
        <v>2.75686883926392</v>
      </c>
      <c r="F888" s="3">
        <v>0.94113457202911399</v>
      </c>
      <c r="G888" s="3">
        <v>0.178054705262184</v>
      </c>
      <c r="H888" s="3">
        <v>6.4825847744941698E-2</v>
      </c>
      <c r="I888" s="3">
        <v>9.0102211440091509</v>
      </c>
      <c r="J888" s="3">
        <v>1.6451164484023999</v>
      </c>
      <c r="K888" s="3">
        <v>1.1000657081603999</v>
      </c>
      <c r="L888" s="3">
        <f t="shared" si="13"/>
        <v>5</v>
      </c>
      <c r="M888">
        <f>VLOOKUP(A888,Sheet2!$B$2:$E$186,2,FALSE)</f>
        <v>148</v>
      </c>
      <c r="N888" t="s">
        <v>387</v>
      </c>
      <c r="O888" t="s">
        <v>398</v>
      </c>
      <c r="P888">
        <v>0</v>
      </c>
      <c r="Q888">
        <v>0</v>
      </c>
      <c r="R888">
        <v>0</v>
      </c>
      <c r="S888">
        <v>1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</row>
    <row r="889" spans="1:47" x14ac:dyDescent="0.3">
      <c r="A889" t="s">
        <v>317</v>
      </c>
      <c r="B889" s="3">
        <v>2020</v>
      </c>
      <c r="C889" s="3">
        <v>20611.212890625</v>
      </c>
      <c r="D889" s="3">
        <v>29981.18359375</v>
      </c>
      <c r="E889" s="3">
        <v>2.80154585838318</v>
      </c>
      <c r="F889" s="3">
        <v>0.97023576498031605</v>
      </c>
      <c r="G889" s="3">
        <v>0.165068224072456</v>
      </c>
      <c r="H889" s="3">
        <v>6.3028447329998002E-2</v>
      </c>
      <c r="I889" s="3">
        <v>9.8299267633237495</v>
      </c>
      <c r="J889" s="3">
        <v>1.6612634658813501</v>
      </c>
      <c r="K889" s="3">
        <v>1.00731337070465</v>
      </c>
      <c r="L889" s="3">
        <f t="shared" si="13"/>
        <v>6</v>
      </c>
      <c r="M889">
        <f>VLOOKUP(A889,Sheet2!$B$2:$E$186,2,FALSE)</f>
        <v>148</v>
      </c>
      <c r="N889" t="s">
        <v>387</v>
      </c>
      <c r="O889" t="s">
        <v>398</v>
      </c>
      <c r="P889">
        <v>0</v>
      </c>
      <c r="Q889">
        <v>0</v>
      </c>
      <c r="R889">
        <v>0</v>
      </c>
      <c r="S889">
        <v>1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1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</row>
    <row r="890" spans="1:47" x14ac:dyDescent="0.3">
      <c r="A890" t="s">
        <v>319</v>
      </c>
      <c r="B890" s="3">
        <v>2015</v>
      </c>
      <c r="C890" s="3">
        <v>59321.46484375</v>
      </c>
      <c r="D890" s="3">
        <v>275698.28125</v>
      </c>
      <c r="E890" s="3">
        <v>2.7555289268493701</v>
      </c>
      <c r="F890" s="3">
        <v>0.819935083389282</v>
      </c>
      <c r="G890" s="3">
        <v>0.17334298789501201</v>
      </c>
      <c r="H890" s="3">
        <v>4.0517367422580698E-2</v>
      </c>
      <c r="I890" s="3">
        <v>1</v>
      </c>
      <c r="J890" s="3">
        <v>2.1739375591278098</v>
      </c>
      <c r="K890" s="3">
        <v>1.0031764507293699</v>
      </c>
      <c r="L890" s="3">
        <f t="shared" si="13"/>
        <v>1</v>
      </c>
      <c r="M890">
        <f>VLOOKUP(A890,Sheet2!$B$2:$E$186,2,FALSE)</f>
        <v>149</v>
      </c>
      <c r="N890" t="s">
        <v>385</v>
      </c>
      <c r="O890" t="s">
        <v>401</v>
      </c>
      <c r="P890">
        <v>1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1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</row>
    <row r="891" spans="1:47" x14ac:dyDescent="0.3">
      <c r="A891" t="s">
        <v>319</v>
      </c>
      <c r="B891" s="3">
        <v>2016</v>
      </c>
      <c r="C891" s="3">
        <v>60827.6796875</v>
      </c>
      <c r="D891" s="3">
        <v>282828.40625</v>
      </c>
      <c r="E891" s="3">
        <v>2.81750440597534</v>
      </c>
      <c r="F891" s="3">
        <v>0.84216421842575095</v>
      </c>
      <c r="G891" s="3">
        <v>0.17795661091804499</v>
      </c>
      <c r="H891" s="3">
        <v>4.01974804699421E-2</v>
      </c>
      <c r="I891" s="3">
        <v>1</v>
      </c>
      <c r="J891" s="3">
        <v>2.2064001560211199</v>
      </c>
      <c r="K891" s="3">
        <v>0.99193441867828402</v>
      </c>
      <c r="L891" s="3">
        <f t="shared" si="13"/>
        <v>2</v>
      </c>
      <c r="M891">
        <f>VLOOKUP(A891,Sheet2!$B$2:$E$186,2,FALSE)</f>
        <v>149</v>
      </c>
      <c r="N891" t="s">
        <v>385</v>
      </c>
      <c r="O891" t="s">
        <v>401</v>
      </c>
      <c r="P891">
        <v>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1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</row>
    <row r="892" spans="1:47" x14ac:dyDescent="0.3">
      <c r="A892" t="s">
        <v>319</v>
      </c>
      <c r="B892" s="3">
        <v>2017</v>
      </c>
      <c r="C892" s="3">
        <v>62194.84765625</v>
      </c>
      <c r="D892" s="3">
        <v>290496.59375</v>
      </c>
      <c r="E892" s="3">
        <v>2.8434135913848899</v>
      </c>
      <c r="F892" s="3">
        <v>0.86672312021255504</v>
      </c>
      <c r="G892" s="3">
        <v>0.17056241631507901</v>
      </c>
      <c r="H892" s="3">
        <v>4.0033642202615703E-2</v>
      </c>
      <c r="I892" s="3">
        <v>1</v>
      </c>
      <c r="J892" s="3">
        <v>2.23934745788574</v>
      </c>
      <c r="K892" s="3">
        <v>0.98389387130737305</v>
      </c>
      <c r="L892" s="3">
        <f t="shared" si="13"/>
        <v>3</v>
      </c>
      <c r="M892">
        <f>VLOOKUP(A892,Sheet2!$B$2:$E$186,2,FALSE)</f>
        <v>149</v>
      </c>
      <c r="N892" t="s">
        <v>385</v>
      </c>
      <c r="O892" t="s">
        <v>401</v>
      </c>
      <c r="P892">
        <v>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1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</row>
    <row r="893" spans="1:47" x14ac:dyDescent="0.3">
      <c r="A893" t="s">
        <v>319</v>
      </c>
      <c r="B893" s="3">
        <v>2018</v>
      </c>
      <c r="C893" s="3">
        <v>63695.26171875</v>
      </c>
      <c r="D893" s="3">
        <v>299389.65625</v>
      </c>
      <c r="E893" s="3">
        <v>2.9076485633850102</v>
      </c>
      <c r="F893" s="3">
        <v>0.89535129070282005</v>
      </c>
      <c r="G893" s="3">
        <v>0.16389995813369801</v>
      </c>
      <c r="H893" s="3">
        <v>3.9998497813940097E-2</v>
      </c>
      <c r="I893" s="3">
        <v>1</v>
      </c>
      <c r="J893" s="3">
        <v>2.27278709411621</v>
      </c>
      <c r="K893" s="3">
        <v>0.97351461648940996</v>
      </c>
      <c r="L893" s="3">
        <f t="shared" si="13"/>
        <v>4</v>
      </c>
      <c r="M893">
        <f>VLOOKUP(A893,Sheet2!$B$2:$E$186,2,FALSE)</f>
        <v>149</v>
      </c>
      <c r="N893" t="s">
        <v>385</v>
      </c>
      <c r="O893" t="s">
        <v>401</v>
      </c>
      <c r="P893">
        <v>1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1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</row>
    <row r="894" spans="1:47" x14ac:dyDescent="0.3">
      <c r="A894" t="s">
        <v>319</v>
      </c>
      <c r="B894" s="3">
        <v>2019</v>
      </c>
      <c r="C894" s="3">
        <v>65247.8203125</v>
      </c>
      <c r="D894" s="3">
        <v>309309.5625</v>
      </c>
      <c r="E894" s="3">
        <v>3.0046157836914098</v>
      </c>
      <c r="F894" s="3">
        <v>0.92648690938949596</v>
      </c>
      <c r="G894" s="3">
        <v>0.16287259757518799</v>
      </c>
      <c r="H894" s="3">
        <v>3.9968021214008297E-2</v>
      </c>
      <c r="I894" s="3">
        <v>1</v>
      </c>
      <c r="J894" s="3">
        <v>2.3067257404327401</v>
      </c>
      <c r="K894" s="3">
        <v>0.95194768905639704</v>
      </c>
      <c r="L894" s="3">
        <f t="shared" si="13"/>
        <v>5</v>
      </c>
      <c r="M894">
        <f>VLOOKUP(A894,Sheet2!$B$2:$E$186,2,FALSE)</f>
        <v>149</v>
      </c>
      <c r="N894" t="s">
        <v>385</v>
      </c>
      <c r="O894" t="s">
        <v>401</v>
      </c>
      <c r="P894">
        <v>1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1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</row>
    <row r="895" spans="1:47" x14ac:dyDescent="0.3">
      <c r="A895" t="s">
        <v>319</v>
      </c>
      <c r="B895" s="3">
        <v>2020</v>
      </c>
      <c r="C895" s="3">
        <v>60097.73828125</v>
      </c>
      <c r="D895" s="3">
        <v>317309.59375</v>
      </c>
      <c r="E895" s="3">
        <v>2.82673907279968</v>
      </c>
      <c r="F895" s="3">
        <v>0.95055913925170898</v>
      </c>
      <c r="G895" s="3">
        <v>0.13908199965953799</v>
      </c>
      <c r="H895" s="3">
        <v>3.9808247238397598E-2</v>
      </c>
      <c r="I895" s="3">
        <v>1</v>
      </c>
      <c r="J895" s="3">
        <v>2.3411712646484402</v>
      </c>
      <c r="K895" s="3">
        <v>0.90701305866241499</v>
      </c>
      <c r="L895" s="3">
        <f t="shared" si="13"/>
        <v>6</v>
      </c>
      <c r="M895">
        <f>VLOOKUP(A895,Sheet2!$B$2:$E$186,2,FALSE)</f>
        <v>149</v>
      </c>
      <c r="N895" t="s">
        <v>385</v>
      </c>
      <c r="O895" t="s">
        <v>401</v>
      </c>
      <c r="P895">
        <v>1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1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</row>
    <row r="896" spans="1:47" s="2" customFormat="1" x14ac:dyDescent="0.3">
      <c r="A896" t="s">
        <v>320</v>
      </c>
      <c r="B896" s="3">
        <v>2015</v>
      </c>
      <c r="C896" s="3">
        <v>17638.951171875</v>
      </c>
      <c r="D896" s="3"/>
      <c r="E896" s="3">
        <v>2.0165138244628902</v>
      </c>
      <c r="F896" s="3"/>
      <c r="G896" s="3"/>
      <c r="H896" s="3"/>
      <c r="I896" s="3">
        <v>22254.2356837607</v>
      </c>
      <c r="J896" s="3"/>
      <c r="K896" s="3"/>
      <c r="L896" s="3">
        <f t="shared" si="13"/>
        <v>1</v>
      </c>
      <c r="M896">
        <f>VLOOKUP(A896,Sheet2!$B$2:$E$186,2,FALSE)</f>
        <v>150</v>
      </c>
      <c r="N896" t="s">
        <v>387</v>
      </c>
      <c r="O896" t="s">
        <v>397</v>
      </c>
      <c r="P896">
        <v>0</v>
      </c>
      <c r="Q896">
        <v>0</v>
      </c>
      <c r="R896">
        <v>0</v>
      </c>
      <c r="S896">
        <v>1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1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/>
      <c r="AP896"/>
      <c r="AQ896"/>
      <c r="AR896"/>
      <c r="AS896"/>
      <c r="AT896"/>
      <c r="AU896"/>
    </row>
    <row r="897" spans="1:47" s="2" customFormat="1" x14ac:dyDescent="0.3">
      <c r="A897" t="s">
        <v>320</v>
      </c>
      <c r="B897" s="3">
        <v>2016</v>
      </c>
      <c r="C897" s="3">
        <v>20578.986328125</v>
      </c>
      <c r="D897" s="3"/>
      <c r="E897" s="3">
        <v>2.09645700454712</v>
      </c>
      <c r="F897" s="3"/>
      <c r="G897" s="3"/>
      <c r="H897" s="3"/>
      <c r="I897" s="3">
        <v>23061.784313865101</v>
      </c>
      <c r="J897" s="3"/>
      <c r="K897" s="3"/>
      <c r="L897" s="3">
        <f t="shared" si="13"/>
        <v>2</v>
      </c>
      <c r="M897">
        <f>VLOOKUP(A897,Sheet2!$B$2:$E$186,2,FALSE)</f>
        <v>150</v>
      </c>
      <c r="N897" t="s">
        <v>387</v>
      </c>
      <c r="O897" t="s">
        <v>397</v>
      </c>
      <c r="P897">
        <v>0</v>
      </c>
      <c r="Q897">
        <v>0</v>
      </c>
      <c r="R897">
        <v>0</v>
      </c>
      <c r="S897">
        <v>1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1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/>
      <c r="AP897"/>
      <c r="AQ897"/>
      <c r="AR897"/>
      <c r="AS897"/>
      <c r="AT897"/>
      <c r="AU897"/>
    </row>
    <row r="898" spans="1:47" s="2" customFormat="1" x14ac:dyDescent="0.3">
      <c r="A898" t="s">
        <v>320</v>
      </c>
      <c r="B898" s="3">
        <v>2017</v>
      </c>
      <c r="C898" s="3">
        <v>22535.490234375</v>
      </c>
      <c r="D898" s="3"/>
      <c r="E898" s="3">
        <v>2.1735889911651598</v>
      </c>
      <c r="F898" s="3"/>
      <c r="G898" s="3"/>
      <c r="H898" s="3"/>
      <c r="I898" s="3">
        <v>23097.9873219373</v>
      </c>
      <c r="J898" s="3"/>
      <c r="K898" s="3"/>
      <c r="L898" s="3">
        <f t="shared" si="13"/>
        <v>3</v>
      </c>
      <c r="M898">
        <f>VLOOKUP(A898,Sheet2!$B$2:$E$186,2,FALSE)</f>
        <v>150</v>
      </c>
      <c r="N898" t="s">
        <v>387</v>
      </c>
      <c r="O898" t="s">
        <v>397</v>
      </c>
      <c r="P898">
        <v>0</v>
      </c>
      <c r="Q898">
        <v>0</v>
      </c>
      <c r="R898">
        <v>0</v>
      </c>
      <c r="S898">
        <v>1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1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/>
      <c r="AP898"/>
      <c r="AQ898"/>
      <c r="AR898"/>
      <c r="AS898"/>
      <c r="AT898"/>
      <c r="AU898"/>
    </row>
    <row r="899" spans="1:47" s="2" customFormat="1" x14ac:dyDescent="0.3">
      <c r="A899" t="s">
        <v>320</v>
      </c>
      <c r="B899" s="3">
        <v>2018</v>
      </c>
      <c r="C899" s="3">
        <v>23209.078125</v>
      </c>
      <c r="D899" s="3"/>
      <c r="E899" s="3">
        <v>2.2443535327911399</v>
      </c>
      <c r="F899" s="3"/>
      <c r="G899" s="3"/>
      <c r="H899" s="3"/>
      <c r="I899" s="3">
        <v>24300</v>
      </c>
      <c r="J899" s="3"/>
      <c r="K899" s="3"/>
      <c r="L899" s="3">
        <f t="shared" ref="L899:L962" si="14">B899-2014</f>
        <v>4</v>
      </c>
      <c r="M899">
        <f>VLOOKUP(A899,Sheet2!$B$2:$E$186,2,FALSE)</f>
        <v>150</v>
      </c>
      <c r="N899" t="s">
        <v>387</v>
      </c>
      <c r="O899" t="s">
        <v>397</v>
      </c>
      <c r="P899">
        <v>0</v>
      </c>
      <c r="Q899">
        <v>0</v>
      </c>
      <c r="R899">
        <v>0</v>
      </c>
      <c r="S899">
        <v>1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/>
      <c r="AP899"/>
      <c r="AQ899"/>
      <c r="AR899"/>
      <c r="AS899"/>
      <c r="AT899"/>
      <c r="AU899"/>
    </row>
    <row r="900" spans="1:47" s="2" customFormat="1" x14ac:dyDescent="0.3">
      <c r="A900" t="s">
        <v>320</v>
      </c>
      <c r="B900" s="3">
        <v>2019</v>
      </c>
      <c r="C900" s="3">
        <v>23866.66796875</v>
      </c>
      <c r="D900" s="3"/>
      <c r="E900" s="3">
        <v>2.32733225822449</v>
      </c>
      <c r="F900" s="3"/>
      <c r="G900" s="3"/>
      <c r="H900" s="3"/>
      <c r="I900" s="3">
        <v>24300</v>
      </c>
      <c r="J900" s="3"/>
      <c r="K900" s="3"/>
      <c r="L900" s="3">
        <f t="shared" si="14"/>
        <v>5</v>
      </c>
      <c r="M900">
        <f>VLOOKUP(A900,Sheet2!$B$2:$E$186,2,FALSE)</f>
        <v>150</v>
      </c>
      <c r="N900" t="s">
        <v>387</v>
      </c>
      <c r="O900" t="s">
        <v>397</v>
      </c>
      <c r="P900">
        <v>0</v>
      </c>
      <c r="Q900">
        <v>0</v>
      </c>
      <c r="R900">
        <v>0</v>
      </c>
      <c r="S900">
        <v>1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1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/>
      <c r="AP900"/>
      <c r="AQ900"/>
      <c r="AR900"/>
      <c r="AS900"/>
      <c r="AT900"/>
      <c r="AU900"/>
    </row>
    <row r="901" spans="1:47" s="2" customFormat="1" x14ac:dyDescent="0.3">
      <c r="A901" t="s">
        <v>320</v>
      </c>
      <c r="B901" s="3">
        <v>2020</v>
      </c>
      <c r="C901" s="3">
        <v>23209.078125</v>
      </c>
      <c r="D901" s="3"/>
      <c r="E901" s="3">
        <v>2.37671947479248</v>
      </c>
      <c r="F901" s="3"/>
      <c r="G901" s="3"/>
      <c r="H901" s="3"/>
      <c r="I901" s="3">
        <v>24300</v>
      </c>
      <c r="J901" s="3"/>
      <c r="K901" s="3"/>
      <c r="L901" s="3">
        <f t="shared" si="14"/>
        <v>6</v>
      </c>
      <c r="M901">
        <f>VLOOKUP(A901,Sheet2!$B$2:$E$186,2,FALSE)</f>
        <v>150</v>
      </c>
      <c r="N901" t="s">
        <v>387</v>
      </c>
      <c r="O901" t="s">
        <v>397</v>
      </c>
      <c r="P901">
        <v>0</v>
      </c>
      <c r="Q901">
        <v>0</v>
      </c>
      <c r="R901">
        <v>0</v>
      </c>
      <c r="S901">
        <v>1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1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/>
      <c r="AP901"/>
      <c r="AQ901"/>
      <c r="AR901"/>
      <c r="AS901"/>
      <c r="AT901"/>
      <c r="AU901"/>
    </row>
    <row r="902" spans="1:47" x14ac:dyDescent="0.3">
      <c r="A902" t="s">
        <v>322</v>
      </c>
      <c r="B902" s="3">
        <v>2015</v>
      </c>
      <c r="C902" s="3">
        <v>115374.8125</v>
      </c>
      <c r="D902" s="3">
        <v>624817.125</v>
      </c>
      <c r="E902" s="3">
        <v>2.57956099510193</v>
      </c>
      <c r="F902" s="3">
        <v>0.81873708963394198</v>
      </c>
      <c r="G902" s="3">
        <v>7.4585177004337297E-2</v>
      </c>
      <c r="H902" s="3">
        <v>3.8925513625145E-2</v>
      </c>
      <c r="I902" s="3">
        <v>108.811425</v>
      </c>
      <c r="J902" s="3">
        <v>3.2830734252929701</v>
      </c>
      <c r="K902" s="3">
        <v>0.94018816947937001</v>
      </c>
      <c r="L902" s="3">
        <f t="shared" si="14"/>
        <v>1</v>
      </c>
      <c r="M902">
        <f>VLOOKUP(A902,Sheet2!$B$2:$E$186,2,FALSE)</f>
        <v>151</v>
      </c>
      <c r="N902" t="s">
        <v>389</v>
      </c>
      <c r="O902" t="s">
        <v>390</v>
      </c>
      <c r="P902">
        <v>0</v>
      </c>
      <c r="Q902">
        <v>1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1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</row>
    <row r="903" spans="1:47" x14ac:dyDescent="0.3">
      <c r="A903" t="s">
        <v>322</v>
      </c>
      <c r="B903" s="3">
        <v>2016</v>
      </c>
      <c r="C903" s="3">
        <v>119226.6796875</v>
      </c>
      <c r="D903" s="3">
        <v>627954.8125</v>
      </c>
      <c r="E903" s="3">
        <v>2.71965384483337</v>
      </c>
      <c r="F903" s="3">
        <v>0.82998025417327903</v>
      </c>
      <c r="G903" s="3">
        <v>8.16628262400627E-2</v>
      </c>
      <c r="H903" s="3">
        <v>3.9713729172945002E-2</v>
      </c>
      <c r="I903" s="3">
        <v>111.27785</v>
      </c>
      <c r="J903" s="3">
        <v>3.3091568946838401</v>
      </c>
      <c r="K903" s="3">
        <v>0.90926361083984397</v>
      </c>
      <c r="L903" s="3">
        <f t="shared" si="14"/>
        <v>2</v>
      </c>
      <c r="M903">
        <f>VLOOKUP(A903,Sheet2!$B$2:$E$186,2,FALSE)</f>
        <v>151</v>
      </c>
      <c r="N903" t="s">
        <v>389</v>
      </c>
      <c r="O903" t="s">
        <v>390</v>
      </c>
      <c r="P903">
        <v>0</v>
      </c>
      <c r="Q903">
        <v>1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1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</row>
    <row r="904" spans="1:47" x14ac:dyDescent="0.3">
      <c r="A904" t="s">
        <v>322</v>
      </c>
      <c r="B904" s="3">
        <v>2017</v>
      </c>
      <c r="C904" s="3">
        <v>121731.75</v>
      </c>
      <c r="D904" s="3">
        <v>632458.4375</v>
      </c>
      <c r="E904" s="3">
        <v>2.7898519039154102</v>
      </c>
      <c r="F904" s="3">
        <v>0.84349113702774103</v>
      </c>
      <c r="G904" s="3">
        <v>8.0023176968097701E-2</v>
      </c>
      <c r="H904" s="3">
        <v>4.04847674071789E-2</v>
      </c>
      <c r="I904" s="3">
        <v>107.75885</v>
      </c>
      <c r="J904" s="3">
        <v>3.31630611419678</v>
      </c>
      <c r="K904" s="3">
        <v>0.92301666736602805</v>
      </c>
      <c r="L904" s="3">
        <f t="shared" si="14"/>
        <v>3</v>
      </c>
      <c r="M904">
        <f>VLOOKUP(A904,Sheet2!$B$2:$E$186,2,FALSE)</f>
        <v>151</v>
      </c>
      <c r="N904" t="s">
        <v>389</v>
      </c>
      <c r="O904" t="s">
        <v>390</v>
      </c>
      <c r="P904">
        <v>0</v>
      </c>
      <c r="Q904">
        <v>1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1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</row>
    <row r="905" spans="1:47" x14ac:dyDescent="0.3">
      <c r="A905" t="s">
        <v>322</v>
      </c>
      <c r="B905" s="3">
        <v>2018</v>
      </c>
      <c r="C905" s="3">
        <v>127203.953125</v>
      </c>
      <c r="D905" s="3">
        <v>641496.5</v>
      </c>
      <c r="E905" s="3">
        <v>2.8217728137970002</v>
      </c>
      <c r="F905" s="3">
        <v>0.86708986759185802</v>
      </c>
      <c r="G905" s="3">
        <v>7.3924481868743896E-2</v>
      </c>
      <c r="H905" s="3">
        <v>4.1518170386552797E-2</v>
      </c>
      <c r="I905" s="3">
        <v>100.17507500000001</v>
      </c>
      <c r="J905" s="3">
        <v>3.3414514064788801</v>
      </c>
      <c r="K905" s="3">
        <v>0.94914364814758301</v>
      </c>
      <c r="L905" s="3">
        <f t="shared" si="14"/>
        <v>4</v>
      </c>
      <c r="M905">
        <f>VLOOKUP(A905,Sheet2!$B$2:$E$186,2,FALSE)</f>
        <v>151</v>
      </c>
      <c r="N905" t="s">
        <v>389</v>
      </c>
      <c r="O905" t="s">
        <v>390</v>
      </c>
      <c r="P905">
        <v>0</v>
      </c>
      <c r="Q905">
        <v>1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1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</row>
    <row r="906" spans="1:47" x14ac:dyDescent="0.3">
      <c r="A906" t="s">
        <v>322</v>
      </c>
      <c r="B906" s="3">
        <v>2019</v>
      </c>
      <c r="C906" s="3">
        <v>132714.109375</v>
      </c>
      <c r="D906" s="3">
        <v>655538.5625</v>
      </c>
      <c r="E906" s="3">
        <v>2.8827557563781698</v>
      </c>
      <c r="F906" s="3">
        <v>0.89663279056549094</v>
      </c>
      <c r="G906" s="3">
        <v>7.1966014802455902E-2</v>
      </c>
      <c r="H906" s="3">
        <v>4.2725633829832098E-2</v>
      </c>
      <c r="I906" s="3">
        <v>105.249558333333</v>
      </c>
      <c r="J906" s="3">
        <v>3.3667874336242698</v>
      </c>
      <c r="K906" s="3">
        <v>0.97758299112320002</v>
      </c>
      <c r="L906" s="3">
        <f t="shared" si="14"/>
        <v>5</v>
      </c>
      <c r="M906">
        <f>VLOOKUP(A906,Sheet2!$B$2:$E$186,2,FALSE)</f>
        <v>151</v>
      </c>
      <c r="N906" t="s">
        <v>389</v>
      </c>
      <c r="O906" t="s">
        <v>390</v>
      </c>
      <c r="P906">
        <v>0</v>
      </c>
      <c r="Q906">
        <v>1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1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</row>
    <row r="907" spans="1:47" x14ac:dyDescent="0.3">
      <c r="A907" t="s">
        <v>322</v>
      </c>
      <c r="B907" s="3">
        <v>2020</v>
      </c>
      <c r="C907" s="3">
        <v>131515.171875</v>
      </c>
      <c r="D907" s="3">
        <v>666858.0625</v>
      </c>
      <c r="E907" s="3">
        <v>2.8717696666717498</v>
      </c>
      <c r="F907" s="3">
        <v>0.94247621297836304</v>
      </c>
      <c r="G907" s="3">
        <v>6.2818825244903606E-2</v>
      </c>
      <c r="H907" s="3">
        <v>4.4980242848396301E-2</v>
      </c>
      <c r="I907" s="3">
        <v>103.16329166666701</v>
      </c>
      <c r="J907" s="3">
        <v>3.4069685935974099</v>
      </c>
      <c r="K907" s="3">
        <v>0.95750617980956998</v>
      </c>
      <c r="L907" s="3">
        <f t="shared" si="14"/>
        <v>6</v>
      </c>
      <c r="M907">
        <f>VLOOKUP(A907,Sheet2!$B$2:$E$186,2,FALSE)</f>
        <v>151</v>
      </c>
      <c r="N907" t="s">
        <v>389</v>
      </c>
      <c r="O907" t="s">
        <v>390</v>
      </c>
      <c r="P907">
        <v>0</v>
      </c>
      <c r="Q907">
        <v>1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1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</row>
    <row r="908" spans="1:47" s="2" customFormat="1" x14ac:dyDescent="0.3">
      <c r="A908" t="s">
        <v>324</v>
      </c>
      <c r="B908" s="3">
        <v>2015</v>
      </c>
      <c r="C908" s="3">
        <v>10871.708984375</v>
      </c>
      <c r="D908" s="3"/>
      <c r="E908" s="3">
        <v>3.4366493225097701</v>
      </c>
      <c r="F908" s="3"/>
      <c r="G908" s="3"/>
      <c r="H908" s="3"/>
      <c r="I908" s="3">
        <v>3.6041666666666701</v>
      </c>
      <c r="J908" s="3"/>
      <c r="K908" s="3"/>
      <c r="L908" s="3">
        <f t="shared" si="14"/>
        <v>1</v>
      </c>
      <c r="M908">
        <f>VLOOKUP(A908,Sheet2!$B$2:$E$186,2,FALSE)</f>
        <v>152</v>
      </c>
      <c r="N908" t="s">
        <v>387</v>
      </c>
      <c r="O908" t="s">
        <v>397</v>
      </c>
      <c r="P908">
        <v>0</v>
      </c>
      <c r="Q908">
        <v>0</v>
      </c>
      <c r="R908">
        <v>0</v>
      </c>
      <c r="S908">
        <v>1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1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/>
      <c r="AP908"/>
      <c r="AQ908"/>
      <c r="AR908"/>
      <c r="AS908"/>
      <c r="AT908"/>
      <c r="AU908"/>
    </row>
    <row r="909" spans="1:47" s="2" customFormat="1" x14ac:dyDescent="0.3">
      <c r="A909" t="s">
        <v>324</v>
      </c>
      <c r="B909" s="3">
        <v>2016</v>
      </c>
      <c r="C909" s="3">
        <v>10149.609375</v>
      </c>
      <c r="D909" s="3"/>
      <c r="E909" s="3">
        <v>3.3113856315612802</v>
      </c>
      <c r="F909" s="3"/>
      <c r="G909" s="3"/>
      <c r="H909" s="3"/>
      <c r="I909" s="3">
        <v>46.7291666666667</v>
      </c>
      <c r="J909" s="3"/>
      <c r="K909" s="3"/>
      <c r="L909" s="3">
        <f t="shared" si="14"/>
        <v>2</v>
      </c>
      <c r="M909">
        <f>VLOOKUP(A909,Sheet2!$B$2:$E$186,2,FALSE)</f>
        <v>152</v>
      </c>
      <c r="N909" t="s">
        <v>387</v>
      </c>
      <c r="O909" t="s">
        <v>397</v>
      </c>
      <c r="P909">
        <v>0</v>
      </c>
      <c r="Q909">
        <v>0</v>
      </c>
      <c r="R909">
        <v>0</v>
      </c>
      <c r="S909">
        <v>1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1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/>
      <c r="AP909"/>
      <c r="AQ909"/>
      <c r="AR909"/>
      <c r="AS909"/>
      <c r="AT909"/>
      <c r="AU909"/>
    </row>
    <row r="910" spans="1:47" s="2" customFormat="1" x14ac:dyDescent="0.3">
      <c r="A910" t="s">
        <v>324</v>
      </c>
      <c r="B910" s="3">
        <v>2017</v>
      </c>
      <c r="C910" s="3">
        <v>9794.88671875</v>
      </c>
      <c r="D910" s="3"/>
      <c r="E910" s="3">
        <v>3.08638596534729</v>
      </c>
      <c r="F910" s="3"/>
      <c r="G910" s="3"/>
      <c r="H910" s="3"/>
      <c r="I910" s="3">
        <v>113.64749999999999</v>
      </c>
      <c r="J910" s="3"/>
      <c r="K910" s="3"/>
      <c r="L910" s="3">
        <f t="shared" si="14"/>
        <v>3</v>
      </c>
      <c r="M910">
        <f>VLOOKUP(A910,Sheet2!$B$2:$E$186,2,FALSE)</f>
        <v>152</v>
      </c>
      <c r="N910" t="s">
        <v>387</v>
      </c>
      <c r="O910" t="s">
        <v>397</v>
      </c>
      <c r="P910">
        <v>0</v>
      </c>
      <c r="Q910">
        <v>0</v>
      </c>
      <c r="R910">
        <v>0</v>
      </c>
      <c r="S910">
        <v>1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1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/>
      <c r="AP910"/>
      <c r="AQ910"/>
      <c r="AR910"/>
      <c r="AS910"/>
      <c r="AT910"/>
      <c r="AU910"/>
    </row>
    <row r="911" spans="1:47" s="2" customFormat="1" x14ac:dyDescent="0.3">
      <c r="A911" t="s">
        <v>324</v>
      </c>
      <c r="B911" s="3">
        <v>2018</v>
      </c>
      <c r="C911" s="3">
        <v>10171.23046875</v>
      </c>
      <c r="D911" s="3"/>
      <c r="E911" s="3">
        <v>2.9691207408904998</v>
      </c>
      <c r="F911" s="3"/>
      <c r="G911" s="3"/>
      <c r="H911" s="3"/>
      <c r="I911" s="3">
        <v>301.64373038108403</v>
      </c>
      <c r="J911" s="3"/>
      <c r="K911" s="3"/>
      <c r="L911" s="3">
        <f t="shared" si="14"/>
        <v>4</v>
      </c>
      <c r="M911">
        <f>VLOOKUP(A911,Sheet2!$B$2:$E$186,2,FALSE)</f>
        <v>152</v>
      </c>
      <c r="N911" t="s">
        <v>387</v>
      </c>
      <c r="O911" t="s">
        <v>397</v>
      </c>
      <c r="P911">
        <v>0</v>
      </c>
      <c r="Q911">
        <v>0</v>
      </c>
      <c r="R911">
        <v>0</v>
      </c>
      <c r="S911">
        <v>1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1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/>
      <c r="AP911"/>
      <c r="AQ911"/>
      <c r="AR911"/>
      <c r="AS911"/>
      <c r="AT911"/>
      <c r="AU911"/>
    </row>
    <row r="912" spans="1:47" s="2" customFormat="1" x14ac:dyDescent="0.3">
      <c r="A912" t="s">
        <v>324</v>
      </c>
      <c r="B912" s="3">
        <v>2019</v>
      </c>
      <c r="C912" s="3">
        <v>11328.7490234375</v>
      </c>
      <c r="D912" s="3"/>
      <c r="E912" s="3">
        <v>3.0207982063293501</v>
      </c>
      <c r="F912" s="3"/>
      <c r="G912" s="3"/>
      <c r="H912" s="3"/>
      <c r="I912" s="3">
        <v>604.861494497526</v>
      </c>
      <c r="J912" s="3"/>
      <c r="K912" s="3"/>
      <c r="L912" s="3">
        <f t="shared" si="14"/>
        <v>5</v>
      </c>
      <c r="M912">
        <f>VLOOKUP(A912,Sheet2!$B$2:$E$186,2,FALSE)</f>
        <v>152</v>
      </c>
      <c r="N912" t="s">
        <v>387</v>
      </c>
      <c r="O912" t="s">
        <v>397</v>
      </c>
      <c r="P912">
        <v>0</v>
      </c>
      <c r="Q912">
        <v>0</v>
      </c>
      <c r="R912">
        <v>0</v>
      </c>
      <c r="S912">
        <v>1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1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/>
      <c r="AP912"/>
      <c r="AQ912"/>
      <c r="AR912"/>
      <c r="AS912"/>
      <c r="AT912"/>
      <c r="AU912"/>
    </row>
    <row r="913" spans="1:47" s="2" customFormat="1" x14ac:dyDescent="0.3">
      <c r="A913" t="s">
        <v>324</v>
      </c>
      <c r="B913" s="3">
        <v>2020</v>
      </c>
      <c r="C913" s="3">
        <v>10948.294921875</v>
      </c>
      <c r="D913" s="3"/>
      <c r="E913" s="3">
        <v>3.02946257591248</v>
      </c>
      <c r="F913" s="3"/>
      <c r="G913" s="3"/>
      <c r="H913" s="3"/>
      <c r="I913" s="3">
        <v>715.156973103008</v>
      </c>
      <c r="J913" s="3"/>
      <c r="K913" s="3"/>
      <c r="L913" s="3">
        <f t="shared" si="14"/>
        <v>6</v>
      </c>
      <c r="M913">
        <f>VLOOKUP(A913,Sheet2!$B$2:$E$186,2,FALSE)</f>
        <v>152</v>
      </c>
      <c r="N913" t="s">
        <v>387</v>
      </c>
      <c r="O913" t="s">
        <v>397</v>
      </c>
      <c r="P913">
        <v>0</v>
      </c>
      <c r="Q913">
        <v>0</v>
      </c>
      <c r="R913">
        <v>0</v>
      </c>
      <c r="S913">
        <v>1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1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/>
      <c r="AP913"/>
      <c r="AQ913"/>
      <c r="AR913"/>
      <c r="AS913"/>
      <c r="AT913"/>
      <c r="AU913"/>
    </row>
    <row r="914" spans="1:47" x14ac:dyDescent="0.3">
      <c r="A914" t="s">
        <v>326</v>
      </c>
      <c r="B914" s="3">
        <v>2015</v>
      </c>
      <c r="C914" s="3">
        <v>1194.51611328125</v>
      </c>
      <c r="D914" s="3">
        <v>2953.65771484375</v>
      </c>
      <c r="E914" s="3">
        <v>5.9519849717617E-2</v>
      </c>
      <c r="F914" s="3">
        <v>0.83650606870651301</v>
      </c>
      <c r="G914" s="3">
        <v>1.7397679388523098E-2</v>
      </c>
      <c r="H914" s="3">
        <v>6.2431126832962001E-2</v>
      </c>
      <c r="I914" s="3">
        <v>22.090644560211299</v>
      </c>
      <c r="J914" s="3"/>
      <c r="K914" s="3"/>
      <c r="L914" s="3">
        <f t="shared" si="14"/>
        <v>1</v>
      </c>
      <c r="M914">
        <f>VLOOKUP(A914,Sheet2!$B$2:$E$186,2,FALSE)</f>
        <v>153</v>
      </c>
      <c r="N914" t="s">
        <v>387</v>
      </c>
      <c r="O914" t="s">
        <v>388</v>
      </c>
      <c r="P914">
        <v>0</v>
      </c>
      <c r="Q914">
        <v>0</v>
      </c>
      <c r="R914">
        <v>0</v>
      </c>
      <c r="S914">
        <v>1</v>
      </c>
      <c r="T914">
        <v>0</v>
      </c>
      <c r="U914">
        <v>0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</row>
    <row r="915" spans="1:47" x14ac:dyDescent="0.3">
      <c r="A915" t="s">
        <v>326</v>
      </c>
      <c r="B915" s="3">
        <v>2016</v>
      </c>
      <c r="C915" s="3">
        <v>1244.26489257813</v>
      </c>
      <c r="D915" s="3">
        <v>3051.39819335938</v>
      </c>
      <c r="E915" s="3">
        <v>6.0529623180627802E-2</v>
      </c>
      <c r="F915" s="3">
        <v>0.86088669300079401</v>
      </c>
      <c r="G915" s="3">
        <v>1.89254507422447E-2</v>
      </c>
      <c r="H915" s="3">
        <v>6.2047854065895101E-2</v>
      </c>
      <c r="I915" s="3">
        <v>22.148860634783802</v>
      </c>
      <c r="J915" s="3"/>
      <c r="K915" s="3"/>
      <c r="L915" s="3">
        <f t="shared" si="14"/>
        <v>2</v>
      </c>
      <c r="M915">
        <f>VLOOKUP(A915,Sheet2!$B$2:$E$186,2,FALSE)</f>
        <v>153</v>
      </c>
      <c r="N915" t="s">
        <v>387</v>
      </c>
      <c r="O915" t="s">
        <v>388</v>
      </c>
      <c r="P915">
        <v>0</v>
      </c>
      <c r="Q915">
        <v>0</v>
      </c>
      <c r="R915">
        <v>0</v>
      </c>
      <c r="S915">
        <v>1</v>
      </c>
      <c r="T915">
        <v>0</v>
      </c>
      <c r="U915">
        <v>0</v>
      </c>
      <c r="V915">
        <v>1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</row>
    <row r="916" spans="1:47" x14ac:dyDescent="0.3">
      <c r="A916" t="s">
        <v>326</v>
      </c>
      <c r="B916" s="3">
        <v>2017</v>
      </c>
      <c r="C916" s="3">
        <v>1292.15637207031</v>
      </c>
      <c r="D916" s="3">
        <v>3156.19946289063</v>
      </c>
      <c r="E916" s="3">
        <v>6.15046285092831E-2</v>
      </c>
      <c r="F916" s="3">
        <v>0.88804399967193604</v>
      </c>
      <c r="G916" s="3">
        <v>2.1909715607762299E-2</v>
      </c>
      <c r="H916" s="3">
        <v>6.1497360467910801E-2</v>
      </c>
      <c r="I916" s="3">
        <v>21.741138360711599</v>
      </c>
      <c r="J916" s="3"/>
      <c r="K916" s="3"/>
      <c r="L916" s="3">
        <f t="shared" si="14"/>
        <v>3</v>
      </c>
      <c r="M916">
        <f>VLOOKUP(A916,Sheet2!$B$2:$E$186,2,FALSE)</f>
        <v>153</v>
      </c>
      <c r="N916" t="s">
        <v>387</v>
      </c>
      <c r="O916" t="s">
        <v>388</v>
      </c>
      <c r="P916">
        <v>0</v>
      </c>
      <c r="Q916">
        <v>0</v>
      </c>
      <c r="R916">
        <v>0</v>
      </c>
      <c r="S916">
        <v>1</v>
      </c>
      <c r="T916">
        <v>0</v>
      </c>
      <c r="U916">
        <v>0</v>
      </c>
      <c r="V916">
        <v>1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</row>
    <row r="917" spans="1:47" x14ac:dyDescent="0.3">
      <c r="A917" t="s">
        <v>326</v>
      </c>
      <c r="B917" s="3">
        <v>2018</v>
      </c>
      <c r="C917" s="3">
        <v>1330.2138671875</v>
      </c>
      <c r="D917" s="3">
        <v>3258.61865234375</v>
      </c>
      <c r="E917" s="3">
        <v>6.2633819878101404E-2</v>
      </c>
      <c r="F917" s="3">
        <v>0.91037046909332298</v>
      </c>
      <c r="G917" s="3">
        <v>4.28815074265003E-2</v>
      </c>
      <c r="H917" s="3">
        <v>6.08553737401962E-2</v>
      </c>
      <c r="I917" s="3">
        <v>20.750859237091401</v>
      </c>
      <c r="J917" s="3"/>
      <c r="K917" s="3"/>
      <c r="L917" s="3">
        <f t="shared" si="14"/>
        <v>4</v>
      </c>
      <c r="M917">
        <f>VLOOKUP(A917,Sheet2!$B$2:$E$186,2,FALSE)</f>
        <v>153</v>
      </c>
      <c r="N917" t="s">
        <v>387</v>
      </c>
      <c r="O917" t="s">
        <v>388</v>
      </c>
      <c r="P917">
        <v>0</v>
      </c>
      <c r="Q917">
        <v>0</v>
      </c>
      <c r="R917">
        <v>0</v>
      </c>
      <c r="S917">
        <v>1</v>
      </c>
      <c r="T917">
        <v>0</v>
      </c>
      <c r="U917">
        <v>0</v>
      </c>
      <c r="V917">
        <v>1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</row>
    <row r="918" spans="1:47" x14ac:dyDescent="0.3">
      <c r="A918" t="s">
        <v>326</v>
      </c>
      <c r="B918" s="3">
        <v>2019</v>
      </c>
      <c r="C918" s="3">
        <v>1359.47863769531</v>
      </c>
      <c r="D918" s="3">
        <v>3366.53588867188</v>
      </c>
      <c r="E918" s="3">
        <v>6.3757553696632399E-2</v>
      </c>
      <c r="F918" s="3">
        <v>0.930686354637146</v>
      </c>
      <c r="G918" s="3">
        <v>6.2792249023914296E-2</v>
      </c>
      <c r="H918" s="3">
        <v>5.9843078255653402E-2</v>
      </c>
      <c r="I918" s="3">
        <v>21.8847418164689</v>
      </c>
      <c r="J918" s="3"/>
      <c r="K918" s="3"/>
      <c r="L918" s="3">
        <f t="shared" si="14"/>
        <v>5</v>
      </c>
      <c r="M918">
        <f>VLOOKUP(A918,Sheet2!$B$2:$E$186,2,FALSE)</f>
        <v>153</v>
      </c>
      <c r="N918" t="s">
        <v>387</v>
      </c>
      <c r="O918" t="s">
        <v>388</v>
      </c>
      <c r="P918">
        <v>0</v>
      </c>
      <c r="Q918">
        <v>0</v>
      </c>
      <c r="R918">
        <v>0</v>
      </c>
      <c r="S918">
        <v>1</v>
      </c>
      <c r="T918">
        <v>0</v>
      </c>
      <c r="U918">
        <v>0</v>
      </c>
      <c r="V918">
        <v>1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</row>
    <row r="919" spans="1:47" x14ac:dyDescent="0.3">
      <c r="A919" t="s">
        <v>326</v>
      </c>
      <c r="B919" s="3">
        <v>2020</v>
      </c>
      <c r="C919" s="3">
        <v>1401.62231445313</v>
      </c>
      <c r="D919" s="3">
        <v>3419.16259765625</v>
      </c>
      <c r="E919" s="3">
        <v>6.39297589659691E-2</v>
      </c>
      <c r="F919" s="3">
        <v>0.929435133934021</v>
      </c>
      <c r="G919" s="3">
        <v>6.5313495695591001E-2</v>
      </c>
      <c r="H919" s="3">
        <v>5.8183439075946801E-2</v>
      </c>
      <c r="I919" s="3">
        <v>21.507059099358202</v>
      </c>
      <c r="J919" s="3"/>
      <c r="K919" s="3"/>
      <c r="L919" s="3">
        <f t="shared" si="14"/>
        <v>6</v>
      </c>
      <c r="M919">
        <f>VLOOKUP(A919,Sheet2!$B$2:$E$186,2,FALSE)</f>
        <v>153</v>
      </c>
      <c r="N919" t="s">
        <v>387</v>
      </c>
      <c r="O919" t="s">
        <v>388</v>
      </c>
      <c r="P919">
        <v>0</v>
      </c>
      <c r="Q919">
        <v>0</v>
      </c>
      <c r="R919">
        <v>0</v>
      </c>
      <c r="S919">
        <v>1</v>
      </c>
      <c r="T919">
        <v>0</v>
      </c>
      <c r="U919">
        <v>0</v>
      </c>
      <c r="V919">
        <v>1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</row>
    <row r="920" spans="1:47" x14ac:dyDescent="0.3">
      <c r="A920" t="s">
        <v>328</v>
      </c>
      <c r="B920" s="3">
        <v>2015</v>
      </c>
      <c r="C920" s="3">
        <v>11879.9921875</v>
      </c>
      <c r="D920" s="3">
        <v>45360.171875</v>
      </c>
      <c r="E920" s="3">
        <v>0.20831488072872201</v>
      </c>
      <c r="F920" s="3">
        <v>0.80849766731262196</v>
      </c>
      <c r="G920" s="3">
        <v>2.2520037367940001E-2</v>
      </c>
      <c r="H920" s="3">
        <v>8.0817714333534199E-2</v>
      </c>
      <c r="I920" s="3">
        <v>3.4166666666666701</v>
      </c>
      <c r="J920" s="3"/>
      <c r="K920" s="3"/>
      <c r="L920" s="3">
        <f t="shared" si="14"/>
        <v>1</v>
      </c>
      <c r="M920">
        <f>VLOOKUP(A920,Sheet2!$B$2:$E$186,2,FALSE)</f>
        <v>154</v>
      </c>
      <c r="N920" t="s">
        <v>385</v>
      </c>
      <c r="O920" t="s">
        <v>393</v>
      </c>
      <c r="P920">
        <v>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1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</row>
    <row r="921" spans="1:47" x14ac:dyDescent="0.3">
      <c r="A921" t="s">
        <v>328</v>
      </c>
      <c r="B921" s="3">
        <v>2016</v>
      </c>
      <c r="C921" s="3">
        <v>11296.4873046875</v>
      </c>
      <c r="D921" s="3">
        <v>46926.0390625</v>
      </c>
      <c r="E921" s="3">
        <v>0.21051038801670099</v>
      </c>
      <c r="F921" s="3">
        <v>0.83878189325332597</v>
      </c>
      <c r="G921" s="3">
        <v>5.6351624429225901E-2</v>
      </c>
      <c r="H921" s="3">
        <v>8.1271104514598902E-2</v>
      </c>
      <c r="I921" s="3">
        <v>6.2286302784897902</v>
      </c>
      <c r="J921" s="3"/>
      <c r="K921" s="3"/>
      <c r="L921" s="3">
        <f t="shared" si="14"/>
        <v>2</v>
      </c>
      <c r="M921">
        <f>VLOOKUP(A921,Sheet2!$B$2:$E$186,2,FALSE)</f>
        <v>154</v>
      </c>
      <c r="N921" t="s">
        <v>385</v>
      </c>
      <c r="O921" t="s">
        <v>393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1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</row>
    <row r="922" spans="1:47" x14ac:dyDescent="0.3">
      <c r="A922" t="s">
        <v>328</v>
      </c>
      <c r="B922" s="3">
        <v>2017</v>
      </c>
      <c r="C922" s="3">
        <v>11473.39453125</v>
      </c>
      <c r="D922" s="3">
        <v>48065.79296875</v>
      </c>
      <c r="E922" s="3">
        <v>0.21391838788986201</v>
      </c>
      <c r="F922" s="3">
        <v>0.86013197898864802</v>
      </c>
      <c r="G922" s="3">
        <v>5.00085204839706E-2</v>
      </c>
      <c r="H922" s="3">
        <v>8.1275053322315202E-2</v>
      </c>
      <c r="I922" s="3">
        <v>7.4876611249999998</v>
      </c>
      <c r="J922" s="3"/>
      <c r="K922" s="3"/>
      <c r="L922" s="3">
        <f t="shared" si="14"/>
        <v>3</v>
      </c>
      <c r="M922">
        <f>VLOOKUP(A922,Sheet2!$B$2:$E$186,2,FALSE)</f>
        <v>154</v>
      </c>
      <c r="N922" t="s">
        <v>385</v>
      </c>
      <c r="O922" t="s">
        <v>393</v>
      </c>
      <c r="P922">
        <v>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</row>
    <row r="923" spans="1:47" x14ac:dyDescent="0.3">
      <c r="A923" t="s">
        <v>328</v>
      </c>
      <c r="B923" s="3">
        <v>2018</v>
      </c>
      <c r="C923" s="3">
        <v>12041.12890625</v>
      </c>
      <c r="D923" s="3">
        <v>50280.921875</v>
      </c>
      <c r="E923" s="3">
        <v>0.21835021674633001</v>
      </c>
      <c r="F923" s="3">
        <v>0.90421152114868197</v>
      </c>
      <c r="G923" s="3">
        <v>5.9687957167625399E-2</v>
      </c>
      <c r="H923" s="3">
        <v>8.1451974809169797E-2</v>
      </c>
      <c r="I923" s="3">
        <v>7.4625111984126997</v>
      </c>
      <c r="J923" s="3"/>
      <c r="K923" s="3"/>
      <c r="L923" s="3">
        <f t="shared" si="14"/>
        <v>4</v>
      </c>
      <c r="M923">
        <f>VLOOKUP(A923,Sheet2!$B$2:$E$186,2,FALSE)</f>
        <v>154</v>
      </c>
      <c r="N923" t="s">
        <v>385</v>
      </c>
      <c r="O923" t="s">
        <v>393</v>
      </c>
      <c r="P923">
        <v>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1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</row>
    <row r="924" spans="1:47" x14ac:dyDescent="0.3">
      <c r="A924" t="s">
        <v>328</v>
      </c>
      <c r="B924" s="3">
        <v>2019</v>
      </c>
      <c r="C924" s="3">
        <v>12181.7197265625</v>
      </c>
      <c r="D924" s="3">
        <v>52887.34375</v>
      </c>
      <c r="E924" s="3">
        <v>0.22219797968864399</v>
      </c>
      <c r="F924" s="3">
        <v>0.95852577686309803</v>
      </c>
      <c r="G924" s="3">
        <v>5.46136945486069E-2</v>
      </c>
      <c r="H924" s="3">
        <v>8.1996224820613903E-2</v>
      </c>
      <c r="I924" s="3">
        <v>7.4580000000000002</v>
      </c>
      <c r="J924" s="3"/>
      <c r="K924" s="3"/>
      <c r="L924" s="3">
        <f t="shared" si="14"/>
        <v>5</v>
      </c>
      <c r="M924">
        <f>VLOOKUP(A924,Sheet2!$B$2:$E$186,2,FALSE)</f>
        <v>154</v>
      </c>
      <c r="N924" t="s">
        <v>385</v>
      </c>
      <c r="O924" t="s">
        <v>393</v>
      </c>
      <c r="P924">
        <v>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1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</row>
    <row r="925" spans="1:47" x14ac:dyDescent="0.3">
      <c r="A925" t="s">
        <v>328</v>
      </c>
      <c r="B925" s="3">
        <v>2020</v>
      </c>
      <c r="C925" s="3">
        <v>10235.66796875</v>
      </c>
      <c r="D925" s="3">
        <v>53810.9140625</v>
      </c>
      <c r="E925" s="3">
        <v>0.209645465016365</v>
      </c>
      <c r="F925" s="3">
        <v>0.97032612562179599</v>
      </c>
      <c r="G925" s="3">
        <v>8.6427964270114899E-2</v>
      </c>
      <c r="H925" s="3">
        <v>8.1835426390171107E-2</v>
      </c>
      <c r="I925" s="3">
        <v>9.3095454545454608</v>
      </c>
      <c r="J925" s="3"/>
      <c r="K925" s="3"/>
      <c r="L925" s="3">
        <f t="shared" si="14"/>
        <v>6</v>
      </c>
      <c r="M925">
        <f>VLOOKUP(A925,Sheet2!$B$2:$E$186,2,FALSE)</f>
        <v>154</v>
      </c>
      <c r="N925" t="s">
        <v>385</v>
      </c>
      <c r="O925" t="s">
        <v>393</v>
      </c>
      <c r="P925">
        <v>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1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</row>
    <row r="926" spans="1:47" x14ac:dyDescent="0.3">
      <c r="A926" t="s">
        <v>330</v>
      </c>
      <c r="B926" s="3">
        <v>2015</v>
      </c>
      <c r="C926" s="3">
        <v>152040.625</v>
      </c>
      <c r="D926" s="3">
        <v>764748.625</v>
      </c>
      <c r="E926" s="3">
        <v>2.2812447547912602</v>
      </c>
      <c r="F926" s="3">
        <v>0.888835549354553</v>
      </c>
      <c r="G926" s="3">
        <v>0.115168415009975</v>
      </c>
      <c r="H926" s="3">
        <v>4.6675898134708398E-2</v>
      </c>
      <c r="I926" s="3">
        <v>0.90129642336709603</v>
      </c>
      <c r="J926" s="3">
        <v>3.7092039585113499</v>
      </c>
      <c r="K926" s="3">
        <v>0.91128140687942505</v>
      </c>
      <c r="L926" s="3">
        <f t="shared" si="14"/>
        <v>1</v>
      </c>
      <c r="M926">
        <f>VLOOKUP(A926,Sheet2!$B$2:$E$186,2,FALSE)</f>
        <v>155</v>
      </c>
      <c r="N926" t="s">
        <v>389</v>
      </c>
      <c r="O926" t="s">
        <v>400</v>
      </c>
      <c r="P926">
        <v>0</v>
      </c>
      <c r="Q926">
        <v>1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1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</row>
    <row r="927" spans="1:47" x14ac:dyDescent="0.3">
      <c r="A927" t="s">
        <v>330</v>
      </c>
      <c r="B927" s="3">
        <v>2016</v>
      </c>
      <c r="C927" s="3">
        <v>155002.109375</v>
      </c>
      <c r="D927" s="3">
        <v>779870.4375</v>
      </c>
      <c r="E927" s="3">
        <v>2.3348939418792698</v>
      </c>
      <c r="F927" s="3">
        <v>0.91040301322937001</v>
      </c>
      <c r="G927" s="3">
        <v>0.108052797615528</v>
      </c>
      <c r="H927" s="3">
        <v>4.7450322657823597E-2</v>
      </c>
      <c r="I927" s="3">
        <v>0.90342143625726301</v>
      </c>
      <c r="J927" s="3">
        <v>3.7280433177947998</v>
      </c>
      <c r="K927" s="3">
        <v>0.90612363815307595</v>
      </c>
      <c r="L927" s="3">
        <f t="shared" si="14"/>
        <v>2</v>
      </c>
      <c r="M927">
        <f>VLOOKUP(A927,Sheet2!$B$2:$E$186,2,FALSE)</f>
        <v>155</v>
      </c>
      <c r="N927" t="s">
        <v>389</v>
      </c>
      <c r="O927" t="s">
        <v>400</v>
      </c>
      <c r="P927">
        <v>0</v>
      </c>
      <c r="Q927">
        <v>1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</row>
    <row r="928" spans="1:47" x14ac:dyDescent="0.3">
      <c r="A928" t="s">
        <v>330</v>
      </c>
      <c r="B928" s="3">
        <v>2017</v>
      </c>
      <c r="C928" s="3">
        <v>159458</v>
      </c>
      <c r="D928" s="3">
        <v>793949.3125</v>
      </c>
      <c r="E928" s="3">
        <v>2.3867852687835698</v>
      </c>
      <c r="F928" s="3">
        <v>0.92856502532958995</v>
      </c>
      <c r="G928" s="3">
        <v>0.10148877650499299</v>
      </c>
      <c r="H928" s="3">
        <v>4.7848325222730602E-2</v>
      </c>
      <c r="I928" s="3">
        <v>0.88520550826937205</v>
      </c>
      <c r="J928" s="3">
        <v>3.7442674636840798</v>
      </c>
      <c r="K928" s="3">
        <v>0.91895306110382102</v>
      </c>
      <c r="L928" s="3">
        <f t="shared" si="14"/>
        <v>3</v>
      </c>
      <c r="M928">
        <f>VLOOKUP(A928,Sheet2!$B$2:$E$186,2,FALSE)</f>
        <v>155</v>
      </c>
      <c r="N928" t="s">
        <v>389</v>
      </c>
      <c r="O928" t="s">
        <v>400</v>
      </c>
      <c r="P928">
        <v>0</v>
      </c>
      <c r="Q928">
        <v>1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1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</row>
    <row r="929" spans="1:40" x14ac:dyDescent="0.3">
      <c r="A929" t="s">
        <v>330</v>
      </c>
      <c r="B929" s="3">
        <v>2018</v>
      </c>
      <c r="C929" s="3">
        <v>165935.375</v>
      </c>
      <c r="D929" s="3">
        <v>808975.875</v>
      </c>
      <c r="E929" s="3">
        <v>2.4346792697906499</v>
      </c>
      <c r="F929" s="3">
        <v>0.94826656579971302</v>
      </c>
      <c r="G929" s="3">
        <v>9.7817018628120395E-2</v>
      </c>
      <c r="H929" s="3">
        <v>4.8105169087648399E-2</v>
      </c>
      <c r="I929" s="3">
        <v>0.84677266710811105</v>
      </c>
      <c r="J929" s="3">
        <v>3.7714645862579301</v>
      </c>
      <c r="K929" s="3">
        <v>0.93224525451660201</v>
      </c>
      <c r="L929" s="3">
        <f t="shared" si="14"/>
        <v>4</v>
      </c>
      <c r="M929">
        <f>VLOOKUP(A929,Sheet2!$B$2:$E$186,2,FALSE)</f>
        <v>155</v>
      </c>
      <c r="N929" t="s">
        <v>389</v>
      </c>
      <c r="O929" t="s">
        <v>400</v>
      </c>
      <c r="P929">
        <v>0</v>
      </c>
      <c r="Q929">
        <v>1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</row>
    <row r="930" spans="1:40" x14ac:dyDescent="0.3">
      <c r="A930" t="s">
        <v>330</v>
      </c>
      <c r="B930" s="3">
        <v>2019</v>
      </c>
      <c r="C930" s="3">
        <v>169711.890625</v>
      </c>
      <c r="D930" s="3">
        <v>825639.5</v>
      </c>
      <c r="E930" s="3">
        <v>2.4602005481720002</v>
      </c>
      <c r="F930" s="3">
        <v>0.972803354263306</v>
      </c>
      <c r="G930" s="3">
        <v>9.3523100018501296E-2</v>
      </c>
      <c r="H930" s="3">
        <v>4.8545882105827297E-2</v>
      </c>
      <c r="I930" s="3">
        <v>0.89327625706740899</v>
      </c>
      <c r="J930" s="3">
        <v>3.78239893913269</v>
      </c>
      <c r="K930" s="3">
        <v>0.94814401865005504</v>
      </c>
      <c r="L930" s="3">
        <f t="shared" si="14"/>
        <v>5</v>
      </c>
      <c r="M930">
        <f>VLOOKUP(A930,Sheet2!$B$2:$E$186,2,FALSE)</f>
        <v>155</v>
      </c>
      <c r="N930" t="s">
        <v>389</v>
      </c>
      <c r="O930" t="s">
        <v>400</v>
      </c>
      <c r="P930">
        <v>0</v>
      </c>
      <c r="Q930">
        <v>1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</row>
    <row r="931" spans="1:40" x14ac:dyDescent="0.3">
      <c r="A931" t="s">
        <v>330</v>
      </c>
      <c r="B931" s="3">
        <v>2020</v>
      </c>
      <c r="C931" s="3">
        <v>165323.96875</v>
      </c>
      <c r="D931" s="3">
        <v>835838.75</v>
      </c>
      <c r="E931" s="3">
        <v>2.4125297069549601</v>
      </c>
      <c r="F931" s="3">
        <v>0.98402488231658902</v>
      </c>
      <c r="G931" s="3">
        <v>8.9121900498866993E-2</v>
      </c>
      <c r="H931" s="3">
        <v>4.8790093511343002E-2</v>
      </c>
      <c r="I931" s="3">
        <v>0.87550639698799804</v>
      </c>
      <c r="J931" s="3">
        <v>3.8096458911895801</v>
      </c>
      <c r="K931" s="3">
        <v>0.95045161247253396</v>
      </c>
      <c r="L931" s="3">
        <f t="shared" si="14"/>
        <v>6</v>
      </c>
      <c r="M931">
        <f>VLOOKUP(A931,Sheet2!$B$2:$E$186,2,FALSE)</f>
        <v>155</v>
      </c>
      <c r="N931" t="s">
        <v>389</v>
      </c>
      <c r="O931" t="s">
        <v>400</v>
      </c>
      <c r="P931">
        <v>0</v>
      </c>
      <c r="Q931">
        <v>1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1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</row>
    <row r="932" spans="1:40" x14ac:dyDescent="0.3">
      <c r="A932" t="s">
        <v>331</v>
      </c>
      <c r="B932" s="3">
        <v>2015</v>
      </c>
      <c r="C932" s="3">
        <v>70071.140625</v>
      </c>
      <c r="D932" s="3">
        <v>539521.6875</v>
      </c>
      <c r="E932" s="3">
        <v>0.93590158224105802</v>
      </c>
      <c r="F932" s="3">
        <v>0.91188216209411599</v>
      </c>
      <c r="G932" s="3">
        <v>4.9781288951635402E-2</v>
      </c>
      <c r="H932" s="3">
        <v>4.09746095538139E-2</v>
      </c>
      <c r="I932" s="3">
        <v>0.90129642336709603</v>
      </c>
      <c r="J932" s="3">
        <v>3.5115082263946502</v>
      </c>
      <c r="K932" s="3">
        <v>0.88358587026596103</v>
      </c>
      <c r="L932" s="3">
        <f t="shared" si="14"/>
        <v>1</v>
      </c>
      <c r="M932">
        <f>VLOOKUP(A932,Sheet2!$B$2:$E$186,2,FALSE)</f>
        <v>156</v>
      </c>
      <c r="N932" t="s">
        <v>389</v>
      </c>
      <c r="O932" t="s">
        <v>390</v>
      </c>
      <c r="P932">
        <v>0</v>
      </c>
      <c r="Q932">
        <v>1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</row>
    <row r="933" spans="1:40" x14ac:dyDescent="0.3">
      <c r="A933" t="s">
        <v>331</v>
      </c>
      <c r="B933" s="3">
        <v>2016</v>
      </c>
      <c r="C933" s="3">
        <v>72197.390625</v>
      </c>
      <c r="D933" s="3">
        <v>540476.625</v>
      </c>
      <c r="E933" s="3">
        <v>0.95329487323760997</v>
      </c>
      <c r="F933" s="3">
        <v>0.91761672496795699</v>
      </c>
      <c r="G933" s="3">
        <v>5.01214377582073E-2</v>
      </c>
      <c r="H933" s="3">
        <v>4.1195917874574703E-2</v>
      </c>
      <c r="I933" s="3">
        <v>0.90342143625726301</v>
      </c>
      <c r="J933" s="3">
        <v>3.53561639785767</v>
      </c>
      <c r="K933" s="3">
        <v>0.90445339679717995</v>
      </c>
      <c r="L933" s="3">
        <f t="shared" si="14"/>
        <v>2</v>
      </c>
      <c r="M933">
        <f>VLOOKUP(A933,Sheet2!$B$2:$E$186,2,FALSE)</f>
        <v>156</v>
      </c>
      <c r="N933" t="s">
        <v>389</v>
      </c>
      <c r="O933" t="s">
        <v>390</v>
      </c>
      <c r="P933">
        <v>0</v>
      </c>
      <c r="Q933">
        <v>1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</row>
    <row r="934" spans="1:40" x14ac:dyDescent="0.3">
      <c r="A934" t="s">
        <v>331</v>
      </c>
      <c r="B934" s="3">
        <v>2017</v>
      </c>
      <c r="C934" s="3">
        <v>75933.171875</v>
      </c>
      <c r="D934" s="3">
        <v>543443.5</v>
      </c>
      <c r="E934" s="3">
        <v>0.98092597723007202</v>
      </c>
      <c r="F934" s="3">
        <v>0.92917501926422097</v>
      </c>
      <c r="G934" s="3">
        <v>5.45822083950043E-2</v>
      </c>
      <c r="H934" s="3">
        <v>4.1578937321901301E-2</v>
      </c>
      <c r="I934" s="3">
        <v>0.88520550826937205</v>
      </c>
      <c r="J934" s="3">
        <v>3.5428812503814702</v>
      </c>
      <c r="K934" s="3">
        <v>0.932139873504639</v>
      </c>
      <c r="L934" s="3">
        <f t="shared" si="14"/>
        <v>3</v>
      </c>
      <c r="M934">
        <f>VLOOKUP(A934,Sheet2!$B$2:$E$186,2,FALSE)</f>
        <v>156</v>
      </c>
      <c r="N934" t="s">
        <v>389</v>
      </c>
      <c r="O934" t="s">
        <v>390</v>
      </c>
      <c r="P934">
        <v>0</v>
      </c>
      <c r="Q934">
        <v>1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</row>
    <row r="935" spans="1:40" x14ac:dyDescent="0.3">
      <c r="A935" t="s">
        <v>331</v>
      </c>
      <c r="B935" s="3">
        <v>2018</v>
      </c>
      <c r="C935" s="3">
        <v>79258.3515625</v>
      </c>
      <c r="D935" s="3">
        <v>548618.625</v>
      </c>
      <c r="E935" s="3">
        <v>1.0124607086181601</v>
      </c>
      <c r="F935" s="3">
        <v>0.94705778360366799</v>
      </c>
      <c r="G935" s="3">
        <v>5.5207315832376501E-2</v>
      </c>
      <c r="H935" s="3">
        <v>4.2180504649877597E-2</v>
      </c>
      <c r="I935" s="3">
        <v>0.84677266710811105</v>
      </c>
      <c r="J935" s="3">
        <v>3.5550222396850599</v>
      </c>
      <c r="K935" s="3">
        <v>0.95719522237777699</v>
      </c>
      <c r="L935" s="3">
        <f t="shared" si="14"/>
        <v>4</v>
      </c>
      <c r="M935">
        <f>VLOOKUP(A935,Sheet2!$B$2:$E$186,2,FALSE)</f>
        <v>156</v>
      </c>
      <c r="N935" t="s">
        <v>389</v>
      </c>
      <c r="O935" t="s">
        <v>390</v>
      </c>
      <c r="P935">
        <v>0</v>
      </c>
      <c r="Q935">
        <v>1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</row>
    <row r="936" spans="1:40" x14ac:dyDescent="0.3">
      <c r="A936" t="s">
        <v>331</v>
      </c>
      <c r="B936" s="3">
        <v>2019</v>
      </c>
      <c r="C936" s="3">
        <v>82036.5546875</v>
      </c>
      <c r="D936" s="3">
        <v>554750.875</v>
      </c>
      <c r="E936" s="3">
        <v>1.0355598926544201</v>
      </c>
      <c r="F936" s="3">
        <v>0.96669548749923695</v>
      </c>
      <c r="G936" s="3">
        <v>5.5178083479404498E-2</v>
      </c>
      <c r="H936" s="3">
        <v>4.2896244674921001E-2</v>
      </c>
      <c r="I936" s="3">
        <v>0.89327625706740899</v>
      </c>
      <c r="J936" s="3">
        <v>3.5672049522399898</v>
      </c>
      <c r="K936" s="3">
        <v>0.96837496757507302</v>
      </c>
      <c r="L936" s="3">
        <f t="shared" si="14"/>
        <v>5</v>
      </c>
      <c r="M936">
        <f>VLOOKUP(A936,Sheet2!$B$2:$E$186,2,FALSE)</f>
        <v>156</v>
      </c>
      <c r="N936" t="s">
        <v>389</v>
      </c>
      <c r="O936" t="s">
        <v>390</v>
      </c>
      <c r="P936">
        <v>0</v>
      </c>
      <c r="Q936">
        <v>1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</row>
    <row r="937" spans="1:40" x14ac:dyDescent="0.3">
      <c r="A937" t="s">
        <v>331</v>
      </c>
      <c r="B937" s="3">
        <v>2020</v>
      </c>
      <c r="C937" s="3">
        <v>78685.3671875</v>
      </c>
      <c r="D937" s="3">
        <v>558192.875</v>
      </c>
      <c r="E937" s="3">
        <v>1.03092241287231</v>
      </c>
      <c r="F937" s="3">
        <v>0.97848373651504505</v>
      </c>
      <c r="G937" s="3">
        <v>5.0014283508062397E-2</v>
      </c>
      <c r="H937" s="3">
        <v>4.3486945331096698E-2</v>
      </c>
      <c r="I937" s="3">
        <v>0.87550639698799804</v>
      </c>
      <c r="J937" s="3">
        <v>3.5888702869415301</v>
      </c>
      <c r="K937" s="3">
        <v>0.950345039367676</v>
      </c>
      <c r="L937" s="3">
        <f t="shared" si="14"/>
        <v>6</v>
      </c>
      <c r="M937">
        <f>VLOOKUP(A937,Sheet2!$B$2:$E$186,2,FALSE)</f>
        <v>156</v>
      </c>
      <c r="N937" t="s">
        <v>389</v>
      </c>
      <c r="O937" t="s">
        <v>390</v>
      </c>
      <c r="P937">
        <v>0</v>
      </c>
      <c r="Q937">
        <v>1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</row>
    <row r="938" spans="1:40" x14ac:dyDescent="0.3">
      <c r="A938" t="s">
        <v>332</v>
      </c>
      <c r="B938" s="3">
        <v>2015</v>
      </c>
      <c r="C938" s="3">
        <v>553360.75</v>
      </c>
      <c r="D938" s="3">
        <v>2666097.75</v>
      </c>
      <c r="E938" s="3">
        <v>4.8792991638183603</v>
      </c>
      <c r="F938" s="3">
        <v>0.85503649711608898</v>
      </c>
      <c r="G938" s="3">
        <v>5.6883826851844801E-2</v>
      </c>
      <c r="H938" s="3">
        <v>4.1844937950372703E-2</v>
      </c>
      <c r="I938" s="3">
        <v>8.4348408333333307</v>
      </c>
      <c r="J938" s="3">
        <v>3.3959405422210698</v>
      </c>
      <c r="K938" s="3">
        <v>0.99160075187683105</v>
      </c>
      <c r="L938" s="3">
        <f t="shared" si="14"/>
        <v>1</v>
      </c>
      <c r="M938">
        <f>VLOOKUP(A938,Sheet2!$B$2:$E$186,2,FALSE)</f>
        <v>157</v>
      </c>
      <c r="N938" t="s">
        <v>389</v>
      </c>
      <c r="O938" t="s">
        <v>406</v>
      </c>
      <c r="P938">
        <v>0</v>
      </c>
      <c r="Q938">
        <v>1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1</v>
      </c>
      <c r="AL938">
        <v>0</v>
      </c>
      <c r="AM938">
        <v>0</v>
      </c>
      <c r="AN938">
        <v>0</v>
      </c>
    </row>
    <row r="939" spans="1:40" x14ac:dyDescent="0.3">
      <c r="A939" t="s">
        <v>332</v>
      </c>
      <c r="B939" s="3">
        <v>2016</v>
      </c>
      <c r="C939" s="3">
        <v>566363.3125</v>
      </c>
      <c r="D939" s="3">
        <v>2715474.75</v>
      </c>
      <c r="E939" s="3">
        <v>4.9805207252502397</v>
      </c>
      <c r="F939" s="3">
        <v>0.87653672695159901</v>
      </c>
      <c r="G939" s="3">
        <v>5.36223761737347E-2</v>
      </c>
      <c r="H939" s="3">
        <v>4.2314019054174402E-2</v>
      </c>
      <c r="I939" s="3">
        <v>8.5619916666666693</v>
      </c>
      <c r="J939" s="3">
        <v>3.4059081077575701</v>
      </c>
      <c r="K939" s="3">
        <v>0.99504315853118896</v>
      </c>
      <c r="L939" s="3">
        <f t="shared" si="14"/>
        <v>2</v>
      </c>
      <c r="M939">
        <f>VLOOKUP(A939,Sheet2!$B$2:$E$186,2,FALSE)</f>
        <v>157</v>
      </c>
      <c r="N939" t="s">
        <v>389</v>
      </c>
      <c r="O939" t="s">
        <v>406</v>
      </c>
      <c r="P939">
        <v>0</v>
      </c>
      <c r="Q939">
        <v>1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1</v>
      </c>
      <c r="AL939">
        <v>0</v>
      </c>
      <c r="AM939">
        <v>0</v>
      </c>
      <c r="AN939">
        <v>0</v>
      </c>
    </row>
    <row r="940" spans="1:40" x14ac:dyDescent="0.3">
      <c r="A940" t="s">
        <v>332</v>
      </c>
      <c r="B940" s="3">
        <v>2017</v>
      </c>
      <c r="C940" s="3">
        <v>576700.25</v>
      </c>
      <c r="D940" s="3">
        <v>2769029</v>
      </c>
      <c r="E940" s="3">
        <v>5.1015038490295401</v>
      </c>
      <c r="F940" s="3">
        <v>0.90120393037795998</v>
      </c>
      <c r="G940" s="3">
        <v>5.0923828035592998E-2</v>
      </c>
      <c r="H940" s="3">
        <v>4.2800191789865501E-2</v>
      </c>
      <c r="I940" s="3">
        <v>8.5488608333333307</v>
      </c>
      <c r="J940" s="3">
        <v>3.41590476036072</v>
      </c>
      <c r="K940" s="3">
        <v>0.99557536840438798</v>
      </c>
      <c r="L940" s="3">
        <f t="shared" si="14"/>
        <v>3</v>
      </c>
      <c r="M940">
        <f>VLOOKUP(A940,Sheet2!$B$2:$E$186,2,FALSE)</f>
        <v>157</v>
      </c>
      <c r="N940" t="s">
        <v>389</v>
      </c>
      <c r="O940" t="s">
        <v>406</v>
      </c>
      <c r="P940">
        <v>0</v>
      </c>
      <c r="Q940">
        <v>1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1</v>
      </c>
      <c r="AL940">
        <v>0</v>
      </c>
      <c r="AM940">
        <v>0</v>
      </c>
      <c r="AN940">
        <v>0</v>
      </c>
    </row>
    <row r="941" spans="1:40" x14ac:dyDescent="0.3">
      <c r="A941" t="s">
        <v>332</v>
      </c>
      <c r="B941" s="3">
        <v>2018</v>
      </c>
      <c r="C941" s="3">
        <v>587674.6875</v>
      </c>
      <c r="D941" s="3">
        <v>2821568</v>
      </c>
      <c r="E941" s="3">
        <v>5.1877489089965803</v>
      </c>
      <c r="F941" s="3">
        <v>0.926730155944824</v>
      </c>
      <c r="G941" s="3">
        <v>4.8322286456823398E-2</v>
      </c>
      <c r="H941" s="3">
        <v>4.3401390314102201E-2</v>
      </c>
      <c r="I941" s="3">
        <v>8.6925183333333305</v>
      </c>
      <c r="J941" s="3">
        <v>3.4259309768676798</v>
      </c>
      <c r="K941" s="3">
        <v>0.99019336700439498</v>
      </c>
      <c r="L941" s="3">
        <f t="shared" si="14"/>
        <v>4</v>
      </c>
      <c r="M941">
        <f>VLOOKUP(A941,Sheet2!$B$2:$E$186,2,FALSE)</f>
        <v>157</v>
      </c>
      <c r="N941" t="s">
        <v>389</v>
      </c>
      <c r="O941" t="s">
        <v>406</v>
      </c>
      <c r="P941">
        <v>0</v>
      </c>
      <c r="Q941">
        <v>1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1</v>
      </c>
      <c r="AL941">
        <v>0</v>
      </c>
      <c r="AM941">
        <v>0</v>
      </c>
      <c r="AN941">
        <v>0</v>
      </c>
    </row>
    <row r="942" spans="1:40" x14ac:dyDescent="0.3">
      <c r="A942" t="s">
        <v>332</v>
      </c>
      <c r="B942" s="3">
        <v>2019</v>
      </c>
      <c r="C942" s="3">
        <v>602658.3125</v>
      </c>
      <c r="D942" s="3">
        <v>2870844.75</v>
      </c>
      <c r="E942" s="3">
        <v>5.2184481620788601</v>
      </c>
      <c r="F942" s="3">
        <v>0.94979113340377797</v>
      </c>
      <c r="G942" s="3">
        <v>5.3157724440097802E-2</v>
      </c>
      <c r="H942" s="3">
        <v>4.39839400351048E-2</v>
      </c>
      <c r="I942" s="3">
        <v>9.4583491666666593</v>
      </c>
      <c r="J942" s="3">
        <v>3.4359862804412802</v>
      </c>
      <c r="K942" s="3">
        <v>0.98433429002761796</v>
      </c>
      <c r="L942" s="3">
        <f t="shared" si="14"/>
        <v>5</v>
      </c>
      <c r="M942">
        <f>VLOOKUP(A942,Sheet2!$B$2:$E$186,2,FALSE)</f>
        <v>157</v>
      </c>
      <c r="N942" t="s">
        <v>389</v>
      </c>
      <c r="O942" t="s">
        <v>406</v>
      </c>
      <c r="P942">
        <v>0</v>
      </c>
      <c r="Q942">
        <v>1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1</v>
      </c>
      <c r="AL942">
        <v>0</v>
      </c>
      <c r="AM942">
        <v>0</v>
      </c>
      <c r="AN942">
        <v>0</v>
      </c>
    </row>
    <row r="943" spans="1:40" x14ac:dyDescent="0.3">
      <c r="A943" t="s">
        <v>332</v>
      </c>
      <c r="B943" s="3">
        <v>2020</v>
      </c>
      <c r="C943" s="3">
        <v>590573</v>
      </c>
      <c r="D943" s="3">
        <v>2920411.5</v>
      </c>
      <c r="E943" s="3">
        <v>5.1543602943420401</v>
      </c>
      <c r="F943" s="3">
        <v>0.97063606977462802</v>
      </c>
      <c r="G943" s="3">
        <v>5.2302524447441101E-2</v>
      </c>
      <c r="H943" s="3">
        <v>4.4416531920433003E-2</v>
      </c>
      <c r="I943" s="3">
        <v>9.2103090284208502</v>
      </c>
      <c r="J943" s="3">
        <v>3.4460713863372798</v>
      </c>
      <c r="K943" s="3">
        <v>0.97224640846252397</v>
      </c>
      <c r="L943" s="3">
        <f t="shared" si="14"/>
        <v>6</v>
      </c>
      <c r="M943">
        <f>VLOOKUP(A943,Sheet2!$B$2:$E$186,2,FALSE)</f>
        <v>157</v>
      </c>
      <c r="N943" t="s">
        <v>389</v>
      </c>
      <c r="O943" t="s">
        <v>406</v>
      </c>
      <c r="P943">
        <v>0</v>
      </c>
      <c r="Q943">
        <v>1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1</v>
      </c>
      <c r="AL943">
        <v>0</v>
      </c>
      <c r="AM943">
        <v>0</v>
      </c>
      <c r="AN943">
        <v>0</v>
      </c>
    </row>
    <row r="944" spans="1:40" x14ac:dyDescent="0.3">
      <c r="A944" t="s">
        <v>334</v>
      </c>
      <c r="B944" s="3">
        <v>2015</v>
      </c>
      <c r="C944" s="3">
        <v>9691.9248046875</v>
      </c>
      <c r="D944" s="3">
        <v>26266.888671875</v>
      </c>
      <c r="E944" s="3">
        <v>0.287059307098389</v>
      </c>
      <c r="F944" s="3">
        <v>0.86284208297729503</v>
      </c>
      <c r="G944" s="3">
        <v>0.115092977881432</v>
      </c>
      <c r="H944" s="3">
        <v>4.9882322549819898E-2</v>
      </c>
      <c r="I944" s="3">
        <v>12.7589308811644</v>
      </c>
      <c r="J944" s="3">
        <v>1.7733523845672601</v>
      </c>
      <c r="K944" s="3">
        <v>0.90772664546966597</v>
      </c>
      <c r="L944" s="3">
        <f t="shared" si="14"/>
        <v>1</v>
      </c>
      <c r="M944">
        <f>VLOOKUP(A944,Sheet2!$B$2:$E$186,2,FALSE)</f>
        <v>158</v>
      </c>
      <c r="N944" t="s">
        <v>387</v>
      </c>
      <c r="O944" t="s">
        <v>404</v>
      </c>
      <c r="P944">
        <v>0</v>
      </c>
      <c r="Q944">
        <v>0</v>
      </c>
      <c r="R944">
        <v>0</v>
      </c>
      <c r="S944">
        <v>1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1</v>
      </c>
      <c r="AJ944">
        <v>0</v>
      </c>
      <c r="AK944">
        <v>0</v>
      </c>
      <c r="AL944">
        <v>0</v>
      </c>
      <c r="AM944">
        <v>0</v>
      </c>
      <c r="AN944">
        <v>0</v>
      </c>
    </row>
    <row r="945" spans="1:47" x14ac:dyDescent="0.3">
      <c r="A945" t="s">
        <v>334</v>
      </c>
      <c r="B945" s="3">
        <v>2016</v>
      </c>
      <c r="C945" s="3">
        <v>9794.9130859375</v>
      </c>
      <c r="D945" s="3">
        <v>26543.787109375</v>
      </c>
      <c r="E945" s="3">
        <v>0.29196399450302102</v>
      </c>
      <c r="F945" s="3">
        <v>0.87785094976425204</v>
      </c>
      <c r="G945" s="3">
        <v>0.121307030320168</v>
      </c>
      <c r="H945" s="3">
        <v>5.0897914916276897E-2</v>
      </c>
      <c r="I945" s="3">
        <v>14.7096108855267</v>
      </c>
      <c r="J945" s="3">
        <v>1.7858012914657599</v>
      </c>
      <c r="K945" s="3">
        <v>0.90086895227432295</v>
      </c>
      <c r="L945" s="3">
        <f t="shared" si="14"/>
        <v>2</v>
      </c>
      <c r="M945">
        <f>VLOOKUP(A945,Sheet2!$B$2:$E$186,2,FALSE)</f>
        <v>158</v>
      </c>
      <c r="N945" t="s">
        <v>387</v>
      </c>
      <c r="O945" t="s">
        <v>404</v>
      </c>
      <c r="P945">
        <v>0</v>
      </c>
      <c r="Q945">
        <v>0</v>
      </c>
      <c r="R945">
        <v>0</v>
      </c>
      <c r="S945">
        <v>1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1</v>
      </c>
      <c r="AJ945">
        <v>0</v>
      </c>
      <c r="AK945">
        <v>0</v>
      </c>
      <c r="AL945">
        <v>0</v>
      </c>
      <c r="AM945">
        <v>0</v>
      </c>
      <c r="AN945">
        <v>0</v>
      </c>
    </row>
    <row r="946" spans="1:47" x14ac:dyDescent="0.3">
      <c r="A946" t="s">
        <v>334</v>
      </c>
      <c r="B946" s="3">
        <v>2017</v>
      </c>
      <c r="C946" s="3">
        <v>9993.4140625</v>
      </c>
      <c r="D946" s="3">
        <v>26768.1171875</v>
      </c>
      <c r="E946" s="3">
        <v>0.28500944375991799</v>
      </c>
      <c r="F946" s="3">
        <v>0.89095693826675404</v>
      </c>
      <c r="G946" s="3">
        <v>0.117418706417084</v>
      </c>
      <c r="H946" s="3">
        <v>5.1831856369972201E-2</v>
      </c>
      <c r="I946" s="3">
        <v>13.3238014244992</v>
      </c>
      <c r="J946" s="3">
        <v>1.7983373403549201</v>
      </c>
      <c r="K946" s="3">
        <v>0.94214063882827803</v>
      </c>
      <c r="L946" s="3">
        <f t="shared" si="14"/>
        <v>3</v>
      </c>
      <c r="M946">
        <f>VLOOKUP(A946,Sheet2!$B$2:$E$186,2,FALSE)</f>
        <v>158</v>
      </c>
      <c r="N946" t="s">
        <v>387</v>
      </c>
      <c r="O946" t="s">
        <v>404</v>
      </c>
      <c r="P946">
        <v>0</v>
      </c>
      <c r="Q946">
        <v>0</v>
      </c>
      <c r="R946">
        <v>0</v>
      </c>
      <c r="S946">
        <v>1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1</v>
      </c>
      <c r="AJ946">
        <v>0</v>
      </c>
      <c r="AK946">
        <v>0</v>
      </c>
      <c r="AL946">
        <v>0</v>
      </c>
      <c r="AM946">
        <v>0</v>
      </c>
      <c r="AN946">
        <v>0</v>
      </c>
    </row>
    <row r="947" spans="1:47" x14ac:dyDescent="0.3">
      <c r="A947" t="s">
        <v>334</v>
      </c>
      <c r="B947" s="3">
        <v>2018</v>
      </c>
      <c r="C947" s="3">
        <v>10231.2666015625</v>
      </c>
      <c r="D947" s="3">
        <v>27485.5</v>
      </c>
      <c r="E947" s="3">
        <v>0.27840471267700201</v>
      </c>
      <c r="F947" s="3">
        <v>0.92321157455444303</v>
      </c>
      <c r="G947" s="3">
        <v>0.16173925995826699</v>
      </c>
      <c r="H947" s="3">
        <v>5.31821586191654E-2</v>
      </c>
      <c r="I947" s="3">
        <v>13.233926471583301</v>
      </c>
      <c r="J947" s="3">
        <v>1.8109616041183501</v>
      </c>
      <c r="K947" s="3">
        <v>0.97024208307266202</v>
      </c>
      <c r="L947" s="3">
        <f t="shared" si="14"/>
        <v>4</v>
      </c>
      <c r="M947">
        <f>VLOOKUP(A947,Sheet2!$B$2:$E$186,2,FALSE)</f>
        <v>158</v>
      </c>
      <c r="N947" t="s">
        <v>387</v>
      </c>
      <c r="O947" t="s">
        <v>404</v>
      </c>
      <c r="P947">
        <v>0</v>
      </c>
      <c r="Q947">
        <v>0</v>
      </c>
      <c r="R947">
        <v>0</v>
      </c>
      <c r="S947">
        <v>1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1</v>
      </c>
      <c r="AJ947">
        <v>0</v>
      </c>
      <c r="AK947">
        <v>0</v>
      </c>
      <c r="AL947">
        <v>0</v>
      </c>
      <c r="AM947">
        <v>0</v>
      </c>
      <c r="AN947">
        <v>0</v>
      </c>
    </row>
    <row r="948" spans="1:47" x14ac:dyDescent="0.3">
      <c r="A948" t="s">
        <v>334</v>
      </c>
      <c r="B948" s="3">
        <v>2019</v>
      </c>
      <c r="C948" s="3">
        <v>10506.708984375</v>
      </c>
      <c r="D948" s="3">
        <v>28154.078125</v>
      </c>
      <c r="E948" s="3">
        <v>0.27167877554893499</v>
      </c>
      <c r="F948" s="3">
        <v>0.95369875431060802</v>
      </c>
      <c r="G948" s="3">
        <v>0.15315106511116</v>
      </c>
      <c r="H948" s="3">
        <v>5.4942030459642403E-2</v>
      </c>
      <c r="I948" s="3">
        <v>14.451789228882401</v>
      </c>
      <c r="J948" s="3">
        <v>1.82367444038391</v>
      </c>
      <c r="K948" s="3">
        <v>0.95632845163345304</v>
      </c>
      <c r="L948" s="3">
        <f t="shared" si="14"/>
        <v>5</v>
      </c>
      <c r="M948">
        <f>VLOOKUP(A948,Sheet2!$B$2:$E$186,2,FALSE)</f>
        <v>158</v>
      </c>
      <c r="N948" t="s">
        <v>387</v>
      </c>
      <c r="O948" t="s">
        <v>404</v>
      </c>
      <c r="P948">
        <v>0</v>
      </c>
      <c r="Q948">
        <v>0</v>
      </c>
      <c r="R948">
        <v>0</v>
      </c>
      <c r="S948">
        <v>1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1</v>
      </c>
      <c r="AJ948">
        <v>0</v>
      </c>
      <c r="AK948">
        <v>0</v>
      </c>
      <c r="AL948">
        <v>0</v>
      </c>
      <c r="AM948">
        <v>0</v>
      </c>
      <c r="AN948">
        <v>0</v>
      </c>
    </row>
    <row r="949" spans="1:47" x14ac:dyDescent="0.3">
      <c r="A949" t="s">
        <v>334</v>
      </c>
      <c r="B949" s="3">
        <v>2020</v>
      </c>
      <c r="C949" s="3">
        <v>10342.841796875</v>
      </c>
      <c r="D949" s="3">
        <v>28564.263671875</v>
      </c>
      <c r="E949" s="3">
        <v>0.26520437002182001</v>
      </c>
      <c r="F949" s="3">
        <v>0.97292333841323897</v>
      </c>
      <c r="G949" s="3">
        <v>0.15287803113460499</v>
      </c>
      <c r="H949" s="3">
        <v>5.6371510028839097E-2</v>
      </c>
      <c r="I949" s="3">
        <v>16.470255865432499</v>
      </c>
      <c r="J949" s="3">
        <v>1.83647644519806</v>
      </c>
      <c r="K949" s="3">
        <v>0.97641599178314198</v>
      </c>
      <c r="L949" s="3">
        <f t="shared" si="14"/>
        <v>6</v>
      </c>
      <c r="M949">
        <f>VLOOKUP(A949,Sheet2!$B$2:$E$186,2,FALSE)</f>
        <v>158</v>
      </c>
      <c r="N949" t="s">
        <v>387</v>
      </c>
      <c r="O949" t="s">
        <v>404</v>
      </c>
      <c r="P949">
        <v>0</v>
      </c>
      <c r="Q949">
        <v>0</v>
      </c>
      <c r="R949">
        <v>0</v>
      </c>
      <c r="S949">
        <v>1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1</v>
      </c>
      <c r="AJ949">
        <v>0</v>
      </c>
      <c r="AK949">
        <v>0</v>
      </c>
      <c r="AL949">
        <v>0</v>
      </c>
      <c r="AM949">
        <v>0</v>
      </c>
      <c r="AN949">
        <v>0</v>
      </c>
    </row>
    <row r="950" spans="1:47" s="2" customFormat="1" x14ac:dyDescent="0.3">
      <c r="A950" t="s">
        <v>336</v>
      </c>
      <c r="B950" s="3">
        <v>2015</v>
      </c>
      <c r="C950" s="3">
        <v>1993.42602539063</v>
      </c>
      <c r="D950" s="3"/>
      <c r="E950" s="3"/>
      <c r="F950" s="3"/>
      <c r="G950" s="3"/>
      <c r="H950" s="3"/>
      <c r="I950" s="3">
        <v>1.79</v>
      </c>
      <c r="J950" s="3"/>
      <c r="K950" s="3"/>
      <c r="L950" s="3">
        <f t="shared" si="14"/>
        <v>1</v>
      </c>
      <c r="M950">
        <f>VLOOKUP(A950,Sheet2!$B$2:$E$186,2,FALSE)</f>
        <v>159</v>
      </c>
      <c r="N950" t="s">
        <v>385</v>
      </c>
      <c r="O950" t="s">
        <v>386</v>
      </c>
      <c r="P950">
        <v>1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/>
      <c r="AP950"/>
      <c r="AQ950"/>
      <c r="AR950"/>
      <c r="AS950"/>
      <c r="AT950"/>
      <c r="AU950"/>
    </row>
    <row r="951" spans="1:47" s="2" customFormat="1" x14ac:dyDescent="0.3">
      <c r="A951" t="s">
        <v>336</v>
      </c>
      <c r="B951" s="3">
        <v>2016</v>
      </c>
      <c r="C951" s="3">
        <v>1999.83850097656</v>
      </c>
      <c r="D951" s="3"/>
      <c r="E951" s="3"/>
      <c r="F951" s="3"/>
      <c r="G951" s="3"/>
      <c r="H951" s="3"/>
      <c r="I951" s="3">
        <v>1.79</v>
      </c>
      <c r="J951" s="3"/>
      <c r="K951" s="3"/>
      <c r="L951" s="3">
        <f t="shared" si="14"/>
        <v>2</v>
      </c>
      <c r="M951">
        <f>VLOOKUP(A951,Sheet2!$B$2:$E$186,2,FALSE)</f>
        <v>159</v>
      </c>
      <c r="N951" t="s">
        <v>385</v>
      </c>
      <c r="O951" t="s">
        <v>386</v>
      </c>
      <c r="P951">
        <v>1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/>
      <c r="AP951"/>
      <c r="AQ951"/>
      <c r="AR951"/>
      <c r="AS951"/>
      <c r="AT951"/>
      <c r="AU951"/>
    </row>
    <row r="952" spans="1:47" s="2" customFormat="1" x14ac:dyDescent="0.3">
      <c r="A952" t="s">
        <v>336</v>
      </c>
      <c r="B952" s="3">
        <v>2017</v>
      </c>
      <c r="C952" s="3">
        <v>1858.76257324219</v>
      </c>
      <c r="D952" s="3"/>
      <c r="E952" s="3"/>
      <c r="F952" s="3"/>
      <c r="G952" s="3"/>
      <c r="H952" s="3"/>
      <c r="I952" s="3">
        <v>1.79</v>
      </c>
      <c r="J952" s="3"/>
      <c r="K952" s="3"/>
      <c r="L952" s="3">
        <f t="shared" si="14"/>
        <v>3</v>
      </c>
      <c r="M952">
        <f>VLOOKUP(A952,Sheet2!$B$2:$E$186,2,FALSE)</f>
        <v>159</v>
      </c>
      <c r="N952" t="s">
        <v>385</v>
      </c>
      <c r="O952" t="s">
        <v>386</v>
      </c>
      <c r="P952">
        <v>1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/>
      <c r="AP952"/>
      <c r="AQ952"/>
      <c r="AR952"/>
      <c r="AS952"/>
      <c r="AT952"/>
      <c r="AU952"/>
    </row>
    <row r="953" spans="1:47" s="2" customFormat="1" x14ac:dyDescent="0.3">
      <c r="A953" t="s">
        <v>336</v>
      </c>
      <c r="B953" s="3">
        <v>2018</v>
      </c>
      <c r="C953" s="3">
        <v>1642.48510742188</v>
      </c>
      <c r="D953" s="3"/>
      <c r="E953" s="3"/>
      <c r="F953" s="3"/>
      <c r="G953" s="3"/>
      <c r="H953" s="3"/>
      <c r="I953" s="3">
        <v>1.79</v>
      </c>
      <c r="J953" s="3"/>
      <c r="K953" s="3"/>
      <c r="L953" s="3">
        <f t="shared" si="14"/>
        <v>4</v>
      </c>
      <c r="M953">
        <f>VLOOKUP(A953,Sheet2!$B$2:$E$186,2,FALSE)</f>
        <v>159</v>
      </c>
      <c r="N953" t="s">
        <v>385</v>
      </c>
      <c r="O953" t="s">
        <v>386</v>
      </c>
      <c r="P953">
        <v>1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/>
      <c r="AP953"/>
      <c r="AQ953"/>
      <c r="AR953"/>
      <c r="AS953"/>
      <c r="AT953"/>
      <c r="AU953"/>
    </row>
    <row r="954" spans="1:47" s="2" customFormat="1" x14ac:dyDescent="0.3">
      <c r="A954" t="s">
        <v>336</v>
      </c>
      <c r="B954" s="3">
        <v>2019</v>
      </c>
      <c r="C954" s="3">
        <v>1787.13146972656</v>
      </c>
      <c r="D954" s="3"/>
      <c r="E954" s="3"/>
      <c r="F954" s="3"/>
      <c r="G954" s="3"/>
      <c r="H954" s="3"/>
      <c r="I954" s="3">
        <v>1.79</v>
      </c>
      <c r="J954" s="3"/>
      <c r="K954" s="3"/>
      <c r="L954" s="3">
        <f t="shared" si="14"/>
        <v>5</v>
      </c>
      <c r="M954">
        <f>VLOOKUP(A954,Sheet2!$B$2:$E$186,2,FALSE)</f>
        <v>159</v>
      </c>
      <c r="N954" t="s">
        <v>385</v>
      </c>
      <c r="O954" t="s">
        <v>386</v>
      </c>
      <c r="P954">
        <v>1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/>
      <c r="AP954"/>
      <c r="AQ954"/>
      <c r="AR954"/>
      <c r="AS954"/>
      <c r="AT954"/>
      <c r="AU954"/>
    </row>
    <row r="955" spans="1:47" s="2" customFormat="1" x14ac:dyDescent="0.3">
      <c r="A955" t="s">
        <v>336</v>
      </c>
      <c r="B955" s="3">
        <v>2020</v>
      </c>
      <c r="C955" s="3">
        <v>1492.73754882813</v>
      </c>
      <c r="D955" s="3"/>
      <c r="E955" s="3"/>
      <c r="F955" s="3"/>
      <c r="G955" s="3"/>
      <c r="H955" s="3"/>
      <c r="I955" s="3">
        <v>1.79</v>
      </c>
      <c r="J955" s="3"/>
      <c r="K955" s="3"/>
      <c r="L955" s="3">
        <f t="shared" si="14"/>
        <v>6</v>
      </c>
      <c r="M955">
        <f>VLOOKUP(A955,Sheet2!$B$2:$E$186,2,FALSE)</f>
        <v>159</v>
      </c>
      <c r="N955" t="s">
        <v>385</v>
      </c>
      <c r="O955" t="s">
        <v>386</v>
      </c>
      <c r="P955">
        <v>1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/>
      <c r="AP955"/>
      <c r="AQ955"/>
      <c r="AR955"/>
      <c r="AS955"/>
      <c r="AT955"/>
      <c r="AU955"/>
    </row>
    <row r="956" spans="1:47" s="2" customFormat="1" x14ac:dyDescent="0.3">
      <c r="A956" t="s">
        <v>337</v>
      </c>
      <c r="B956" s="3">
        <v>2015</v>
      </c>
      <c r="C956" s="3">
        <v>1919.68969726563</v>
      </c>
      <c r="D956" s="3">
        <v>9854.7919921875</v>
      </c>
      <c r="E956" s="3">
        <v>4.9834072589874302E-2</v>
      </c>
      <c r="F956" s="3"/>
      <c r="G956" s="3"/>
      <c r="H956" s="3">
        <v>6.0796320438385003E-2</v>
      </c>
      <c r="I956" s="3">
        <v>13.313924999999999</v>
      </c>
      <c r="J956" s="3"/>
      <c r="K956" s="3"/>
      <c r="L956" s="3">
        <f t="shared" si="14"/>
        <v>1</v>
      </c>
      <c r="M956">
        <f>VLOOKUP(A956,Sheet2!$B$2:$E$186,2,FALSE)</f>
        <v>160</v>
      </c>
      <c r="N956" t="s">
        <v>387</v>
      </c>
      <c r="O956" t="s">
        <v>397</v>
      </c>
      <c r="P956">
        <v>0</v>
      </c>
      <c r="Q956">
        <v>0</v>
      </c>
      <c r="R956">
        <v>0</v>
      </c>
      <c r="S956">
        <v>1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1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/>
      <c r="AP956"/>
      <c r="AQ956"/>
      <c r="AR956"/>
      <c r="AS956"/>
      <c r="AT956"/>
      <c r="AU956"/>
    </row>
    <row r="957" spans="1:47" s="2" customFormat="1" x14ac:dyDescent="0.3">
      <c r="A957" t="s">
        <v>337</v>
      </c>
      <c r="B957" s="3">
        <v>2016</v>
      </c>
      <c r="C957" s="3">
        <v>2152.30859375</v>
      </c>
      <c r="D957" s="3">
        <v>10059.869140625</v>
      </c>
      <c r="E957" s="3">
        <v>5.1147960126400001E-2</v>
      </c>
      <c r="F957" s="3"/>
      <c r="G957" s="3"/>
      <c r="H957" s="3">
        <v>6.1131253838539103E-2</v>
      </c>
      <c r="I957" s="3">
        <v>13.3191166666667</v>
      </c>
      <c r="J957" s="3"/>
      <c r="K957" s="3"/>
      <c r="L957" s="3">
        <f t="shared" si="14"/>
        <v>2</v>
      </c>
      <c r="M957">
        <f>VLOOKUP(A957,Sheet2!$B$2:$E$186,2,FALSE)</f>
        <v>160</v>
      </c>
      <c r="N957" t="s">
        <v>387</v>
      </c>
      <c r="O957" t="s">
        <v>397</v>
      </c>
      <c r="P957">
        <v>0</v>
      </c>
      <c r="Q957">
        <v>0</v>
      </c>
      <c r="R957">
        <v>0</v>
      </c>
      <c r="S957">
        <v>1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1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/>
      <c r="AP957"/>
      <c r="AQ957"/>
      <c r="AR957"/>
      <c r="AS957"/>
      <c r="AT957"/>
      <c r="AU957"/>
    </row>
    <row r="958" spans="1:47" s="2" customFormat="1" x14ac:dyDescent="0.3">
      <c r="A958" t="s">
        <v>337</v>
      </c>
      <c r="B958" s="3">
        <v>2017</v>
      </c>
      <c r="C958" s="3">
        <v>2301.98364257813</v>
      </c>
      <c r="D958" s="3">
        <v>10303.62890625</v>
      </c>
      <c r="E958" s="3">
        <v>5.2474021911621101E-2</v>
      </c>
      <c r="F958" s="3"/>
      <c r="G958" s="3"/>
      <c r="H958" s="3">
        <v>6.16714730858803E-2</v>
      </c>
      <c r="I958" s="3">
        <v>13.6478416666667</v>
      </c>
      <c r="J958" s="3"/>
      <c r="K958" s="3"/>
      <c r="L958" s="3">
        <f t="shared" si="14"/>
        <v>3</v>
      </c>
      <c r="M958">
        <f>VLOOKUP(A958,Sheet2!$B$2:$E$186,2,FALSE)</f>
        <v>160</v>
      </c>
      <c r="N958" t="s">
        <v>387</v>
      </c>
      <c r="O958" t="s">
        <v>397</v>
      </c>
      <c r="P958">
        <v>0</v>
      </c>
      <c r="Q958">
        <v>0</v>
      </c>
      <c r="R958">
        <v>0</v>
      </c>
      <c r="S958">
        <v>1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1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/>
      <c r="AP958"/>
      <c r="AQ958"/>
      <c r="AR958"/>
      <c r="AS958"/>
      <c r="AT958"/>
      <c r="AU958"/>
    </row>
    <row r="959" spans="1:47" s="2" customFormat="1" x14ac:dyDescent="0.3">
      <c r="A959" t="s">
        <v>337</v>
      </c>
      <c r="B959" s="3">
        <v>2018</v>
      </c>
      <c r="C959" s="3">
        <v>2415.68920898438</v>
      </c>
      <c r="D959" s="3">
        <v>10508.978515625</v>
      </c>
      <c r="E959" s="3">
        <v>5.3770851343870198E-2</v>
      </c>
      <c r="F959" s="3"/>
      <c r="G959" s="3"/>
      <c r="H959" s="3">
        <v>6.1651829630136497E-2</v>
      </c>
      <c r="I959" s="3">
        <v>13.9111166666667</v>
      </c>
      <c r="J959" s="3"/>
      <c r="K959" s="3"/>
      <c r="L959" s="3">
        <f t="shared" si="14"/>
        <v>4</v>
      </c>
      <c r="M959">
        <f>VLOOKUP(A959,Sheet2!$B$2:$E$186,2,FALSE)</f>
        <v>160</v>
      </c>
      <c r="N959" t="s">
        <v>387</v>
      </c>
      <c r="O959" t="s">
        <v>397</v>
      </c>
      <c r="P959">
        <v>0</v>
      </c>
      <c r="Q959">
        <v>0</v>
      </c>
      <c r="R959">
        <v>0</v>
      </c>
      <c r="S959">
        <v>1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1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/>
      <c r="AP959"/>
      <c r="AQ959"/>
      <c r="AR959"/>
      <c r="AS959"/>
      <c r="AT959"/>
      <c r="AU959"/>
    </row>
    <row r="960" spans="1:47" s="2" customFormat="1" x14ac:dyDescent="0.3">
      <c r="A960" t="s">
        <v>337</v>
      </c>
      <c r="B960" s="3">
        <v>2019</v>
      </c>
      <c r="C960" s="3">
        <v>2548.8974609375</v>
      </c>
      <c r="D960" s="3">
        <v>10761.4619140625</v>
      </c>
      <c r="E960" s="3">
        <v>5.4259821772575399E-2</v>
      </c>
      <c r="F960" s="3"/>
      <c r="G960" s="3"/>
      <c r="H960" s="3">
        <v>6.1315756291151102E-2</v>
      </c>
      <c r="I960" s="3">
        <v>14.033250000000001</v>
      </c>
      <c r="J960" s="3"/>
      <c r="K960" s="3"/>
      <c r="L960" s="3">
        <f t="shared" si="14"/>
        <v>5</v>
      </c>
      <c r="M960">
        <f>VLOOKUP(A960,Sheet2!$B$2:$E$186,2,FALSE)</f>
        <v>160</v>
      </c>
      <c r="N960" t="s">
        <v>387</v>
      </c>
      <c r="O960" t="s">
        <v>397</v>
      </c>
      <c r="P960">
        <v>0</v>
      </c>
      <c r="Q960">
        <v>0</v>
      </c>
      <c r="R960">
        <v>0</v>
      </c>
      <c r="S960">
        <v>1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1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/>
      <c r="AP960"/>
      <c r="AQ960"/>
      <c r="AR960"/>
      <c r="AS960"/>
      <c r="AT960"/>
      <c r="AU960"/>
    </row>
    <row r="961" spans="1:47" s="2" customFormat="1" x14ac:dyDescent="0.3">
      <c r="A961" t="s">
        <v>337</v>
      </c>
      <c r="B961" s="3">
        <v>2020</v>
      </c>
      <c r="C961" s="3">
        <v>2249.66040039063</v>
      </c>
      <c r="D961" s="3">
        <v>10907.7607421875</v>
      </c>
      <c r="E961" s="3">
        <v>5.43090552091599E-2</v>
      </c>
      <c r="F961" s="3"/>
      <c r="G961" s="3"/>
      <c r="H961" s="3">
        <v>6.1311006546020501E-2</v>
      </c>
      <c r="I961" s="3">
        <v>17.616518755411299</v>
      </c>
      <c r="J961" s="3"/>
      <c r="K961" s="3"/>
      <c r="L961" s="3">
        <f t="shared" si="14"/>
        <v>6</v>
      </c>
      <c r="M961">
        <f>VLOOKUP(A961,Sheet2!$B$2:$E$186,2,FALSE)</f>
        <v>160</v>
      </c>
      <c r="N961" t="s">
        <v>387</v>
      </c>
      <c r="O961" t="s">
        <v>397</v>
      </c>
      <c r="P961">
        <v>0</v>
      </c>
      <c r="Q961">
        <v>0</v>
      </c>
      <c r="R961">
        <v>0</v>
      </c>
      <c r="S961">
        <v>1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1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/>
      <c r="AP961"/>
      <c r="AQ961"/>
      <c r="AR961"/>
      <c r="AS961"/>
      <c r="AT961"/>
      <c r="AU961"/>
    </row>
    <row r="962" spans="1:47" s="2" customFormat="1" x14ac:dyDescent="0.3">
      <c r="A962" t="s">
        <v>339</v>
      </c>
      <c r="B962" s="3">
        <v>2015</v>
      </c>
      <c r="C962" s="3">
        <v>173414.890625</v>
      </c>
      <c r="D962" s="3">
        <v>49700.28515625</v>
      </c>
      <c r="E962" s="3">
        <v>3.9444324970245401</v>
      </c>
      <c r="F962" s="3"/>
      <c r="G962" s="3"/>
      <c r="H962" s="3">
        <v>5.5112563073635101E-2</v>
      </c>
      <c r="I962" s="3">
        <v>237.02916666666701</v>
      </c>
      <c r="J962" s="3">
        <v>2.5212371349334699</v>
      </c>
      <c r="K962" s="3"/>
      <c r="L962" s="3">
        <f t="shared" si="14"/>
        <v>1</v>
      </c>
      <c r="M962">
        <f>VLOOKUP(A962,Sheet2!$B$2:$E$186,2,FALSE)</f>
        <v>161</v>
      </c>
      <c r="N962" t="s">
        <v>391</v>
      </c>
      <c r="O962" t="s">
        <v>392</v>
      </c>
      <c r="P962">
        <v>0</v>
      </c>
      <c r="Q962">
        <v>0</v>
      </c>
      <c r="R962">
        <v>1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1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/>
      <c r="AP962"/>
      <c r="AQ962"/>
      <c r="AR962"/>
      <c r="AS962"/>
      <c r="AT962"/>
      <c r="AU962"/>
    </row>
    <row r="963" spans="1:47" s="2" customFormat="1" x14ac:dyDescent="0.3">
      <c r="A963" t="s">
        <v>339</v>
      </c>
      <c r="B963" s="3">
        <v>2016</v>
      </c>
      <c r="C963" s="3">
        <v>164822.578125</v>
      </c>
      <c r="D963" s="3">
        <v>50270.26953125</v>
      </c>
      <c r="E963" s="3">
        <v>4.0327482223510698</v>
      </c>
      <c r="F963" s="3"/>
      <c r="G963" s="3"/>
      <c r="H963" s="3">
        <v>5.5047336965799297E-2</v>
      </c>
      <c r="I963" s="3">
        <v>460.27583333333303</v>
      </c>
      <c r="J963" s="3">
        <v>2.5501904487609899</v>
      </c>
      <c r="K963" s="3"/>
      <c r="L963" s="3">
        <f t="shared" ref="L963:L1026" si="15">B963-2014</f>
        <v>2</v>
      </c>
      <c r="M963">
        <f>VLOOKUP(A963,Sheet2!$B$2:$E$186,2,FALSE)</f>
        <v>161</v>
      </c>
      <c r="N963" t="s">
        <v>391</v>
      </c>
      <c r="O963" t="s">
        <v>392</v>
      </c>
      <c r="P963">
        <v>0</v>
      </c>
      <c r="Q963">
        <v>0</v>
      </c>
      <c r="R963">
        <v>1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1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/>
      <c r="AP963"/>
      <c r="AQ963"/>
      <c r="AR963"/>
      <c r="AS963"/>
      <c r="AT963"/>
      <c r="AU963"/>
    </row>
    <row r="964" spans="1:47" s="2" customFormat="1" x14ac:dyDescent="0.3">
      <c r="A964" t="s">
        <v>339</v>
      </c>
      <c r="B964" s="3">
        <v>2017</v>
      </c>
      <c r="C964" s="3">
        <v>166166.875</v>
      </c>
      <c r="D964" s="3">
        <v>52853.828125</v>
      </c>
      <c r="E964" s="3">
        <v>4.2080264091491699</v>
      </c>
      <c r="F964" s="3"/>
      <c r="G964" s="3"/>
      <c r="H964" s="3">
        <v>5.5611982941627502E-2</v>
      </c>
      <c r="I964" s="3">
        <v>492.61083333333301</v>
      </c>
      <c r="J964" s="3">
        <v>2.57337546348572</v>
      </c>
      <c r="K964" s="3"/>
      <c r="L964" s="3">
        <f t="shared" si="15"/>
        <v>3</v>
      </c>
      <c r="M964">
        <f>VLOOKUP(A964,Sheet2!$B$2:$E$186,2,FALSE)</f>
        <v>161</v>
      </c>
      <c r="N964" t="s">
        <v>391</v>
      </c>
      <c r="O964" t="s">
        <v>392</v>
      </c>
      <c r="P964">
        <v>0</v>
      </c>
      <c r="Q964">
        <v>0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1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/>
      <c r="AP964"/>
      <c r="AQ964"/>
      <c r="AR964"/>
      <c r="AS964"/>
      <c r="AT964"/>
      <c r="AU964"/>
    </row>
    <row r="965" spans="1:47" s="2" customFormat="1" x14ac:dyDescent="0.3">
      <c r="A965" t="s">
        <v>339</v>
      </c>
      <c r="B965" s="3">
        <v>2018</v>
      </c>
      <c r="C965" s="3">
        <v>171093.515625</v>
      </c>
      <c r="D965" s="3">
        <v>56125.06640625</v>
      </c>
      <c r="E965" s="3">
        <v>4.4180364608764702</v>
      </c>
      <c r="F965" s="3"/>
      <c r="G965" s="3"/>
      <c r="H965" s="3">
        <v>5.7309292256832102E-2</v>
      </c>
      <c r="I965" s="3">
        <v>436.5</v>
      </c>
      <c r="J965" s="3">
        <v>2.5938131809234601</v>
      </c>
      <c r="K965" s="3"/>
      <c r="L965" s="3">
        <f t="shared" si="15"/>
        <v>4</v>
      </c>
      <c r="M965">
        <f>VLOOKUP(A965,Sheet2!$B$2:$E$186,2,FALSE)</f>
        <v>161</v>
      </c>
      <c r="N965" t="s">
        <v>391</v>
      </c>
      <c r="O965" t="s">
        <v>392</v>
      </c>
      <c r="P965">
        <v>0</v>
      </c>
      <c r="Q965">
        <v>0</v>
      </c>
      <c r="R965">
        <v>1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1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/>
      <c r="AP965"/>
      <c r="AQ965"/>
      <c r="AR965"/>
      <c r="AS965"/>
      <c r="AT965"/>
      <c r="AU965"/>
    </row>
    <row r="966" spans="1:47" s="2" customFormat="1" x14ac:dyDescent="0.3">
      <c r="A966" t="s">
        <v>339</v>
      </c>
      <c r="B966" s="3">
        <v>2019</v>
      </c>
      <c r="C966" s="3">
        <v>175866.5625</v>
      </c>
      <c r="D966" s="3">
        <v>58323.1640625</v>
      </c>
      <c r="E966" s="3">
        <v>4.7273426055908203</v>
      </c>
      <c r="F966" s="3"/>
      <c r="G966" s="3"/>
      <c r="H966" s="3">
        <v>5.8740362524986302E-2</v>
      </c>
      <c r="I966" s="3">
        <v>436.5</v>
      </c>
      <c r="J966" s="3">
        <v>2.6147110462188698</v>
      </c>
      <c r="K966" s="3"/>
      <c r="L966" s="3">
        <f t="shared" si="15"/>
        <v>5</v>
      </c>
      <c r="M966">
        <f>VLOOKUP(A966,Sheet2!$B$2:$E$186,2,FALSE)</f>
        <v>161</v>
      </c>
      <c r="N966" t="s">
        <v>391</v>
      </c>
      <c r="O966" t="s">
        <v>392</v>
      </c>
      <c r="P966">
        <v>0</v>
      </c>
      <c r="Q966">
        <v>0</v>
      </c>
      <c r="R966">
        <v>1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1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/>
      <c r="AP966"/>
      <c r="AQ966"/>
      <c r="AR966"/>
      <c r="AS966"/>
      <c r="AT966"/>
      <c r="AU966"/>
    </row>
    <row r="967" spans="1:47" s="2" customFormat="1" x14ac:dyDescent="0.3">
      <c r="A967" t="s">
        <v>339</v>
      </c>
      <c r="B967" s="3">
        <v>2020</v>
      </c>
      <c r="C967" s="3">
        <v>178267.0625</v>
      </c>
      <c r="D967" s="3">
        <v>60873.40234375</v>
      </c>
      <c r="E967" s="3">
        <v>4.8095993995666504</v>
      </c>
      <c r="F967" s="3"/>
      <c r="G967" s="3"/>
      <c r="H967" s="3">
        <v>5.9769753366708797E-2</v>
      </c>
      <c r="I967" s="3">
        <v>877.94525089605702</v>
      </c>
      <c r="J967" s="3">
        <v>2.6360821723938002</v>
      </c>
      <c r="K967" s="3"/>
      <c r="L967" s="3">
        <f t="shared" si="15"/>
        <v>6</v>
      </c>
      <c r="M967">
        <f>VLOOKUP(A967,Sheet2!$B$2:$E$186,2,FALSE)</f>
        <v>161</v>
      </c>
      <c r="N967" t="s">
        <v>391</v>
      </c>
      <c r="O967" t="s">
        <v>392</v>
      </c>
      <c r="P967">
        <v>0</v>
      </c>
      <c r="Q967">
        <v>0</v>
      </c>
      <c r="R967">
        <v>1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1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/>
      <c r="AP967"/>
      <c r="AQ967"/>
      <c r="AR967"/>
      <c r="AS967"/>
      <c r="AT967"/>
      <c r="AU967"/>
    </row>
    <row r="968" spans="1:47" s="2" customFormat="1" x14ac:dyDescent="0.3">
      <c r="A968" t="s">
        <v>341</v>
      </c>
      <c r="B968" s="3">
        <v>2015</v>
      </c>
      <c r="C968" s="3">
        <v>617.23663330078102</v>
      </c>
      <c r="D968" s="3">
        <v>3641.65014648438</v>
      </c>
      <c r="E968" s="3"/>
      <c r="F968" s="3"/>
      <c r="G968" s="3"/>
      <c r="H968" s="3">
        <v>3.0628086999058699E-2</v>
      </c>
      <c r="I968" s="3">
        <v>1</v>
      </c>
      <c r="J968" s="3"/>
      <c r="K968" s="3"/>
      <c r="L968" s="3">
        <f t="shared" si="15"/>
        <v>1</v>
      </c>
      <c r="M968">
        <f>VLOOKUP(A968,Sheet2!$B$2:$E$186,2,FALSE)</f>
        <v>162</v>
      </c>
      <c r="N968" t="s">
        <v>385</v>
      </c>
      <c r="O968" t="s">
        <v>386</v>
      </c>
      <c r="P968">
        <v>1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/>
      <c r="AP968"/>
      <c r="AQ968"/>
      <c r="AR968"/>
      <c r="AS968"/>
      <c r="AT968"/>
      <c r="AU968"/>
    </row>
    <row r="969" spans="1:47" s="2" customFormat="1" x14ac:dyDescent="0.3">
      <c r="A969" t="s">
        <v>341</v>
      </c>
      <c r="B969" s="3">
        <v>2016</v>
      </c>
      <c r="C969" s="3">
        <v>661.99353027343795</v>
      </c>
      <c r="D969" s="3">
        <v>3765.6396484375</v>
      </c>
      <c r="E969" s="3"/>
      <c r="F969" s="3"/>
      <c r="G969" s="3"/>
      <c r="H969" s="3">
        <v>3.0669262632727599E-2</v>
      </c>
      <c r="I969" s="3">
        <v>1</v>
      </c>
      <c r="J969" s="3"/>
      <c r="K969" s="3"/>
      <c r="L969" s="3">
        <f t="shared" si="15"/>
        <v>2</v>
      </c>
      <c r="M969">
        <f>VLOOKUP(A969,Sheet2!$B$2:$E$186,2,FALSE)</f>
        <v>162</v>
      </c>
      <c r="N969" t="s">
        <v>385</v>
      </c>
      <c r="O969" t="s">
        <v>386</v>
      </c>
      <c r="P969">
        <v>1</v>
      </c>
      <c r="Q969">
        <v>0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/>
      <c r="AP969"/>
      <c r="AQ969"/>
      <c r="AR969"/>
      <c r="AS969"/>
      <c r="AT969"/>
      <c r="AU969"/>
    </row>
    <row r="970" spans="1:47" s="2" customFormat="1" x14ac:dyDescent="0.3">
      <c r="A970" t="s">
        <v>341</v>
      </c>
      <c r="B970" s="3">
        <v>2017</v>
      </c>
      <c r="C970" s="3">
        <v>645.50848388671898</v>
      </c>
      <c r="D970" s="3">
        <v>3877.48681640625</v>
      </c>
      <c r="E970" s="3"/>
      <c r="F970" s="3"/>
      <c r="G970" s="3"/>
      <c r="H970" s="3">
        <v>3.0717546120286002E-2</v>
      </c>
      <c r="I970" s="3">
        <v>1</v>
      </c>
      <c r="J970" s="3"/>
      <c r="K970" s="3"/>
      <c r="L970" s="3">
        <f t="shared" si="15"/>
        <v>3</v>
      </c>
      <c r="M970">
        <f>VLOOKUP(A970,Sheet2!$B$2:$E$186,2,FALSE)</f>
        <v>162</v>
      </c>
      <c r="N970" t="s">
        <v>385</v>
      </c>
      <c r="O970" t="s">
        <v>386</v>
      </c>
      <c r="P970">
        <v>1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/>
      <c r="AP970"/>
      <c r="AQ970"/>
      <c r="AR970"/>
      <c r="AS970"/>
      <c r="AT970"/>
      <c r="AU970"/>
    </row>
    <row r="971" spans="1:47" s="2" customFormat="1" x14ac:dyDescent="0.3">
      <c r="A971" t="s">
        <v>341</v>
      </c>
      <c r="B971" s="3">
        <v>2018</v>
      </c>
      <c r="C971" s="3">
        <v>681.72766113281295</v>
      </c>
      <c r="D971" s="3">
        <v>4001.57470703125</v>
      </c>
      <c r="E971" s="3"/>
      <c r="F971" s="3"/>
      <c r="G971" s="3"/>
      <c r="H971" s="3">
        <v>3.0712081119418099E-2</v>
      </c>
      <c r="I971" s="3">
        <v>1</v>
      </c>
      <c r="J971" s="3"/>
      <c r="K971" s="3"/>
      <c r="L971" s="3">
        <f t="shared" si="15"/>
        <v>4</v>
      </c>
      <c r="M971">
        <f>VLOOKUP(A971,Sheet2!$B$2:$E$186,2,FALSE)</f>
        <v>162</v>
      </c>
      <c r="N971" t="s">
        <v>385</v>
      </c>
      <c r="O971" t="s">
        <v>386</v>
      </c>
      <c r="P971">
        <v>1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/>
      <c r="AP971"/>
      <c r="AQ971"/>
      <c r="AR971"/>
      <c r="AS971"/>
      <c r="AT971"/>
      <c r="AU971"/>
    </row>
    <row r="972" spans="1:47" s="2" customFormat="1" x14ac:dyDescent="0.3">
      <c r="A972" t="s">
        <v>341</v>
      </c>
      <c r="B972" s="3">
        <v>2019</v>
      </c>
      <c r="C972" s="3">
        <v>718.026611328125</v>
      </c>
      <c r="D972" s="3">
        <v>4136.140625</v>
      </c>
      <c r="E972" s="3"/>
      <c r="F972" s="3"/>
      <c r="G972" s="3"/>
      <c r="H972" s="3">
        <v>3.06291915476322E-2</v>
      </c>
      <c r="I972" s="3">
        <v>1</v>
      </c>
      <c r="J972" s="3"/>
      <c r="K972" s="3"/>
      <c r="L972" s="3">
        <f t="shared" si="15"/>
        <v>5</v>
      </c>
      <c r="M972">
        <f>VLOOKUP(A972,Sheet2!$B$2:$E$186,2,FALSE)</f>
        <v>162</v>
      </c>
      <c r="N972" t="s">
        <v>385</v>
      </c>
      <c r="O972" t="s">
        <v>386</v>
      </c>
      <c r="P972">
        <v>1</v>
      </c>
      <c r="Q972">
        <v>0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/>
      <c r="AP972"/>
      <c r="AQ972"/>
      <c r="AR972"/>
      <c r="AS972"/>
      <c r="AT972"/>
      <c r="AU972"/>
    </row>
    <row r="973" spans="1:47" s="2" customFormat="1" x14ac:dyDescent="0.3">
      <c r="A973" t="s">
        <v>341</v>
      </c>
      <c r="B973" s="3">
        <v>2020</v>
      </c>
      <c r="C973" s="3">
        <v>525.718505859375</v>
      </c>
      <c r="D973" s="3">
        <v>4200.26904296875</v>
      </c>
      <c r="E973" s="3"/>
      <c r="F973" s="3"/>
      <c r="G973" s="3"/>
      <c r="H973" s="3">
        <v>3.00014894455671E-2</v>
      </c>
      <c r="I973" s="3">
        <v>1</v>
      </c>
      <c r="J973" s="3"/>
      <c r="K973" s="3"/>
      <c r="L973" s="3">
        <f t="shared" si="15"/>
        <v>6</v>
      </c>
      <c r="M973">
        <f>VLOOKUP(A973,Sheet2!$B$2:$E$186,2,FALSE)</f>
        <v>162</v>
      </c>
      <c r="N973" t="s">
        <v>385</v>
      </c>
      <c r="O973" t="s">
        <v>386</v>
      </c>
      <c r="P973">
        <v>1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/>
      <c r="AP973"/>
      <c r="AQ973"/>
      <c r="AR973"/>
      <c r="AS973"/>
      <c r="AT973"/>
      <c r="AU973"/>
    </row>
    <row r="974" spans="1:47" x14ac:dyDescent="0.3">
      <c r="A974" t="s">
        <v>342</v>
      </c>
      <c r="B974" s="3">
        <v>2015</v>
      </c>
      <c r="C974" s="3">
        <v>37405.9453125</v>
      </c>
      <c r="D974" s="3">
        <v>77258.3203125</v>
      </c>
      <c r="E974" s="3">
        <v>4.8703684806823704</v>
      </c>
      <c r="F974" s="3">
        <v>0.80388075113296498</v>
      </c>
      <c r="G974" s="3">
        <v>0.16428837180137601</v>
      </c>
      <c r="H974" s="3">
        <v>6.0505680739879601E-2</v>
      </c>
      <c r="I974" s="3">
        <v>591.21169798260996</v>
      </c>
      <c r="J974" s="3"/>
      <c r="K974" s="3"/>
      <c r="L974" s="3">
        <f t="shared" si="15"/>
        <v>1</v>
      </c>
      <c r="M974">
        <f>VLOOKUP(A974,Sheet2!$B$2:$E$186,2,FALSE)</f>
        <v>163</v>
      </c>
      <c r="N974" t="s">
        <v>387</v>
      </c>
      <c r="O974" t="s">
        <v>388</v>
      </c>
      <c r="P974">
        <v>0</v>
      </c>
      <c r="Q974">
        <v>0</v>
      </c>
      <c r="R974">
        <v>0</v>
      </c>
      <c r="S974">
        <v>1</v>
      </c>
      <c r="T974">
        <v>0</v>
      </c>
      <c r="U974">
        <v>0</v>
      </c>
      <c r="V974">
        <v>1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</row>
    <row r="975" spans="1:47" x14ac:dyDescent="0.3">
      <c r="A975" t="s">
        <v>342</v>
      </c>
      <c r="B975" s="3">
        <v>2016</v>
      </c>
      <c r="C975" s="3">
        <v>35749.66796875</v>
      </c>
      <c r="D975" s="3">
        <v>78866.7265625</v>
      </c>
      <c r="E975" s="3">
        <v>4.9757862091064498</v>
      </c>
      <c r="F975" s="3">
        <v>0.829476177692413</v>
      </c>
      <c r="G975" s="3">
        <v>0.111354008316994</v>
      </c>
      <c r="H975" s="3">
        <v>6.2901116907596602E-2</v>
      </c>
      <c r="I975" s="3">
        <v>592.60561506302201</v>
      </c>
      <c r="J975" s="3"/>
      <c r="K975" s="3"/>
      <c r="L975" s="3">
        <f t="shared" si="15"/>
        <v>2</v>
      </c>
      <c r="M975">
        <f>VLOOKUP(A975,Sheet2!$B$2:$E$186,2,FALSE)</f>
        <v>163</v>
      </c>
      <c r="N975" t="s">
        <v>387</v>
      </c>
      <c r="O975" t="s">
        <v>388</v>
      </c>
      <c r="P975">
        <v>0</v>
      </c>
      <c r="Q975">
        <v>0</v>
      </c>
      <c r="R975">
        <v>0</v>
      </c>
      <c r="S975">
        <v>1</v>
      </c>
      <c r="T975">
        <v>0</v>
      </c>
      <c r="U975">
        <v>0</v>
      </c>
      <c r="V975">
        <v>1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</row>
    <row r="976" spans="1:47" x14ac:dyDescent="0.3">
      <c r="A976" t="s">
        <v>342</v>
      </c>
      <c r="B976" s="3">
        <v>2017</v>
      </c>
      <c r="C976" s="3">
        <v>35626.84765625</v>
      </c>
      <c r="D976" s="3">
        <v>79770.7890625</v>
      </c>
      <c r="E976" s="3">
        <v>5.1036639213562003</v>
      </c>
      <c r="F976" s="3">
        <v>0.84508854150772095</v>
      </c>
      <c r="G976" s="3">
        <v>0.1081932336092</v>
      </c>
      <c r="H976" s="3">
        <v>6.4608216285705594E-2</v>
      </c>
      <c r="I976" s="3">
        <v>580.65674958785803</v>
      </c>
      <c r="J976" s="3"/>
      <c r="K976" s="3"/>
      <c r="L976" s="3">
        <f t="shared" si="15"/>
        <v>3</v>
      </c>
      <c r="M976">
        <f>VLOOKUP(A976,Sheet2!$B$2:$E$186,2,FALSE)</f>
        <v>163</v>
      </c>
      <c r="N976" t="s">
        <v>387</v>
      </c>
      <c r="O976" t="s">
        <v>388</v>
      </c>
      <c r="P976">
        <v>0</v>
      </c>
      <c r="Q976">
        <v>0</v>
      </c>
      <c r="R976">
        <v>0</v>
      </c>
      <c r="S976">
        <v>1</v>
      </c>
      <c r="T976">
        <v>0</v>
      </c>
      <c r="U976">
        <v>0</v>
      </c>
      <c r="V976">
        <v>1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</row>
    <row r="977" spans="1:40" x14ac:dyDescent="0.3">
      <c r="A977" t="s">
        <v>342</v>
      </c>
      <c r="B977" s="3">
        <v>2018</v>
      </c>
      <c r="C977" s="3">
        <v>37779.6015625</v>
      </c>
      <c r="D977" s="3">
        <v>81587.6875</v>
      </c>
      <c r="E977" s="3">
        <v>5.2517609596252397</v>
      </c>
      <c r="F977" s="3">
        <v>0.87867158651351895</v>
      </c>
      <c r="G977" s="3">
        <v>0.117575258016586</v>
      </c>
      <c r="H977" s="3">
        <v>6.6769190132618006E-2</v>
      </c>
      <c r="I977" s="3">
        <v>555.44645839822601</v>
      </c>
      <c r="J977" s="3"/>
      <c r="K977" s="3"/>
      <c r="L977" s="3">
        <f t="shared" si="15"/>
        <v>4</v>
      </c>
      <c r="M977">
        <f>VLOOKUP(A977,Sheet2!$B$2:$E$186,2,FALSE)</f>
        <v>163</v>
      </c>
      <c r="N977" t="s">
        <v>387</v>
      </c>
      <c r="O977" t="s">
        <v>388</v>
      </c>
      <c r="P977">
        <v>0</v>
      </c>
      <c r="Q977">
        <v>0</v>
      </c>
      <c r="R977">
        <v>0</v>
      </c>
      <c r="S977">
        <v>1</v>
      </c>
      <c r="T977">
        <v>0</v>
      </c>
      <c r="U977">
        <v>0</v>
      </c>
      <c r="V977">
        <v>1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</row>
    <row r="978" spans="1:40" x14ac:dyDescent="0.3">
      <c r="A978" t="s">
        <v>342</v>
      </c>
      <c r="B978" s="3">
        <v>2019</v>
      </c>
      <c r="C978" s="3">
        <v>40266.73046875</v>
      </c>
      <c r="D978" s="3">
        <v>85175.234375</v>
      </c>
      <c r="E978" s="3">
        <v>5.4366879463195801</v>
      </c>
      <c r="F978" s="3">
        <v>0.93877786397934004</v>
      </c>
      <c r="G978" s="3">
        <v>0.114679753780365</v>
      </c>
      <c r="H978" s="3">
        <v>7.0496462285518702E-2</v>
      </c>
      <c r="I978" s="3">
        <v>585.91101318036897</v>
      </c>
      <c r="J978" s="3"/>
      <c r="K978" s="3"/>
      <c r="L978" s="3">
        <f t="shared" si="15"/>
        <v>5</v>
      </c>
      <c r="M978">
        <f>VLOOKUP(A978,Sheet2!$B$2:$E$186,2,FALSE)</f>
        <v>163</v>
      </c>
      <c r="N978" t="s">
        <v>387</v>
      </c>
      <c r="O978" t="s">
        <v>388</v>
      </c>
      <c r="P978">
        <v>0</v>
      </c>
      <c r="Q978">
        <v>0</v>
      </c>
      <c r="R978">
        <v>0</v>
      </c>
      <c r="S978">
        <v>1</v>
      </c>
      <c r="T978">
        <v>0</v>
      </c>
      <c r="U978">
        <v>0</v>
      </c>
      <c r="V978">
        <v>1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</row>
    <row r="979" spans="1:40" x14ac:dyDescent="0.3">
      <c r="A979" t="s">
        <v>342</v>
      </c>
      <c r="B979" s="3">
        <v>2020</v>
      </c>
      <c r="C979" s="3">
        <v>39439.97265625</v>
      </c>
      <c r="D979" s="3">
        <v>86433.234375</v>
      </c>
      <c r="E979" s="3">
        <v>5.5411429405212402</v>
      </c>
      <c r="F979" s="3">
        <v>0.95560109615325906</v>
      </c>
      <c r="G979" s="3">
        <v>0.12790170311927801</v>
      </c>
      <c r="H979" s="3">
        <v>7.2941452264785794E-2</v>
      </c>
      <c r="I979" s="3">
        <v>575.58600451094503</v>
      </c>
      <c r="J979" s="3"/>
      <c r="K979" s="3"/>
      <c r="L979" s="3">
        <f t="shared" si="15"/>
        <v>6</v>
      </c>
      <c r="M979">
        <f>VLOOKUP(A979,Sheet2!$B$2:$E$186,2,FALSE)</f>
        <v>163</v>
      </c>
      <c r="N979" t="s">
        <v>387</v>
      </c>
      <c r="O979" t="s">
        <v>388</v>
      </c>
      <c r="P979">
        <v>0</v>
      </c>
      <c r="Q979">
        <v>0</v>
      </c>
      <c r="R979">
        <v>0</v>
      </c>
      <c r="S979">
        <v>1</v>
      </c>
      <c r="T979">
        <v>0</v>
      </c>
      <c r="U979">
        <v>0</v>
      </c>
      <c r="V979">
        <v>1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</row>
    <row r="980" spans="1:40" x14ac:dyDescent="0.3">
      <c r="A980" t="s">
        <v>343</v>
      </c>
      <c r="B980" s="3">
        <v>2015</v>
      </c>
      <c r="C980" s="3">
        <v>17704.501953125</v>
      </c>
      <c r="D980" s="3">
        <v>58692.6484375</v>
      </c>
      <c r="E980" s="3">
        <v>2.8375871181488002</v>
      </c>
      <c r="F980" s="3">
        <v>0.77337276935577404</v>
      </c>
      <c r="G980" s="3">
        <v>0.116114266216755</v>
      </c>
      <c r="H980" s="3">
        <v>4.0811009705066702E-2</v>
      </c>
      <c r="I980" s="3">
        <v>591.21169798260996</v>
      </c>
      <c r="J980" s="3">
        <v>1.9925405979156501</v>
      </c>
      <c r="K980" s="3">
        <v>0.99550229310989402</v>
      </c>
      <c r="L980" s="3">
        <f t="shared" si="15"/>
        <v>1</v>
      </c>
      <c r="M980">
        <f>VLOOKUP(A980,Sheet2!$B$2:$E$186,2,FALSE)</f>
        <v>164</v>
      </c>
      <c r="N980" t="s">
        <v>387</v>
      </c>
      <c r="O980" t="s">
        <v>398</v>
      </c>
      <c r="P980">
        <v>0</v>
      </c>
      <c r="Q980">
        <v>0</v>
      </c>
      <c r="R980">
        <v>0</v>
      </c>
      <c r="S980">
        <v>1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1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</row>
    <row r="981" spans="1:40" x14ac:dyDescent="0.3">
      <c r="A981" t="s">
        <v>343</v>
      </c>
      <c r="B981" s="3">
        <v>2016</v>
      </c>
      <c r="C981" s="3">
        <v>18719.6953125</v>
      </c>
      <c r="D981" s="3">
        <v>61874.5078125</v>
      </c>
      <c r="E981" s="3">
        <v>2.9330267906189</v>
      </c>
      <c r="F981" s="3">
        <v>0.81850141286849998</v>
      </c>
      <c r="G981" s="3">
        <v>0.12394803017377901</v>
      </c>
      <c r="H981" s="3">
        <v>4.1597414761781699E-2</v>
      </c>
      <c r="I981" s="3">
        <v>592.60561506302201</v>
      </c>
      <c r="J981" s="3">
        <v>2.0438532829284699</v>
      </c>
      <c r="K981" s="3">
        <v>0.97190773487091098</v>
      </c>
      <c r="L981" s="3">
        <f t="shared" si="15"/>
        <v>2</v>
      </c>
      <c r="M981">
        <f>VLOOKUP(A981,Sheet2!$B$2:$E$186,2,FALSE)</f>
        <v>164</v>
      </c>
      <c r="N981" t="s">
        <v>387</v>
      </c>
      <c r="O981" t="s">
        <v>398</v>
      </c>
      <c r="P981">
        <v>0</v>
      </c>
      <c r="Q981">
        <v>0</v>
      </c>
      <c r="R981">
        <v>0</v>
      </c>
      <c r="S981">
        <v>1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1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</row>
    <row r="982" spans="1:40" x14ac:dyDescent="0.3">
      <c r="A982" t="s">
        <v>343</v>
      </c>
      <c r="B982" s="3">
        <v>2017</v>
      </c>
      <c r="C982" s="3">
        <v>19469.96484375</v>
      </c>
      <c r="D982" s="3">
        <v>63766.4609375</v>
      </c>
      <c r="E982" s="3">
        <v>3.0310320854186998</v>
      </c>
      <c r="F982" s="3">
        <v>0.84198868274688698</v>
      </c>
      <c r="G982" s="3">
        <v>0.13459637761116</v>
      </c>
      <c r="H982" s="3">
        <v>4.1540924459695802E-2</v>
      </c>
      <c r="I982" s="3">
        <v>580.65674958785803</v>
      </c>
      <c r="J982" s="3">
        <v>2.0964875221252401</v>
      </c>
      <c r="K982" s="3">
        <v>0.92587363719940197</v>
      </c>
      <c r="L982" s="3">
        <f t="shared" si="15"/>
        <v>3</v>
      </c>
      <c r="M982">
        <f>VLOOKUP(A982,Sheet2!$B$2:$E$186,2,FALSE)</f>
        <v>164</v>
      </c>
      <c r="N982" t="s">
        <v>387</v>
      </c>
      <c r="O982" t="s">
        <v>398</v>
      </c>
      <c r="P982">
        <v>0</v>
      </c>
      <c r="Q982">
        <v>0</v>
      </c>
      <c r="R982">
        <v>0</v>
      </c>
      <c r="S982">
        <v>1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1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</row>
    <row r="983" spans="1:40" x14ac:dyDescent="0.3">
      <c r="A983" t="s">
        <v>343</v>
      </c>
      <c r="B983" s="3">
        <v>2018</v>
      </c>
      <c r="C983" s="3">
        <v>20403.5859375</v>
      </c>
      <c r="D983" s="3">
        <v>66019.15625</v>
      </c>
      <c r="E983" s="3">
        <v>3.1312680244445801</v>
      </c>
      <c r="F983" s="3">
        <v>0.87260341644287098</v>
      </c>
      <c r="G983" s="3">
        <v>0.14396195113658899</v>
      </c>
      <c r="H983" s="3">
        <v>4.13024947047234E-2</v>
      </c>
      <c r="I983" s="3">
        <v>555.44645839822601</v>
      </c>
      <c r="J983" s="3">
        <v>2.1021702289581299</v>
      </c>
      <c r="K983" s="3">
        <v>0.94474297761917103</v>
      </c>
      <c r="L983" s="3">
        <f t="shared" si="15"/>
        <v>4</v>
      </c>
      <c r="M983">
        <f>VLOOKUP(A983,Sheet2!$B$2:$E$186,2,FALSE)</f>
        <v>164</v>
      </c>
      <c r="N983" t="s">
        <v>387</v>
      </c>
      <c r="O983" t="s">
        <v>398</v>
      </c>
      <c r="P983">
        <v>0</v>
      </c>
      <c r="Q983">
        <v>0</v>
      </c>
      <c r="R983">
        <v>0</v>
      </c>
      <c r="S983">
        <v>1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1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</row>
    <row r="984" spans="1:40" x14ac:dyDescent="0.3">
      <c r="A984" t="s">
        <v>343</v>
      </c>
      <c r="B984" s="3">
        <v>2019</v>
      </c>
      <c r="C984" s="3">
        <v>21408.01953125</v>
      </c>
      <c r="D984" s="3">
        <v>68373.1875</v>
      </c>
      <c r="E984" s="3">
        <v>3.2337079048156698</v>
      </c>
      <c r="F984" s="3">
        <v>0.90850239992141701</v>
      </c>
      <c r="G984" s="3">
        <v>0.14303281903266901</v>
      </c>
      <c r="H984" s="3">
        <v>4.1694782674312598E-2</v>
      </c>
      <c r="I984" s="3">
        <v>585.91101318036897</v>
      </c>
      <c r="J984" s="3">
        <v>2.1078939437866202</v>
      </c>
      <c r="K984" s="3">
        <v>0.95469099283218395</v>
      </c>
      <c r="L984" s="3">
        <f t="shared" si="15"/>
        <v>5</v>
      </c>
      <c r="M984">
        <f>VLOOKUP(A984,Sheet2!$B$2:$E$186,2,FALSE)</f>
        <v>164</v>
      </c>
      <c r="N984" t="s">
        <v>387</v>
      </c>
      <c r="O984" t="s">
        <v>398</v>
      </c>
      <c r="P984">
        <v>0</v>
      </c>
      <c r="Q984">
        <v>0</v>
      </c>
      <c r="R984">
        <v>0</v>
      </c>
      <c r="S984">
        <v>1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1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</row>
    <row r="985" spans="1:40" x14ac:dyDescent="0.3">
      <c r="A985" t="s">
        <v>343</v>
      </c>
      <c r="B985" s="3">
        <v>2020</v>
      </c>
      <c r="C985" s="3">
        <v>21870.921875</v>
      </c>
      <c r="D985" s="3">
        <v>71466.28125</v>
      </c>
      <c r="E985" s="3">
        <v>3.2780287265777601</v>
      </c>
      <c r="F985" s="3">
        <v>0.95724624395370495</v>
      </c>
      <c r="G985" s="3">
        <v>0.14881739020347601</v>
      </c>
      <c r="H985" s="3">
        <v>4.2780414223671001E-2</v>
      </c>
      <c r="I985" s="3">
        <v>575.58600451094503</v>
      </c>
      <c r="J985" s="3">
        <v>2.11365866661072</v>
      </c>
      <c r="K985" s="3">
        <v>0.95439517498016402</v>
      </c>
      <c r="L985" s="3">
        <f t="shared" si="15"/>
        <v>6</v>
      </c>
      <c r="M985">
        <f>VLOOKUP(A985,Sheet2!$B$2:$E$186,2,FALSE)</f>
        <v>164</v>
      </c>
      <c r="N985" t="s">
        <v>387</v>
      </c>
      <c r="O985" t="s">
        <v>398</v>
      </c>
      <c r="P985">
        <v>0</v>
      </c>
      <c r="Q985">
        <v>0</v>
      </c>
      <c r="R985">
        <v>0</v>
      </c>
      <c r="S985">
        <v>1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1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</row>
    <row r="986" spans="1:40" x14ac:dyDescent="0.3">
      <c r="A986" t="s">
        <v>344</v>
      </c>
      <c r="B986" s="3">
        <v>2015</v>
      </c>
      <c r="C986" s="3">
        <v>1321854.375</v>
      </c>
      <c r="D986" s="3">
        <v>4981794.5</v>
      </c>
      <c r="E986" s="3">
        <v>37.952991485595703</v>
      </c>
      <c r="F986" s="3">
        <v>0.83035123348236095</v>
      </c>
      <c r="G986" s="3">
        <v>0.14088112115859999</v>
      </c>
      <c r="H986" s="3">
        <v>6.7798763513565105E-2</v>
      </c>
      <c r="I986" s="3">
        <v>34.247716666666697</v>
      </c>
      <c r="J986" s="3">
        <v>2.66162204742432</v>
      </c>
      <c r="K986" s="3">
        <v>0.93095034360885598</v>
      </c>
      <c r="L986" s="3">
        <f t="shared" si="15"/>
        <v>1</v>
      </c>
      <c r="M986">
        <f>VLOOKUP(A986,Sheet2!$B$2:$E$186,2,FALSE)</f>
        <v>165</v>
      </c>
      <c r="N986" t="s">
        <v>391</v>
      </c>
      <c r="O986" t="s">
        <v>403</v>
      </c>
      <c r="P986">
        <v>0</v>
      </c>
      <c r="Q986">
        <v>0</v>
      </c>
      <c r="R986">
        <v>1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1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</row>
    <row r="987" spans="1:40" x14ac:dyDescent="0.3">
      <c r="A987" t="s">
        <v>344</v>
      </c>
      <c r="B987" s="3">
        <v>2016</v>
      </c>
      <c r="C987" s="3">
        <v>1367262.125</v>
      </c>
      <c r="D987" s="3">
        <v>5132382</v>
      </c>
      <c r="E987" s="3">
        <v>37.6143608093262</v>
      </c>
      <c r="F987" s="3">
        <v>0.85909771919250499</v>
      </c>
      <c r="G987" s="3">
        <v>0.15338797867298101</v>
      </c>
      <c r="H987" s="3">
        <v>6.8051546812057495E-2</v>
      </c>
      <c r="I987" s="3">
        <v>35.296383333333303</v>
      </c>
      <c r="J987" s="3">
        <v>2.6876604557037398</v>
      </c>
      <c r="K987" s="3">
        <v>0.92661708593368497</v>
      </c>
      <c r="L987" s="3">
        <f t="shared" si="15"/>
        <v>2</v>
      </c>
      <c r="M987">
        <f>VLOOKUP(A987,Sheet2!$B$2:$E$186,2,FALSE)</f>
        <v>165</v>
      </c>
      <c r="N987" t="s">
        <v>391</v>
      </c>
      <c r="O987" t="s">
        <v>403</v>
      </c>
      <c r="P987">
        <v>0</v>
      </c>
      <c r="Q987">
        <v>0</v>
      </c>
      <c r="R987">
        <v>1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1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</row>
    <row r="988" spans="1:40" x14ac:dyDescent="0.3">
      <c r="A988" t="s">
        <v>344</v>
      </c>
      <c r="B988" s="3">
        <v>2017</v>
      </c>
      <c r="C988" s="3">
        <v>1424382</v>
      </c>
      <c r="D988" s="3">
        <v>5282581.5</v>
      </c>
      <c r="E988" s="3">
        <v>37.371986389160199</v>
      </c>
      <c r="F988" s="3">
        <v>0.88899117708206199</v>
      </c>
      <c r="G988" s="3">
        <v>0.162572726607323</v>
      </c>
      <c r="H988" s="3">
        <v>6.8193756043910994E-2</v>
      </c>
      <c r="I988" s="3">
        <v>33.939811056685798</v>
      </c>
      <c r="J988" s="3">
        <v>2.6924512386321999</v>
      </c>
      <c r="K988" s="3">
        <v>0.95273298025131203</v>
      </c>
      <c r="L988" s="3">
        <f t="shared" si="15"/>
        <v>3</v>
      </c>
      <c r="M988">
        <f>VLOOKUP(A988,Sheet2!$B$2:$E$186,2,FALSE)</f>
        <v>165</v>
      </c>
      <c r="N988" t="s">
        <v>391</v>
      </c>
      <c r="O988" t="s">
        <v>403</v>
      </c>
      <c r="P988">
        <v>0</v>
      </c>
      <c r="Q988">
        <v>0</v>
      </c>
      <c r="R988">
        <v>1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1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</row>
    <row r="989" spans="1:40" x14ac:dyDescent="0.3">
      <c r="A989" t="s">
        <v>344</v>
      </c>
      <c r="B989" s="3">
        <v>2018</v>
      </c>
      <c r="C989" s="3">
        <v>1484531.625</v>
      </c>
      <c r="D989" s="3">
        <v>5441419</v>
      </c>
      <c r="E989" s="3">
        <v>37.791679382324197</v>
      </c>
      <c r="F989" s="3">
        <v>0.91987979412078902</v>
      </c>
      <c r="G989" s="3">
        <v>0.17123882472515101</v>
      </c>
      <c r="H989" s="3">
        <v>6.8494394421577495E-2</v>
      </c>
      <c r="I989" s="3">
        <v>32.3102257431458</v>
      </c>
      <c r="J989" s="3">
        <v>2.6972503662109402</v>
      </c>
      <c r="K989" s="3">
        <v>0.99821674823760997</v>
      </c>
      <c r="L989" s="3">
        <f t="shared" si="15"/>
        <v>4</v>
      </c>
      <c r="M989">
        <f>VLOOKUP(A989,Sheet2!$B$2:$E$186,2,FALSE)</f>
        <v>165</v>
      </c>
      <c r="N989" t="s">
        <v>391</v>
      </c>
      <c r="O989" t="s">
        <v>403</v>
      </c>
      <c r="P989">
        <v>0</v>
      </c>
      <c r="Q989">
        <v>0</v>
      </c>
      <c r="R989">
        <v>1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1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</row>
    <row r="990" spans="1:40" x14ac:dyDescent="0.3">
      <c r="A990" t="s">
        <v>344</v>
      </c>
      <c r="B990" s="3">
        <v>2019</v>
      </c>
      <c r="C990" s="3">
        <v>1515923.125</v>
      </c>
      <c r="D990" s="3">
        <v>5601558.5</v>
      </c>
      <c r="E990" s="3">
        <v>37.541053771972699</v>
      </c>
      <c r="F990" s="3">
        <v>0.95063811540603604</v>
      </c>
      <c r="G990" s="3">
        <v>0.168286442756653</v>
      </c>
      <c r="H990" s="3">
        <v>6.8837016820907607E-2</v>
      </c>
      <c r="I990" s="3">
        <v>31.047605780549901</v>
      </c>
      <c r="J990" s="3">
        <v>2.7614066600799601</v>
      </c>
      <c r="K990" s="3">
        <v>0.989366054534912</v>
      </c>
      <c r="L990" s="3">
        <f t="shared" si="15"/>
        <v>5</v>
      </c>
      <c r="M990">
        <f>VLOOKUP(A990,Sheet2!$B$2:$E$186,2,FALSE)</f>
        <v>165</v>
      </c>
      <c r="N990" t="s">
        <v>391</v>
      </c>
      <c r="O990" t="s">
        <v>403</v>
      </c>
      <c r="P990">
        <v>0</v>
      </c>
      <c r="Q990">
        <v>0</v>
      </c>
      <c r="R990">
        <v>1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1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</row>
    <row r="991" spans="1:40" x14ac:dyDescent="0.3">
      <c r="A991" t="s">
        <v>344</v>
      </c>
      <c r="B991" s="3">
        <v>2020</v>
      </c>
      <c r="C991" s="3">
        <v>1424209.25</v>
      </c>
      <c r="D991" s="3">
        <v>5728546</v>
      </c>
      <c r="E991" s="3">
        <v>37.607460021972699</v>
      </c>
      <c r="F991" s="3">
        <v>0.97373586893081698</v>
      </c>
      <c r="G991" s="3">
        <v>0.14243720471859</v>
      </c>
      <c r="H991" s="3">
        <v>6.9021247327327701E-2</v>
      </c>
      <c r="I991" s="3">
        <v>31.293673213083199</v>
      </c>
      <c r="J991" s="3">
        <v>2.7837905883789098</v>
      </c>
      <c r="K991" s="3">
        <v>0.97970652580261197</v>
      </c>
      <c r="L991" s="3">
        <f t="shared" si="15"/>
        <v>6</v>
      </c>
      <c r="M991">
        <f>VLOOKUP(A991,Sheet2!$B$2:$E$186,2,FALSE)</f>
        <v>165</v>
      </c>
      <c r="N991" t="s">
        <v>391</v>
      </c>
      <c r="O991" t="s">
        <v>403</v>
      </c>
      <c r="P991">
        <v>0</v>
      </c>
      <c r="Q991">
        <v>0</v>
      </c>
      <c r="R991">
        <v>1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1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</row>
    <row r="992" spans="1:40" x14ac:dyDescent="0.3">
      <c r="A992" t="s">
        <v>346</v>
      </c>
      <c r="B992" s="3">
        <v>2015</v>
      </c>
      <c r="C992" s="3">
        <v>29563.048828125</v>
      </c>
      <c r="D992" s="3">
        <v>756253.5625</v>
      </c>
      <c r="E992" s="3">
        <v>2.40595579147339</v>
      </c>
      <c r="F992" s="3">
        <v>0.95657831430435203</v>
      </c>
      <c r="G992" s="3">
        <v>9.9999997764825804E-3</v>
      </c>
      <c r="H992" s="3">
        <v>2.2035915404558199E-2</v>
      </c>
      <c r="I992" s="3">
        <v>6.1631166666666699</v>
      </c>
      <c r="J992" s="3">
        <v>3.1564912796020499</v>
      </c>
      <c r="K992" s="3">
        <v>0.81396430730819702</v>
      </c>
      <c r="L992" s="3">
        <f t="shared" si="15"/>
        <v>1</v>
      </c>
      <c r="M992">
        <f>VLOOKUP(A992,Sheet2!$B$2:$E$186,2,FALSE)</f>
        <v>166</v>
      </c>
      <c r="N992" t="s">
        <v>391</v>
      </c>
      <c r="O992" t="s">
        <v>409</v>
      </c>
      <c r="P992">
        <v>0</v>
      </c>
      <c r="Q992">
        <v>0</v>
      </c>
      <c r="R992">
        <v>1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1</v>
      </c>
    </row>
    <row r="993" spans="1:47" x14ac:dyDescent="0.3">
      <c r="A993" t="s">
        <v>346</v>
      </c>
      <c r="B993" s="3">
        <v>2016</v>
      </c>
      <c r="C993" s="3">
        <v>31617.431640625</v>
      </c>
      <c r="D993" s="3">
        <v>754123.75</v>
      </c>
      <c r="E993" s="3">
        <v>2.4099597930908199</v>
      </c>
      <c r="F993" s="3">
        <v>0.96526306867599498</v>
      </c>
      <c r="G993" s="3">
        <v>9.9999997764825804E-3</v>
      </c>
      <c r="H993" s="3">
        <v>2.2265344858169601E-2</v>
      </c>
      <c r="I993" s="3">
        <v>7.8356750000000002</v>
      </c>
      <c r="J993" s="3">
        <v>3.16414451599121</v>
      </c>
      <c r="K993" s="3">
        <v>0.84981656074523904</v>
      </c>
      <c r="L993" s="3">
        <f t="shared" si="15"/>
        <v>2</v>
      </c>
      <c r="M993">
        <f>VLOOKUP(A993,Sheet2!$B$2:$E$186,2,FALSE)</f>
        <v>166</v>
      </c>
      <c r="N993" t="s">
        <v>391</v>
      </c>
      <c r="O993" t="s">
        <v>409</v>
      </c>
      <c r="P993">
        <v>0</v>
      </c>
      <c r="Q993">
        <v>0</v>
      </c>
      <c r="R993">
        <v>1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1</v>
      </c>
    </row>
    <row r="994" spans="1:47" x14ac:dyDescent="0.3">
      <c r="A994" t="s">
        <v>346</v>
      </c>
      <c r="B994" s="3">
        <v>2017</v>
      </c>
      <c r="C994" s="3">
        <v>33848.44921875</v>
      </c>
      <c r="D994" s="3">
        <v>750844.875</v>
      </c>
      <c r="E994" s="3">
        <v>2.4302639961242698</v>
      </c>
      <c r="F994" s="3">
        <v>0.96770584583282504</v>
      </c>
      <c r="G994" s="3">
        <v>9.9999997764825804E-3</v>
      </c>
      <c r="H994" s="3">
        <v>2.25668475031853E-2</v>
      </c>
      <c r="I994" s="3">
        <v>8.5497416666666695</v>
      </c>
      <c r="J994" s="3">
        <v>3.1718165874481201</v>
      </c>
      <c r="K994" s="3">
        <v>0.84276467561721802</v>
      </c>
      <c r="L994" s="3">
        <f t="shared" si="15"/>
        <v>3</v>
      </c>
      <c r="M994">
        <f>VLOOKUP(A994,Sheet2!$B$2:$E$186,2,FALSE)</f>
        <v>166</v>
      </c>
      <c r="N994" t="s">
        <v>391</v>
      </c>
      <c r="O994" t="s">
        <v>409</v>
      </c>
      <c r="P994">
        <v>0</v>
      </c>
      <c r="Q994">
        <v>0</v>
      </c>
      <c r="R994">
        <v>1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1</v>
      </c>
    </row>
    <row r="995" spans="1:47" x14ac:dyDescent="0.3">
      <c r="A995" t="s">
        <v>346</v>
      </c>
      <c r="B995" s="3">
        <v>2018</v>
      </c>
      <c r="C995" s="3">
        <v>36410.73828125</v>
      </c>
      <c r="D995" s="3">
        <v>749442.25</v>
      </c>
      <c r="E995" s="3">
        <v>2.4496328830718999</v>
      </c>
      <c r="F995" s="3">
        <v>0.97491729259491</v>
      </c>
      <c r="G995" s="3">
        <v>9.9999997764825804E-3</v>
      </c>
      <c r="H995" s="3">
        <v>2.2825578227639198E-2</v>
      </c>
      <c r="I995" s="3">
        <v>9.1512166666666701</v>
      </c>
      <c r="J995" s="3">
        <v>3.16153836250305</v>
      </c>
      <c r="K995" s="3">
        <v>0.91616487503051802</v>
      </c>
      <c r="L995" s="3">
        <f t="shared" si="15"/>
        <v>4</v>
      </c>
      <c r="M995">
        <f>VLOOKUP(A995,Sheet2!$B$2:$E$186,2,FALSE)</f>
        <v>166</v>
      </c>
      <c r="N995" t="s">
        <v>391</v>
      </c>
      <c r="O995" t="s">
        <v>409</v>
      </c>
      <c r="P995">
        <v>0</v>
      </c>
      <c r="Q995">
        <v>0</v>
      </c>
      <c r="R995">
        <v>1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1</v>
      </c>
    </row>
    <row r="996" spans="1:47" x14ac:dyDescent="0.3">
      <c r="A996" t="s">
        <v>346</v>
      </c>
      <c r="B996" s="3">
        <v>2019</v>
      </c>
      <c r="C996" s="3">
        <v>39120.8203125</v>
      </c>
      <c r="D996" s="3">
        <v>748617.0625</v>
      </c>
      <c r="E996" s="3">
        <v>2.4896275997161901</v>
      </c>
      <c r="F996" s="3">
        <v>0.98309975862503096</v>
      </c>
      <c r="G996" s="3">
        <v>1.2919963337480999E-2</v>
      </c>
      <c r="H996" s="3">
        <v>2.3138528689742099E-2</v>
      </c>
      <c r="I996" s="3">
        <v>9.5303666666666693</v>
      </c>
      <c r="J996" s="3">
        <v>3.1513371467590301</v>
      </c>
      <c r="K996" s="3">
        <v>0.95780229568481501</v>
      </c>
      <c r="L996" s="3">
        <f t="shared" si="15"/>
        <v>5</v>
      </c>
      <c r="M996">
        <f>VLOOKUP(A996,Sheet2!$B$2:$E$186,2,FALSE)</f>
        <v>166</v>
      </c>
      <c r="N996" t="s">
        <v>391</v>
      </c>
      <c r="O996" t="s">
        <v>409</v>
      </c>
      <c r="P996">
        <v>0</v>
      </c>
      <c r="Q996">
        <v>0</v>
      </c>
      <c r="R996">
        <v>1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1</v>
      </c>
    </row>
    <row r="997" spans="1:47" x14ac:dyDescent="0.3">
      <c r="A997" t="s">
        <v>346</v>
      </c>
      <c r="B997" s="3">
        <v>2020</v>
      </c>
      <c r="C997" s="3">
        <v>40841.1328125</v>
      </c>
      <c r="D997" s="3">
        <v>746367.5625</v>
      </c>
      <c r="E997" s="3">
        <v>2.5365788936614999</v>
      </c>
      <c r="F997" s="3">
        <v>0.98670786619186401</v>
      </c>
      <c r="G997" s="3">
        <v>1.43427746370435E-2</v>
      </c>
      <c r="H997" s="3">
        <v>2.3425221443176301E-2</v>
      </c>
      <c r="I997" s="3">
        <v>10.321941666666699</v>
      </c>
      <c r="J997" s="3">
        <v>3.1412122249603298</v>
      </c>
      <c r="K997" s="3">
        <v>0.97126555442810103</v>
      </c>
      <c r="L997" s="3">
        <f t="shared" si="15"/>
        <v>6</v>
      </c>
      <c r="M997">
        <f>VLOOKUP(A997,Sheet2!$B$2:$E$186,2,FALSE)</f>
        <v>166</v>
      </c>
      <c r="N997" t="s">
        <v>391</v>
      </c>
      <c r="O997" t="s">
        <v>409</v>
      </c>
      <c r="P997">
        <v>0</v>
      </c>
      <c r="Q997">
        <v>0</v>
      </c>
      <c r="R997">
        <v>1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1</v>
      </c>
    </row>
    <row r="998" spans="1:47" s="2" customFormat="1" x14ac:dyDescent="0.3">
      <c r="A998" t="s">
        <v>348</v>
      </c>
      <c r="B998" s="3">
        <v>2015</v>
      </c>
      <c r="C998" s="3">
        <v>119568.9921875</v>
      </c>
      <c r="D998" s="3">
        <v>576241.4375</v>
      </c>
      <c r="E998" s="3">
        <v>3.20122218132019</v>
      </c>
      <c r="F998" s="3"/>
      <c r="G998" s="3"/>
      <c r="H998" s="3">
        <v>4.0305390954017598E-2</v>
      </c>
      <c r="I998" s="3">
        <v>3.4755376344086</v>
      </c>
      <c r="J998" s="3"/>
      <c r="K998" s="3"/>
      <c r="L998" s="3">
        <f t="shared" si="15"/>
        <v>1</v>
      </c>
      <c r="M998">
        <f>VLOOKUP(A998,Sheet2!$B$2:$E$186,2,FALSE)</f>
        <v>167</v>
      </c>
      <c r="N998" t="s">
        <v>391</v>
      </c>
      <c r="O998" t="s">
        <v>409</v>
      </c>
      <c r="P998">
        <v>0</v>
      </c>
      <c r="Q998">
        <v>0</v>
      </c>
      <c r="R998">
        <v>1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1</v>
      </c>
      <c r="AO998"/>
      <c r="AP998"/>
      <c r="AQ998"/>
      <c r="AR998"/>
      <c r="AS998"/>
      <c r="AT998"/>
      <c r="AU998"/>
    </row>
    <row r="999" spans="1:47" s="2" customFormat="1" x14ac:dyDescent="0.3">
      <c r="A999" t="s">
        <v>348</v>
      </c>
      <c r="B999" s="3">
        <v>2016</v>
      </c>
      <c r="C999" s="3">
        <v>118401.109375</v>
      </c>
      <c r="D999" s="3">
        <v>618708.9375</v>
      </c>
      <c r="E999" s="3">
        <v>3.29632544517517</v>
      </c>
      <c r="F999" s="3"/>
      <c r="G999" s="3"/>
      <c r="H999" s="3">
        <v>4.1097547858953497E-2</v>
      </c>
      <c r="I999" s="3">
        <v>3.5</v>
      </c>
      <c r="J999" s="3"/>
      <c r="K999" s="3"/>
      <c r="L999" s="3">
        <f t="shared" si="15"/>
        <v>2</v>
      </c>
      <c r="M999">
        <f>VLOOKUP(A999,Sheet2!$B$2:$E$186,2,FALSE)</f>
        <v>167</v>
      </c>
      <c r="N999" t="s">
        <v>391</v>
      </c>
      <c r="O999" t="s">
        <v>409</v>
      </c>
      <c r="P999">
        <v>0</v>
      </c>
      <c r="Q999">
        <v>0</v>
      </c>
      <c r="R999">
        <v>1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1</v>
      </c>
      <c r="AO999"/>
      <c r="AP999"/>
      <c r="AQ999"/>
      <c r="AR999"/>
      <c r="AS999"/>
      <c r="AT999"/>
      <c r="AU999"/>
    </row>
    <row r="1000" spans="1:47" x14ac:dyDescent="0.3">
      <c r="A1000" t="s">
        <v>348</v>
      </c>
      <c r="B1000" s="3">
        <v>2017</v>
      </c>
      <c r="C1000" s="3">
        <v>126097.1953125</v>
      </c>
      <c r="D1000" s="3">
        <v>663326.125</v>
      </c>
      <c r="E1000" s="3">
        <v>3.3901913166046098</v>
      </c>
      <c r="F1000" s="3"/>
      <c r="G1000" s="3"/>
      <c r="H1000" s="3">
        <v>4.19685356318951E-2</v>
      </c>
      <c r="I1000" s="3">
        <v>3.5</v>
      </c>
      <c r="J1000" s="3"/>
      <c r="K1000" s="3"/>
      <c r="L1000" s="3">
        <f t="shared" si="15"/>
        <v>3</v>
      </c>
      <c r="M1000">
        <f>VLOOKUP(A1000,Sheet2!$B$2:$E$186,2,FALSE)</f>
        <v>167</v>
      </c>
      <c r="N1000" t="s">
        <v>391</v>
      </c>
      <c r="O1000" t="s">
        <v>409</v>
      </c>
      <c r="P1000">
        <v>0</v>
      </c>
      <c r="Q1000">
        <v>0</v>
      </c>
      <c r="R1000">
        <v>1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1</v>
      </c>
    </row>
    <row r="1001" spans="1:47" x14ac:dyDescent="0.3">
      <c r="A1001" t="s">
        <v>348</v>
      </c>
      <c r="B1001" s="3">
        <v>2018</v>
      </c>
      <c r="C1001" s="3">
        <v>133915.203125</v>
      </c>
      <c r="D1001" s="3">
        <v>710337.9375</v>
      </c>
      <c r="E1001" s="3">
        <v>3.4831812381744398</v>
      </c>
      <c r="F1001" s="3"/>
      <c r="G1001" s="3"/>
      <c r="H1001" s="3">
        <v>4.29426431655884E-2</v>
      </c>
      <c r="I1001" s="3">
        <v>3.5</v>
      </c>
      <c r="J1001" s="3"/>
      <c r="K1001" s="3"/>
      <c r="L1001" s="3">
        <f t="shared" si="15"/>
        <v>4</v>
      </c>
      <c r="M1001">
        <f>VLOOKUP(A1001,Sheet2!$B$2:$E$186,2,FALSE)</f>
        <v>167</v>
      </c>
      <c r="N1001" t="s">
        <v>391</v>
      </c>
      <c r="O1001" t="s">
        <v>409</v>
      </c>
      <c r="P1001">
        <v>0</v>
      </c>
      <c r="Q1001">
        <v>0</v>
      </c>
      <c r="R1001">
        <v>1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1</v>
      </c>
    </row>
    <row r="1002" spans="1:47" x14ac:dyDescent="0.3">
      <c r="A1002" t="s">
        <v>348</v>
      </c>
      <c r="B1002" s="3">
        <v>2019</v>
      </c>
      <c r="C1002" s="3">
        <v>142351.875</v>
      </c>
      <c r="D1002" s="3">
        <v>760275.75</v>
      </c>
      <c r="E1002" s="3">
        <v>3.57445216178894</v>
      </c>
      <c r="F1002" s="3"/>
      <c r="G1002" s="3"/>
      <c r="H1002" s="3">
        <v>4.3994098901748699E-2</v>
      </c>
      <c r="I1002" s="3">
        <v>3.5</v>
      </c>
      <c r="J1002" s="3"/>
      <c r="K1002" s="3"/>
      <c r="L1002" s="3">
        <f t="shared" si="15"/>
        <v>5</v>
      </c>
      <c r="M1002">
        <f>VLOOKUP(A1002,Sheet2!$B$2:$E$186,2,FALSE)</f>
        <v>167</v>
      </c>
      <c r="N1002" t="s">
        <v>391</v>
      </c>
      <c r="O1002" t="s">
        <v>409</v>
      </c>
      <c r="P1002">
        <v>0</v>
      </c>
      <c r="Q1002">
        <v>0</v>
      </c>
      <c r="R1002">
        <v>1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1</v>
      </c>
    </row>
    <row r="1003" spans="1:47" x14ac:dyDescent="0.3">
      <c r="A1003" t="s">
        <v>348</v>
      </c>
      <c r="B1003" s="3">
        <v>2020</v>
      </c>
      <c r="C1003" s="3">
        <v>150750.625</v>
      </c>
      <c r="D1003" s="3">
        <v>812359.75</v>
      </c>
      <c r="E1003" s="3">
        <v>3.5577647686004599</v>
      </c>
      <c r="F1003" s="3"/>
      <c r="G1003" s="3"/>
      <c r="H1003" s="3">
        <v>4.5216295868158299E-2</v>
      </c>
      <c r="I1003" s="3">
        <v>3.5</v>
      </c>
      <c r="J1003" s="3"/>
      <c r="K1003" s="3"/>
      <c r="L1003" s="3">
        <f t="shared" si="15"/>
        <v>6</v>
      </c>
      <c r="M1003">
        <f>VLOOKUP(A1003,Sheet2!$B$2:$E$186,2,FALSE)</f>
        <v>167</v>
      </c>
      <c r="N1003" t="s">
        <v>391</v>
      </c>
      <c r="O1003" t="s">
        <v>409</v>
      </c>
      <c r="P1003">
        <v>0</v>
      </c>
      <c r="Q1003">
        <v>0</v>
      </c>
      <c r="R1003">
        <v>1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1</v>
      </c>
    </row>
    <row r="1004" spans="1:47" x14ac:dyDescent="0.3">
      <c r="A1004" t="s">
        <v>350</v>
      </c>
      <c r="B1004" s="3">
        <v>2015</v>
      </c>
      <c r="C1004" s="3">
        <v>53522.9375</v>
      </c>
      <c r="D1004" s="3">
        <v>203648.359375</v>
      </c>
      <c r="E1004" s="3">
        <v>0.62329798936843905</v>
      </c>
      <c r="F1004" s="3">
        <v>0.81035786867141701</v>
      </c>
      <c r="G1004" s="3">
        <v>0.22890177369117701</v>
      </c>
      <c r="H1004" s="3">
        <v>3.5893734544515603E-2</v>
      </c>
      <c r="I1004" s="3">
        <v>6.3774416666666696</v>
      </c>
      <c r="J1004" s="3">
        <v>3.0504782199859601</v>
      </c>
      <c r="K1004" s="3">
        <v>1.44517493247986</v>
      </c>
      <c r="L1004" s="3">
        <f t="shared" si="15"/>
        <v>1</v>
      </c>
      <c r="M1004">
        <f>VLOOKUP(A1004,Sheet2!$B$2:$E$186,2,FALSE)</f>
        <v>168</v>
      </c>
      <c r="N1004" t="s">
        <v>385</v>
      </c>
      <c r="O1004" t="s">
        <v>386</v>
      </c>
      <c r="P1004">
        <v>1</v>
      </c>
      <c r="Q1004">
        <v>0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</row>
    <row r="1005" spans="1:47" x14ac:dyDescent="0.3">
      <c r="A1005" t="s">
        <v>350</v>
      </c>
      <c r="B1005" s="3">
        <v>2016</v>
      </c>
      <c r="C1005" s="3">
        <v>49560.39453125</v>
      </c>
      <c r="D1005" s="3">
        <v>224595.578125</v>
      </c>
      <c r="E1005" s="3">
        <v>0.61325597763061501</v>
      </c>
      <c r="F1005" s="3">
        <v>0.90149217844009399</v>
      </c>
      <c r="G1005" s="3">
        <v>0.19477963447570801</v>
      </c>
      <c r="H1005" s="3">
        <v>3.7322662770748097E-2</v>
      </c>
      <c r="I1005" s="3">
        <v>6.6689666666666696</v>
      </c>
      <c r="J1005" s="3">
        <v>3.0591518878936799</v>
      </c>
      <c r="K1005" s="3">
        <v>1.4011367559432999</v>
      </c>
      <c r="L1005" s="3">
        <f t="shared" si="15"/>
        <v>2</v>
      </c>
      <c r="M1005">
        <f>VLOOKUP(A1005,Sheet2!$B$2:$E$186,2,FALSE)</f>
        <v>168</v>
      </c>
      <c r="N1005" t="s">
        <v>385</v>
      </c>
      <c r="O1005" t="s">
        <v>386</v>
      </c>
      <c r="P1005">
        <v>1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</row>
    <row r="1006" spans="1:47" x14ac:dyDescent="0.3">
      <c r="A1006" t="s">
        <v>350</v>
      </c>
      <c r="B1006" s="3">
        <v>2017</v>
      </c>
      <c r="C1006" s="3">
        <v>47172.28515625</v>
      </c>
      <c r="D1006" s="3">
        <v>233922.6875</v>
      </c>
      <c r="E1006" s="3">
        <v>0.60293442010879505</v>
      </c>
      <c r="F1006" s="3">
        <v>0.93986248970031705</v>
      </c>
      <c r="G1006" s="3">
        <v>0.16163061559200301</v>
      </c>
      <c r="H1006" s="3">
        <v>3.78547348082066E-2</v>
      </c>
      <c r="I1006" s="3">
        <v>6.7795249999999996</v>
      </c>
      <c r="J1006" s="3">
        <v>3.06785011291504</v>
      </c>
      <c r="K1006" s="3">
        <v>1.1958522796630899</v>
      </c>
      <c r="L1006" s="3">
        <f t="shared" si="15"/>
        <v>3</v>
      </c>
      <c r="M1006">
        <f>VLOOKUP(A1006,Sheet2!$B$2:$E$186,2,FALSE)</f>
        <v>168</v>
      </c>
      <c r="N1006" t="s">
        <v>385</v>
      </c>
      <c r="O1006" t="s">
        <v>386</v>
      </c>
      <c r="P1006">
        <v>1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</row>
    <row r="1007" spans="1:47" x14ac:dyDescent="0.3">
      <c r="A1007" t="s">
        <v>350</v>
      </c>
      <c r="B1007" s="3">
        <v>2018</v>
      </c>
      <c r="C1007" s="3">
        <v>46707.38671875</v>
      </c>
      <c r="D1007" s="3">
        <v>238585.578125</v>
      </c>
      <c r="E1007" s="3">
        <v>0.59939348697662398</v>
      </c>
      <c r="F1007" s="3">
        <v>0.95671069622039795</v>
      </c>
      <c r="G1007" s="3">
        <v>0.15406611561775199</v>
      </c>
      <c r="H1007" s="3">
        <v>3.75443883240223E-2</v>
      </c>
      <c r="I1007" s="3">
        <v>6.7707508982460602</v>
      </c>
      <c r="J1007" s="3">
        <v>3.0765731334686302</v>
      </c>
      <c r="K1007" s="3">
        <v>1.1190299987793</v>
      </c>
      <c r="L1007" s="3">
        <f t="shared" si="15"/>
        <v>4</v>
      </c>
      <c r="M1007">
        <f>VLOOKUP(A1007,Sheet2!$B$2:$E$186,2,FALSE)</f>
        <v>168</v>
      </c>
      <c r="N1007" t="s">
        <v>385</v>
      </c>
      <c r="O1007" t="s">
        <v>386</v>
      </c>
      <c r="P1007">
        <v>1</v>
      </c>
      <c r="Q1007">
        <v>0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</row>
    <row r="1008" spans="1:47" x14ac:dyDescent="0.3">
      <c r="A1008" t="s">
        <v>350</v>
      </c>
      <c r="B1008" s="3">
        <v>2019</v>
      </c>
      <c r="C1008" s="3">
        <v>46927.76171875</v>
      </c>
      <c r="D1008" s="3">
        <v>245453.4375</v>
      </c>
      <c r="E1008" s="3">
        <v>0.59103798866271995</v>
      </c>
      <c r="F1008" s="3">
        <v>0.98262566328048695</v>
      </c>
      <c r="G1008" s="3">
        <v>0.157450541853905</v>
      </c>
      <c r="H1008" s="3">
        <v>3.7037931382656097E-2</v>
      </c>
      <c r="I1008" s="3">
        <v>6.7543266828631996</v>
      </c>
      <c r="J1008" s="3">
        <v>3.0853209495544398</v>
      </c>
      <c r="K1008" s="3">
        <v>1.1371482610702499</v>
      </c>
      <c r="L1008" s="3">
        <f t="shared" si="15"/>
        <v>5</v>
      </c>
      <c r="M1008">
        <f>VLOOKUP(A1008,Sheet2!$B$2:$E$186,2,FALSE)</f>
        <v>168</v>
      </c>
      <c r="N1008" t="s">
        <v>385</v>
      </c>
      <c r="O1008" t="s">
        <v>386</v>
      </c>
      <c r="P1008">
        <v>1</v>
      </c>
      <c r="Q1008">
        <v>0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</row>
    <row r="1009" spans="1:40" x14ac:dyDescent="0.3">
      <c r="A1009" t="s">
        <v>350</v>
      </c>
      <c r="B1009" s="3">
        <v>2020</v>
      </c>
      <c r="C1009" s="3">
        <v>42749.87890625</v>
      </c>
      <c r="D1009" s="3">
        <v>253462.71875</v>
      </c>
      <c r="E1009" s="3">
        <v>0.56975102424621604</v>
      </c>
      <c r="F1009" s="3">
        <v>1.01964783668518</v>
      </c>
      <c r="G1009" s="3">
        <v>0.14249162375926999</v>
      </c>
      <c r="H1009" s="3">
        <v>3.7152584642171901E-2</v>
      </c>
      <c r="I1009" s="3">
        <v>6.7510526871150498</v>
      </c>
      <c r="J1009" s="3">
        <v>3.09409379959106</v>
      </c>
      <c r="K1009" s="3">
        <v>1.16085004806519</v>
      </c>
      <c r="L1009" s="3">
        <f t="shared" si="15"/>
        <v>6</v>
      </c>
      <c r="M1009">
        <f>VLOOKUP(A1009,Sheet2!$B$2:$E$186,2,FALSE)</f>
        <v>168</v>
      </c>
      <c r="N1009" t="s">
        <v>385</v>
      </c>
      <c r="O1009" t="s">
        <v>386</v>
      </c>
      <c r="P1009">
        <v>1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</row>
    <row r="1010" spans="1:40" x14ac:dyDescent="0.3">
      <c r="A1010" t="s">
        <v>352</v>
      </c>
      <c r="B1010" s="3">
        <v>2015</v>
      </c>
      <c r="C1010" s="3">
        <v>141287.484375</v>
      </c>
      <c r="D1010" s="3">
        <v>444473.90625</v>
      </c>
      <c r="E1010" s="3">
        <v>3.5729200839996298</v>
      </c>
      <c r="F1010" s="3">
        <v>0.85140830278396595</v>
      </c>
      <c r="G1010" s="3">
        <v>0.110996291041374</v>
      </c>
      <c r="H1010" s="3">
        <v>4.5679792761802701E-2</v>
      </c>
      <c r="I1010" s="3">
        <v>1.961625</v>
      </c>
      <c r="J1010" s="3">
        <v>2.5091788768768302</v>
      </c>
      <c r="K1010" s="3">
        <v>1.12458395957947</v>
      </c>
      <c r="L1010" s="3">
        <f t="shared" si="15"/>
        <v>1</v>
      </c>
      <c r="M1010">
        <f>VLOOKUP(A1010,Sheet2!$B$2:$E$186,2,FALSE)</f>
        <v>169</v>
      </c>
      <c r="N1010" t="s">
        <v>387</v>
      </c>
      <c r="O1010" t="s">
        <v>407</v>
      </c>
      <c r="P1010">
        <v>0</v>
      </c>
      <c r="Q1010">
        <v>0</v>
      </c>
      <c r="R1010">
        <v>0</v>
      </c>
      <c r="S1010">
        <v>1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1</v>
      </c>
      <c r="AM1010">
        <v>0</v>
      </c>
      <c r="AN1010">
        <v>0</v>
      </c>
    </row>
    <row r="1011" spans="1:40" x14ac:dyDescent="0.3">
      <c r="A1011" t="s">
        <v>352</v>
      </c>
      <c r="B1011" s="3">
        <v>2016</v>
      </c>
      <c r="C1011" s="3">
        <v>149916.703125</v>
      </c>
      <c r="D1011" s="3">
        <v>458161.40625</v>
      </c>
      <c r="E1011" s="3">
        <v>3.61090159416199</v>
      </c>
      <c r="F1011" s="3">
        <v>0.877330303192139</v>
      </c>
      <c r="G1011" s="3">
        <v>0.118008345365524</v>
      </c>
      <c r="H1011" s="3">
        <v>4.5056726783514002E-2</v>
      </c>
      <c r="I1011" s="3">
        <v>2.1480333333333301</v>
      </c>
      <c r="J1011" s="3">
        <v>2.5679841041564901</v>
      </c>
      <c r="K1011" s="3">
        <v>1.15248763561249</v>
      </c>
      <c r="L1011" s="3">
        <f t="shared" si="15"/>
        <v>2</v>
      </c>
      <c r="M1011">
        <f>VLOOKUP(A1011,Sheet2!$B$2:$E$186,2,FALSE)</f>
        <v>169</v>
      </c>
      <c r="N1011" t="s">
        <v>387</v>
      </c>
      <c r="O1011" t="s">
        <v>407</v>
      </c>
      <c r="P1011">
        <v>0</v>
      </c>
      <c r="Q1011">
        <v>0</v>
      </c>
      <c r="R1011">
        <v>0</v>
      </c>
      <c r="S1011">
        <v>1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1</v>
      </c>
      <c r="AM1011">
        <v>0</v>
      </c>
      <c r="AN1011">
        <v>0</v>
      </c>
    </row>
    <row r="1012" spans="1:40" x14ac:dyDescent="0.3">
      <c r="A1012" t="s">
        <v>352</v>
      </c>
      <c r="B1012" s="3">
        <v>2017</v>
      </c>
      <c r="C1012" s="3">
        <v>153281.25</v>
      </c>
      <c r="D1012" s="3">
        <v>471624.5</v>
      </c>
      <c r="E1012" s="3">
        <v>3.7673594951629599</v>
      </c>
      <c r="F1012" s="3">
        <v>0.90384119749069203</v>
      </c>
      <c r="G1012" s="3">
        <v>0.114955611526966</v>
      </c>
      <c r="H1012" s="3">
        <v>4.47144992649555E-2</v>
      </c>
      <c r="I1012" s="3">
        <v>2.4194249999999999</v>
      </c>
      <c r="J1012" s="3">
        <v>2.61101174354553</v>
      </c>
      <c r="K1012" s="3">
        <v>1.13036048412323</v>
      </c>
      <c r="L1012" s="3">
        <f t="shared" si="15"/>
        <v>3</v>
      </c>
      <c r="M1012">
        <f>VLOOKUP(A1012,Sheet2!$B$2:$E$186,2,FALSE)</f>
        <v>169</v>
      </c>
      <c r="N1012" t="s">
        <v>387</v>
      </c>
      <c r="O1012" t="s">
        <v>407</v>
      </c>
      <c r="P1012">
        <v>0</v>
      </c>
      <c r="Q1012">
        <v>0</v>
      </c>
      <c r="R1012">
        <v>0</v>
      </c>
      <c r="S1012">
        <v>1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1</v>
      </c>
      <c r="AM1012">
        <v>0</v>
      </c>
      <c r="AN1012">
        <v>0</v>
      </c>
    </row>
    <row r="1013" spans="1:40" x14ac:dyDescent="0.3">
      <c r="A1013" t="s">
        <v>352</v>
      </c>
      <c r="B1013" s="3">
        <v>2018</v>
      </c>
      <c r="C1013" s="3">
        <v>157253.140625</v>
      </c>
      <c r="D1013" s="3">
        <v>485364.25</v>
      </c>
      <c r="E1013" s="3">
        <v>3.9302117824554399</v>
      </c>
      <c r="F1013" s="3">
        <v>0.93943828344345104</v>
      </c>
      <c r="G1013" s="3">
        <v>0.120608016848564</v>
      </c>
      <c r="H1013" s="3">
        <v>4.4832352548837703E-2</v>
      </c>
      <c r="I1013" s="3">
        <v>2.64686666666667</v>
      </c>
      <c r="J1013" s="3">
        <v>2.6547598838806201</v>
      </c>
      <c r="K1013" s="3">
        <v>1.09783279895782</v>
      </c>
      <c r="L1013" s="3">
        <f t="shared" si="15"/>
        <v>4</v>
      </c>
      <c r="M1013">
        <f>VLOOKUP(A1013,Sheet2!$B$2:$E$186,2,FALSE)</f>
        <v>169</v>
      </c>
      <c r="N1013" t="s">
        <v>387</v>
      </c>
      <c r="O1013" t="s">
        <v>407</v>
      </c>
      <c r="P1013">
        <v>0</v>
      </c>
      <c r="Q1013">
        <v>0</v>
      </c>
      <c r="R1013">
        <v>0</v>
      </c>
      <c r="S1013">
        <v>1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1</v>
      </c>
      <c r="AM1013">
        <v>0</v>
      </c>
      <c r="AN1013">
        <v>0</v>
      </c>
    </row>
    <row r="1014" spans="1:40" x14ac:dyDescent="0.3">
      <c r="A1014" t="s">
        <v>352</v>
      </c>
      <c r="B1014" s="3">
        <v>2019</v>
      </c>
      <c r="C1014" s="3">
        <v>159617.09375</v>
      </c>
      <c r="D1014" s="3">
        <v>498653.25</v>
      </c>
      <c r="E1014" s="3">
        <v>3.9677553176879901</v>
      </c>
      <c r="F1014" s="3">
        <v>0.97710829973220803</v>
      </c>
      <c r="G1014" s="3">
        <v>0.124532617628574</v>
      </c>
      <c r="H1014" s="3">
        <v>4.5444540679454803E-2</v>
      </c>
      <c r="I1014" s="3">
        <v>2.9344333333333301</v>
      </c>
      <c r="J1014" s="3">
        <v>2.6992413997650102</v>
      </c>
      <c r="K1014" s="3">
        <v>1.0515342950820901</v>
      </c>
      <c r="L1014" s="3">
        <f t="shared" si="15"/>
        <v>5</v>
      </c>
      <c r="M1014">
        <f>VLOOKUP(A1014,Sheet2!$B$2:$E$186,2,FALSE)</f>
        <v>169</v>
      </c>
      <c r="N1014" t="s">
        <v>387</v>
      </c>
      <c r="O1014" t="s">
        <v>407</v>
      </c>
      <c r="P1014">
        <v>0</v>
      </c>
      <c r="Q1014">
        <v>0</v>
      </c>
      <c r="R1014">
        <v>0</v>
      </c>
      <c r="S1014">
        <v>1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1</v>
      </c>
      <c r="AM1014">
        <v>0</v>
      </c>
      <c r="AN1014">
        <v>0</v>
      </c>
    </row>
    <row r="1015" spans="1:40" x14ac:dyDescent="0.3">
      <c r="A1015" t="s">
        <v>352</v>
      </c>
      <c r="B1015" s="3">
        <v>2020</v>
      </c>
      <c r="C1015" s="3">
        <v>145855.140625</v>
      </c>
      <c r="D1015" s="3">
        <v>503170.96875</v>
      </c>
      <c r="E1015" s="3">
        <v>3.94111156463623</v>
      </c>
      <c r="F1015" s="3">
        <v>0.98513692617416404</v>
      </c>
      <c r="G1015" s="3">
        <v>9.7101859748363495E-2</v>
      </c>
      <c r="H1015" s="3">
        <v>4.54650521278381E-2</v>
      </c>
      <c r="I1015" s="3">
        <v>2.81235833333333</v>
      </c>
      <c r="J1015" s="3">
        <v>2.74446797370911</v>
      </c>
      <c r="K1015" s="3">
        <v>0.98247146606445301</v>
      </c>
      <c r="L1015" s="3">
        <f t="shared" si="15"/>
        <v>6</v>
      </c>
      <c r="M1015">
        <f>VLOOKUP(A1015,Sheet2!$B$2:$E$186,2,FALSE)</f>
        <v>169</v>
      </c>
      <c r="N1015" t="s">
        <v>387</v>
      </c>
      <c r="O1015" t="s">
        <v>407</v>
      </c>
      <c r="P1015">
        <v>0</v>
      </c>
      <c r="Q1015">
        <v>0</v>
      </c>
      <c r="R1015">
        <v>0</v>
      </c>
      <c r="S1015">
        <v>1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1</v>
      </c>
      <c r="AM1015">
        <v>0</v>
      </c>
      <c r="AN1015">
        <v>0</v>
      </c>
    </row>
    <row r="1016" spans="1:40" x14ac:dyDescent="0.3">
      <c r="A1016" t="s">
        <v>354</v>
      </c>
      <c r="B1016" s="3">
        <v>2015</v>
      </c>
      <c r="C1016" s="3">
        <v>1999331.625</v>
      </c>
      <c r="D1016" s="3">
        <v>6265647</v>
      </c>
      <c r="E1016" s="3">
        <v>26.620000839233398</v>
      </c>
      <c r="F1016" s="3">
        <v>0.69348275661468495</v>
      </c>
      <c r="G1016" s="3">
        <v>0.190583556890488</v>
      </c>
      <c r="H1016" s="3">
        <v>5.3559619933366803E-2</v>
      </c>
      <c r="I1016" s="3">
        <v>2.7200085279057902</v>
      </c>
      <c r="J1016" s="3">
        <v>2.3762784004211399</v>
      </c>
      <c r="K1016" s="3">
        <v>1.01571404933929</v>
      </c>
      <c r="L1016" s="3">
        <f t="shared" si="15"/>
        <v>1</v>
      </c>
      <c r="M1016">
        <f>VLOOKUP(A1016,Sheet2!$B$2:$E$186,2,FALSE)</f>
        <v>170</v>
      </c>
      <c r="N1016" t="s">
        <v>391</v>
      </c>
      <c r="O1016" t="s">
        <v>392</v>
      </c>
      <c r="P1016">
        <v>0</v>
      </c>
      <c r="Q1016">
        <v>0</v>
      </c>
      <c r="R1016">
        <v>1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1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</row>
    <row r="1017" spans="1:40" x14ac:dyDescent="0.3">
      <c r="A1017" t="s">
        <v>354</v>
      </c>
      <c r="B1017" s="3">
        <v>2016</v>
      </c>
      <c r="C1017" s="3">
        <v>2065771.75</v>
      </c>
      <c r="D1017" s="3">
        <v>6718667.5</v>
      </c>
      <c r="E1017" s="3">
        <v>27.204999923706101</v>
      </c>
      <c r="F1017" s="3">
        <v>0.74435275793075595</v>
      </c>
      <c r="G1017" s="3">
        <v>0.16986414790153501</v>
      </c>
      <c r="H1017" s="3">
        <v>5.3568631410598803E-2</v>
      </c>
      <c r="I1017" s="3">
        <v>3.0201347480804301</v>
      </c>
      <c r="J1017" s="3">
        <v>2.4100546836853001</v>
      </c>
      <c r="K1017" s="3">
        <v>1.00597536563873</v>
      </c>
      <c r="L1017" s="3">
        <f t="shared" si="15"/>
        <v>2</v>
      </c>
      <c r="M1017">
        <f>VLOOKUP(A1017,Sheet2!$B$2:$E$186,2,FALSE)</f>
        <v>170</v>
      </c>
      <c r="N1017" t="s">
        <v>391</v>
      </c>
      <c r="O1017" t="s">
        <v>392</v>
      </c>
      <c r="P1017">
        <v>0</v>
      </c>
      <c r="Q1017">
        <v>0</v>
      </c>
      <c r="R1017">
        <v>1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1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</row>
    <row r="1018" spans="1:40" x14ac:dyDescent="0.3">
      <c r="A1018" t="s">
        <v>354</v>
      </c>
      <c r="B1018" s="3">
        <v>2017</v>
      </c>
      <c r="C1018" s="3">
        <v>2220745.25</v>
      </c>
      <c r="D1018" s="3">
        <v>7218943</v>
      </c>
      <c r="E1018" s="3">
        <v>28.188999176025401</v>
      </c>
      <c r="F1018" s="3">
        <v>0.80033719539642301</v>
      </c>
      <c r="G1018" s="3">
        <v>0.17731386423111001</v>
      </c>
      <c r="H1018" s="3">
        <v>5.3380805999040597E-2</v>
      </c>
      <c r="I1018" s="3">
        <v>3.6481326353686598</v>
      </c>
      <c r="J1018" s="3">
        <v>2.4443113803863499</v>
      </c>
      <c r="K1018" s="3">
        <v>1.0097527503967301</v>
      </c>
      <c r="L1018" s="3">
        <f t="shared" si="15"/>
        <v>3</v>
      </c>
      <c r="M1018">
        <f>VLOOKUP(A1018,Sheet2!$B$2:$E$186,2,FALSE)</f>
        <v>170</v>
      </c>
      <c r="N1018" t="s">
        <v>391</v>
      </c>
      <c r="O1018" t="s">
        <v>392</v>
      </c>
      <c r="P1018">
        <v>0</v>
      </c>
      <c r="Q1018">
        <v>0</v>
      </c>
      <c r="R1018">
        <v>1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1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</row>
    <row r="1019" spans="1:40" x14ac:dyDescent="0.3">
      <c r="A1019" t="s">
        <v>354</v>
      </c>
      <c r="B1019" s="3">
        <v>2018</v>
      </c>
      <c r="C1019" s="3">
        <v>2287660.5</v>
      </c>
      <c r="D1019" s="3">
        <v>7702868.5</v>
      </c>
      <c r="E1019" s="3">
        <v>28.7409992218018</v>
      </c>
      <c r="F1019" s="3">
        <v>0.85374093055725098</v>
      </c>
      <c r="G1019" s="3">
        <v>0.16927073895931199</v>
      </c>
      <c r="H1019" s="3">
        <v>5.2994575351476697E-2</v>
      </c>
      <c r="I1019" s="3">
        <v>4.8283701472094203</v>
      </c>
      <c r="J1019" s="3">
        <v>2.47905468940735</v>
      </c>
      <c r="K1019" s="3">
        <v>0.97836214303970304</v>
      </c>
      <c r="L1019" s="3">
        <f t="shared" si="15"/>
        <v>4</v>
      </c>
      <c r="M1019">
        <f>VLOOKUP(A1019,Sheet2!$B$2:$E$186,2,FALSE)</f>
        <v>170</v>
      </c>
      <c r="N1019" t="s">
        <v>391</v>
      </c>
      <c r="O1019" t="s">
        <v>392</v>
      </c>
      <c r="P1019">
        <v>0</v>
      </c>
      <c r="Q1019">
        <v>0</v>
      </c>
      <c r="R1019">
        <v>1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1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</row>
    <row r="1020" spans="1:40" x14ac:dyDescent="0.3">
      <c r="A1020" t="s">
        <v>354</v>
      </c>
      <c r="B1020" s="3">
        <v>2019</v>
      </c>
      <c r="C1020" s="3">
        <v>2306385.5</v>
      </c>
      <c r="D1020" s="3">
        <v>8060471.5</v>
      </c>
      <c r="E1020" s="3">
        <v>28.081953048706101</v>
      </c>
      <c r="F1020" s="3">
        <v>0.89380562305450395</v>
      </c>
      <c r="G1020" s="3">
        <v>0.159672185778618</v>
      </c>
      <c r="H1020" s="3">
        <v>5.25753647089005E-2</v>
      </c>
      <c r="I1020" s="3">
        <v>5.67381930843574</v>
      </c>
      <c r="J1020" s="3">
        <v>2.5142920017242401</v>
      </c>
      <c r="K1020" s="3">
        <v>0.938931584358215</v>
      </c>
      <c r="L1020" s="3">
        <f t="shared" si="15"/>
        <v>5</v>
      </c>
      <c r="M1020">
        <f>VLOOKUP(A1020,Sheet2!$B$2:$E$186,2,FALSE)</f>
        <v>170</v>
      </c>
      <c r="N1020" t="s">
        <v>391</v>
      </c>
      <c r="O1020" t="s">
        <v>392</v>
      </c>
      <c r="P1020">
        <v>0</v>
      </c>
      <c r="Q1020">
        <v>0</v>
      </c>
      <c r="R1020">
        <v>1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1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</row>
    <row r="1021" spans="1:40" x14ac:dyDescent="0.3">
      <c r="A1021" t="s">
        <v>354</v>
      </c>
      <c r="B1021" s="3">
        <v>2020</v>
      </c>
      <c r="C1021" s="3">
        <v>2349280.75</v>
      </c>
      <c r="D1021" s="3">
        <v>8455769</v>
      </c>
      <c r="E1021" s="3">
        <v>26.813865661621101</v>
      </c>
      <c r="F1021" s="3">
        <v>0.94271582365036</v>
      </c>
      <c r="G1021" s="3">
        <v>0.16177099943161</v>
      </c>
      <c r="H1021" s="3">
        <v>5.29020801186562E-2</v>
      </c>
      <c r="I1021" s="3">
        <v>7.0086054155852198</v>
      </c>
      <c r="J1021" s="3">
        <v>2.5500299930572501</v>
      </c>
      <c r="K1021" s="3">
        <v>1.00196874141693</v>
      </c>
      <c r="L1021" s="3">
        <f t="shared" si="15"/>
        <v>6</v>
      </c>
      <c r="M1021">
        <f>VLOOKUP(A1021,Sheet2!$B$2:$E$186,2,FALSE)</f>
        <v>170</v>
      </c>
      <c r="N1021" t="s">
        <v>391</v>
      </c>
      <c r="O1021" t="s">
        <v>392</v>
      </c>
      <c r="P1021">
        <v>0</v>
      </c>
      <c r="Q1021">
        <v>0</v>
      </c>
      <c r="R1021">
        <v>1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1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</row>
    <row r="1022" spans="1:40" x14ac:dyDescent="0.3">
      <c r="A1022" t="s">
        <v>356</v>
      </c>
      <c r="B1022" s="3">
        <v>2015</v>
      </c>
      <c r="C1022" s="3">
        <v>1125121.75</v>
      </c>
      <c r="D1022" s="3">
        <v>5161581</v>
      </c>
      <c r="E1022" s="3">
        <v>11.197801589965801</v>
      </c>
      <c r="F1022" s="3">
        <v>0.82225370407104503</v>
      </c>
      <c r="G1022" s="3">
        <v>6.6298015415668501E-2</v>
      </c>
      <c r="H1022" s="3">
        <v>5.6295525282621398E-2</v>
      </c>
      <c r="I1022" s="3">
        <v>31.91</v>
      </c>
      <c r="J1022" s="3">
        <v>3.2267625331878702</v>
      </c>
      <c r="K1022" s="3">
        <v>0.95163601636886597</v>
      </c>
      <c r="L1022" s="3">
        <f t="shared" si="15"/>
        <v>1</v>
      </c>
      <c r="M1022">
        <f>VLOOKUP(A1022,Sheet2!$B$2:$E$186,2,FALSE)</f>
        <v>171</v>
      </c>
      <c r="N1022" t="s">
        <v>391</v>
      </c>
      <c r="O1022" t="s">
        <v>405</v>
      </c>
      <c r="P1022">
        <v>0</v>
      </c>
      <c r="Q1022">
        <v>0</v>
      </c>
      <c r="R1022">
        <v>1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1</v>
      </c>
      <c r="AK1022">
        <v>0</v>
      </c>
      <c r="AL1022">
        <v>0</v>
      </c>
      <c r="AM1022">
        <v>0</v>
      </c>
      <c r="AN1022">
        <v>0</v>
      </c>
    </row>
    <row r="1023" spans="1:40" x14ac:dyDescent="0.3">
      <c r="A1023" t="s">
        <v>356</v>
      </c>
      <c r="B1023" s="3">
        <v>2016</v>
      </c>
      <c r="C1023" s="3">
        <v>1149481.75</v>
      </c>
      <c r="D1023" s="3">
        <v>5268292.5</v>
      </c>
      <c r="E1023" s="3">
        <v>11.267198562622101</v>
      </c>
      <c r="F1023" s="3">
        <v>0.84360480308532704</v>
      </c>
      <c r="G1023" s="3">
        <v>6.6622912883758503E-2</v>
      </c>
      <c r="H1023" s="3">
        <v>5.6662652641534798E-2</v>
      </c>
      <c r="I1023" s="3">
        <v>32.33</v>
      </c>
      <c r="J1023" s="3">
        <v>3.2583935260772701</v>
      </c>
      <c r="K1023" s="3">
        <v>0.95768421888351396</v>
      </c>
      <c r="L1023" s="3">
        <f t="shared" si="15"/>
        <v>2</v>
      </c>
      <c r="M1023">
        <f>VLOOKUP(A1023,Sheet2!$B$2:$E$186,2,FALSE)</f>
        <v>171</v>
      </c>
      <c r="N1023" t="s">
        <v>391</v>
      </c>
      <c r="O1023" t="s">
        <v>405</v>
      </c>
      <c r="P1023">
        <v>0</v>
      </c>
      <c r="Q1023">
        <v>0</v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1</v>
      </c>
      <c r="AK1023">
        <v>0</v>
      </c>
      <c r="AL1023">
        <v>0</v>
      </c>
      <c r="AM1023">
        <v>0</v>
      </c>
      <c r="AN1023">
        <v>0</v>
      </c>
    </row>
    <row r="1024" spans="1:40" x14ac:dyDescent="0.3">
      <c r="A1024" t="s">
        <v>356</v>
      </c>
      <c r="B1024" s="3">
        <v>2017</v>
      </c>
      <c r="C1024" s="3">
        <v>1187545.375</v>
      </c>
      <c r="D1024" s="3">
        <v>5365603</v>
      </c>
      <c r="E1024" s="3">
        <v>11.350999832153301</v>
      </c>
      <c r="F1024" s="3">
        <v>0.86310768127441395</v>
      </c>
      <c r="G1024" s="3">
        <v>6.6287443041801494E-2</v>
      </c>
      <c r="H1024" s="3">
        <v>5.7071965187788003E-2</v>
      </c>
      <c r="I1024" s="3">
        <v>30.44</v>
      </c>
      <c r="J1024" s="3">
        <v>3.2907381057739298</v>
      </c>
      <c r="K1024" s="3">
        <v>0.95174139738082897</v>
      </c>
      <c r="L1024" s="3">
        <f t="shared" si="15"/>
        <v>3</v>
      </c>
      <c r="M1024">
        <f>VLOOKUP(A1024,Sheet2!$B$2:$E$186,2,FALSE)</f>
        <v>171</v>
      </c>
      <c r="N1024" t="s">
        <v>391</v>
      </c>
      <c r="O1024" t="s">
        <v>405</v>
      </c>
      <c r="P1024">
        <v>0</v>
      </c>
      <c r="Q1024">
        <v>0</v>
      </c>
      <c r="R1024">
        <v>1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1</v>
      </c>
      <c r="AK1024">
        <v>0</v>
      </c>
      <c r="AL1024">
        <v>0</v>
      </c>
      <c r="AM1024">
        <v>0</v>
      </c>
      <c r="AN1024">
        <v>0</v>
      </c>
    </row>
    <row r="1025" spans="1:47" x14ac:dyDescent="0.3">
      <c r="A1025" t="s">
        <v>356</v>
      </c>
      <c r="B1025" s="3">
        <v>2018</v>
      </c>
      <c r="C1025" s="3">
        <v>1220639.625</v>
      </c>
      <c r="D1025" s="3">
        <v>5469024.5</v>
      </c>
      <c r="E1025" s="3">
        <v>11.435000419616699</v>
      </c>
      <c r="F1025" s="3">
        <v>0.88436084985732999</v>
      </c>
      <c r="G1025" s="3">
        <v>6.3331171870231601E-2</v>
      </c>
      <c r="H1025" s="3">
        <v>5.7465344667434699E-2</v>
      </c>
      <c r="I1025" s="3">
        <v>30.16</v>
      </c>
      <c r="J1025" s="3">
        <v>3.3238167762756299</v>
      </c>
      <c r="K1025" s="3">
        <v>0.96719592809677102</v>
      </c>
      <c r="L1025" s="3">
        <f t="shared" si="15"/>
        <v>4</v>
      </c>
      <c r="M1025">
        <f>VLOOKUP(A1025,Sheet2!$B$2:$E$186,2,FALSE)</f>
        <v>171</v>
      </c>
      <c r="N1025" t="s">
        <v>391</v>
      </c>
      <c r="O1025" t="s">
        <v>405</v>
      </c>
      <c r="P1025">
        <v>0</v>
      </c>
      <c r="Q1025">
        <v>0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1</v>
      </c>
      <c r="AK1025">
        <v>0</v>
      </c>
      <c r="AL1025">
        <v>0</v>
      </c>
      <c r="AM1025">
        <v>0</v>
      </c>
      <c r="AN1025">
        <v>0</v>
      </c>
    </row>
    <row r="1026" spans="1:47" x14ac:dyDescent="0.3">
      <c r="A1026" t="s">
        <v>356</v>
      </c>
      <c r="B1026" s="3">
        <v>2019</v>
      </c>
      <c r="C1026" s="3">
        <v>1258039.25</v>
      </c>
      <c r="D1026" s="3">
        <v>5608970.5</v>
      </c>
      <c r="E1026" s="3">
        <v>11.5</v>
      </c>
      <c r="F1026" s="3">
        <v>0.91573834419250499</v>
      </c>
      <c r="G1026" s="3">
        <v>6.0615729540586499E-2</v>
      </c>
      <c r="H1026" s="3">
        <v>5.8057256042957299E-2</v>
      </c>
      <c r="I1026" s="3">
        <v>30.93</v>
      </c>
      <c r="J1026" s="3">
        <v>3.3576505184173602</v>
      </c>
      <c r="K1026" s="3">
        <v>0.97978496551513705</v>
      </c>
      <c r="L1026" s="3">
        <f t="shared" si="15"/>
        <v>5</v>
      </c>
      <c r="M1026">
        <f>VLOOKUP(A1026,Sheet2!$B$2:$E$186,2,FALSE)</f>
        <v>171</v>
      </c>
      <c r="N1026" t="s">
        <v>391</v>
      </c>
      <c r="O1026" t="s">
        <v>405</v>
      </c>
      <c r="P1026">
        <v>0</v>
      </c>
      <c r="Q1026">
        <v>0</v>
      </c>
      <c r="R1026">
        <v>1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1</v>
      </c>
      <c r="AK1026">
        <v>0</v>
      </c>
      <c r="AL1026">
        <v>0</v>
      </c>
      <c r="AM1026">
        <v>0</v>
      </c>
      <c r="AN1026">
        <v>0</v>
      </c>
    </row>
    <row r="1027" spans="1:47" x14ac:dyDescent="0.3">
      <c r="A1027" t="s">
        <v>356</v>
      </c>
      <c r="B1027" s="3">
        <v>2020</v>
      </c>
      <c r="C1027" s="3">
        <v>1300644.5</v>
      </c>
      <c r="D1027" s="3">
        <v>5763351.5</v>
      </c>
      <c r="E1027" s="3">
        <v>11.503999710083001</v>
      </c>
      <c r="F1027" s="3">
        <v>0.94965779781341597</v>
      </c>
      <c r="G1027" s="3">
        <v>6.1866551637649501E-2</v>
      </c>
      <c r="H1027" s="3">
        <v>5.8814149349927902E-2</v>
      </c>
      <c r="I1027" s="3">
        <v>29.58</v>
      </c>
      <c r="J1027" s="3">
        <v>3.3922603130340598</v>
      </c>
      <c r="K1027" s="3">
        <v>0.98390102386474598</v>
      </c>
      <c r="L1027" s="3">
        <f t="shared" ref="L1027:L1090" si="16">B1027-2014</f>
        <v>6</v>
      </c>
      <c r="M1027">
        <f>VLOOKUP(A1027,Sheet2!$B$2:$E$186,2,FALSE)</f>
        <v>171</v>
      </c>
      <c r="N1027" t="s">
        <v>391</v>
      </c>
      <c r="O1027" t="s">
        <v>405</v>
      </c>
      <c r="P1027">
        <v>0</v>
      </c>
      <c r="Q1027">
        <v>0</v>
      </c>
      <c r="R1027">
        <v>1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1</v>
      </c>
      <c r="AK1027">
        <v>0</v>
      </c>
      <c r="AL1027">
        <v>0</v>
      </c>
      <c r="AM1027">
        <v>0</v>
      </c>
      <c r="AN1027">
        <v>0</v>
      </c>
    </row>
    <row r="1028" spans="1:47" x14ac:dyDescent="0.3">
      <c r="A1028" t="s">
        <v>358</v>
      </c>
      <c r="B1028" s="3">
        <v>2015</v>
      </c>
      <c r="C1028" s="3">
        <v>140427.984375</v>
      </c>
      <c r="D1028" s="3">
        <v>379547.46875</v>
      </c>
      <c r="E1028" s="3">
        <v>20.349851608276399</v>
      </c>
      <c r="F1028" s="3">
        <v>0.55021095275878895</v>
      </c>
      <c r="G1028" s="3">
        <v>0.12394392490387</v>
      </c>
      <c r="H1028" s="3">
        <v>4.3397121131420101E-2</v>
      </c>
      <c r="I1028" s="3">
        <v>1991.39083333333</v>
      </c>
      <c r="J1028" s="3">
        <v>1.6625843048095701</v>
      </c>
      <c r="K1028" s="3">
        <v>1.0584867000579801</v>
      </c>
      <c r="L1028" s="3">
        <f t="shared" si="16"/>
        <v>1</v>
      </c>
      <c r="M1028">
        <f>VLOOKUP(A1028,Sheet2!$B$2:$E$186,2,FALSE)</f>
        <v>172</v>
      </c>
      <c r="N1028" t="s">
        <v>387</v>
      </c>
      <c r="O1028" t="s">
        <v>397</v>
      </c>
      <c r="P1028">
        <v>0</v>
      </c>
      <c r="Q1028">
        <v>0</v>
      </c>
      <c r="R1028">
        <v>0</v>
      </c>
      <c r="S1028">
        <v>1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1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</row>
    <row r="1029" spans="1:47" x14ac:dyDescent="0.3">
      <c r="A1029" t="s">
        <v>358</v>
      </c>
      <c r="B1029" s="3">
        <v>2016</v>
      </c>
      <c r="C1029" s="3">
        <v>150071.328125</v>
      </c>
      <c r="D1029" s="3">
        <v>417077.625</v>
      </c>
      <c r="E1029" s="3">
        <v>20.7105197906494</v>
      </c>
      <c r="F1029" s="3">
        <v>0.60073643922805797</v>
      </c>
      <c r="G1029" s="3">
        <v>0.11942378431558601</v>
      </c>
      <c r="H1029" s="3">
        <v>4.2457029223442098E-2</v>
      </c>
      <c r="I1029" s="3">
        <v>2177.0866666666702</v>
      </c>
      <c r="J1029" s="3">
        <v>1.6761958599090601</v>
      </c>
      <c r="K1029" s="3">
        <v>1.03253853321075</v>
      </c>
      <c r="L1029" s="3">
        <f t="shared" si="16"/>
        <v>2</v>
      </c>
      <c r="M1029">
        <f>VLOOKUP(A1029,Sheet2!$B$2:$E$186,2,FALSE)</f>
        <v>172</v>
      </c>
      <c r="N1029" t="s">
        <v>387</v>
      </c>
      <c r="O1029" t="s">
        <v>397</v>
      </c>
      <c r="P1029">
        <v>0</v>
      </c>
      <c r="Q1029">
        <v>0</v>
      </c>
      <c r="R1029">
        <v>0</v>
      </c>
      <c r="S1029">
        <v>1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1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</row>
    <row r="1030" spans="1:47" x14ac:dyDescent="0.3">
      <c r="A1030" t="s">
        <v>358</v>
      </c>
      <c r="B1030" s="3">
        <v>2017</v>
      </c>
      <c r="C1030" s="3">
        <v>160167.046875</v>
      </c>
      <c r="D1030" s="3">
        <v>461002.125</v>
      </c>
      <c r="E1030" s="3">
        <v>21.0424194335938</v>
      </c>
      <c r="F1030" s="3">
        <v>0.65823614597320601</v>
      </c>
      <c r="G1030" s="3">
        <v>0.101915299892426</v>
      </c>
      <c r="H1030" s="3">
        <v>4.1329566389322302E-2</v>
      </c>
      <c r="I1030" s="3">
        <v>2228.8566666666702</v>
      </c>
      <c r="J1030" s="3">
        <v>1.68991887569428</v>
      </c>
      <c r="K1030" s="3">
        <v>1.0191282033920299</v>
      </c>
      <c r="L1030" s="3">
        <f t="shared" si="16"/>
        <v>3</v>
      </c>
      <c r="M1030">
        <f>VLOOKUP(A1030,Sheet2!$B$2:$E$186,2,FALSE)</f>
        <v>172</v>
      </c>
      <c r="N1030" t="s">
        <v>387</v>
      </c>
      <c r="O1030" t="s">
        <v>397</v>
      </c>
      <c r="P1030">
        <v>0</v>
      </c>
      <c r="Q1030">
        <v>0</v>
      </c>
      <c r="R1030">
        <v>0</v>
      </c>
      <c r="S1030">
        <v>1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1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</row>
    <row r="1031" spans="1:47" x14ac:dyDescent="0.3">
      <c r="A1031" t="s">
        <v>358</v>
      </c>
      <c r="B1031" s="3">
        <v>2018</v>
      </c>
      <c r="C1031" s="3">
        <v>171423.796875</v>
      </c>
      <c r="D1031" s="3">
        <v>513982.40625</v>
      </c>
      <c r="E1031" s="3">
        <v>21.362489700317401</v>
      </c>
      <c r="F1031" s="3">
        <v>0.72918850183486905</v>
      </c>
      <c r="G1031" s="3">
        <v>0.116306729614735</v>
      </c>
      <c r="H1031" s="3">
        <v>4.02758121490479E-2</v>
      </c>
      <c r="I1031" s="3">
        <v>2263.7816666666699</v>
      </c>
      <c r="J1031" s="3">
        <v>1.7037541866302499</v>
      </c>
      <c r="K1031" s="3">
        <v>1.0647122859954801</v>
      </c>
      <c r="L1031" s="3">
        <f t="shared" si="16"/>
        <v>4</v>
      </c>
      <c r="M1031">
        <f>VLOOKUP(A1031,Sheet2!$B$2:$E$186,2,FALSE)</f>
        <v>172</v>
      </c>
      <c r="N1031" t="s">
        <v>387</v>
      </c>
      <c r="O1031" t="s">
        <v>397</v>
      </c>
      <c r="P1031">
        <v>0</v>
      </c>
      <c r="Q1031">
        <v>0</v>
      </c>
      <c r="R1031">
        <v>0</v>
      </c>
      <c r="S1031">
        <v>1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1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</row>
    <row r="1032" spans="1:47" x14ac:dyDescent="0.3">
      <c r="A1032" t="s">
        <v>358</v>
      </c>
      <c r="B1032" s="3">
        <v>2019</v>
      </c>
      <c r="C1032" s="3">
        <v>183278.4375</v>
      </c>
      <c r="D1032" s="3">
        <v>575395.75</v>
      </c>
      <c r="E1032" s="3">
        <v>21.920467376708999</v>
      </c>
      <c r="F1032" s="3">
        <v>0.81301236152648904</v>
      </c>
      <c r="G1032" s="3">
        <v>0.105217657983303</v>
      </c>
      <c r="H1032" s="3">
        <v>3.9493333548307398E-2</v>
      </c>
      <c r="I1032" s="3">
        <v>2288.2066666666701</v>
      </c>
      <c r="J1032" s="3">
        <v>1.71559405326843</v>
      </c>
      <c r="K1032" s="3">
        <v>1.0329052209854099</v>
      </c>
      <c r="L1032" s="3">
        <f t="shared" si="16"/>
        <v>5</v>
      </c>
      <c r="M1032">
        <f>VLOOKUP(A1032,Sheet2!$B$2:$E$186,2,FALSE)</f>
        <v>172</v>
      </c>
      <c r="N1032" t="s">
        <v>387</v>
      </c>
      <c r="O1032" t="s">
        <v>397</v>
      </c>
      <c r="P1032">
        <v>0</v>
      </c>
      <c r="Q1032">
        <v>0</v>
      </c>
      <c r="R1032">
        <v>0</v>
      </c>
      <c r="S1032">
        <v>1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1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</row>
    <row r="1033" spans="1:47" x14ac:dyDescent="0.3">
      <c r="A1033" t="s">
        <v>358</v>
      </c>
      <c r="B1033" s="3">
        <v>2020</v>
      </c>
      <c r="C1033" s="3">
        <v>191590.015625</v>
      </c>
      <c r="D1033" s="3">
        <v>639670.9375</v>
      </c>
      <c r="E1033" s="3">
        <v>22.495922088623001</v>
      </c>
      <c r="F1033" s="3">
        <v>0.90506112575530995</v>
      </c>
      <c r="G1033" s="3">
        <v>8.3665013313293499E-2</v>
      </c>
      <c r="H1033" s="3">
        <v>3.92586514353752E-2</v>
      </c>
      <c r="I1033" s="3">
        <v>2294.1461505050902</v>
      </c>
      <c r="J1033" s="3">
        <v>1.7261700630187999</v>
      </c>
      <c r="K1033" s="3">
        <v>1.0307687520980799</v>
      </c>
      <c r="L1033" s="3">
        <f t="shared" si="16"/>
        <v>6</v>
      </c>
      <c r="M1033">
        <f>VLOOKUP(A1033,Sheet2!$B$2:$E$186,2,FALSE)</f>
        <v>172</v>
      </c>
      <c r="N1033" t="s">
        <v>387</v>
      </c>
      <c r="O1033" t="s">
        <v>397</v>
      </c>
      <c r="P1033">
        <v>0</v>
      </c>
      <c r="Q1033">
        <v>0</v>
      </c>
      <c r="R1033">
        <v>0</v>
      </c>
      <c r="S1033">
        <v>1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1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</row>
    <row r="1034" spans="1:47" s="2" customFormat="1" x14ac:dyDescent="0.3">
      <c r="A1034" t="s">
        <v>360</v>
      </c>
      <c r="B1034" s="3">
        <v>2015</v>
      </c>
      <c r="C1034" s="3">
        <v>98622.09375</v>
      </c>
      <c r="D1034" s="3">
        <v>229049.65625</v>
      </c>
      <c r="E1034" s="3">
        <v>12.8195600509644</v>
      </c>
      <c r="F1034" s="3"/>
      <c r="G1034" s="3"/>
      <c r="H1034" s="3">
        <v>4.3698593974113499E-2</v>
      </c>
      <c r="I1034" s="3">
        <v>3240.64542033826</v>
      </c>
      <c r="J1034" s="3">
        <v>2.2181539535522501</v>
      </c>
      <c r="K1034" s="3"/>
      <c r="L1034" s="3">
        <f t="shared" si="16"/>
        <v>1</v>
      </c>
      <c r="M1034">
        <f>VLOOKUP(A1034,Sheet2!$B$2:$E$186,2,FALSE)</f>
        <v>173</v>
      </c>
      <c r="N1034" t="s">
        <v>387</v>
      </c>
      <c r="O1034" t="s">
        <v>397</v>
      </c>
      <c r="P1034">
        <v>0</v>
      </c>
      <c r="Q1034">
        <v>0</v>
      </c>
      <c r="R1034">
        <v>0</v>
      </c>
      <c r="S1034">
        <v>1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1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/>
      <c r="AP1034"/>
      <c r="AQ1034"/>
      <c r="AR1034"/>
      <c r="AS1034"/>
      <c r="AT1034"/>
      <c r="AU1034"/>
    </row>
    <row r="1035" spans="1:47" s="2" customFormat="1" x14ac:dyDescent="0.3">
      <c r="A1035" t="s">
        <v>360</v>
      </c>
      <c r="B1035" s="3">
        <v>2016</v>
      </c>
      <c r="C1035" s="3">
        <v>99401.6171875</v>
      </c>
      <c r="D1035" s="3">
        <v>247295.265625</v>
      </c>
      <c r="E1035" s="3">
        <v>13.540769577026399</v>
      </c>
      <c r="F1035" s="3"/>
      <c r="G1035" s="3"/>
      <c r="H1035" s="3">
        <v>4.27921675145626E-2</v>
      </c>
      <c r="I1035" s="3">
        <v>3420.0980072473599</v>
      </c>
      <c r="J1035" s="3">
        <v>2.2709438800811799</v>
      </c>
      <c r="K1035" s="3"/>
      <c r="L1035" s="3">
        <f t="shared" si="16"/>
        <v>2</v>
      </c>
      <c r="M1035">
        <f>VLOOKUP(A1035,Sheet2!$B$2:$E$186,2,FALSE)</f>
        <v>173</v>
      </c>
      <c r="N1035" t="s">
        <v>387</v>
      </c>
      <c r="O1035" t="s">
        <v>397</v>
      </c>
      <c r="P1035">
        <v>0</v>
      </c>
      <c r="Q1035">
        <v>0</v>
      </c>
      <c r="R1035">
        <v>0</v>
      </c>
      <c r="S1035">
        <v>1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1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/>
      <c r="AP1035"/>
      <c r="AQ1035"/>
      <c r="AR1035"/>
      <c r="AS1035"/>
      <c r="AT1035"/>
      <c r="AU1035"/>
    </row>
    <row r="1036" spans="1:47" s="2" customFormat="1" x14ac:dyDescent="0.3">
      <c r="A1036" t="s">
        <v>360</v>
      </c>
      <c r="B1036" s="3">
        <v>2017</v>
      </c>
      <c r="C1036" s="3">
        <v>106468.2734375</v>
      </c>
      <c r="D1036" s="3">
        <v>266899.84375</v>
      </c>
      <c r="E1036" s="3">
        <v>14.2242527008057</v>
      </c>
      <c r="F1036" s="3"/>
      <c r="G1036" s="3"/>
      <c r="H1036" s="3">
        <v>4.1850380599498797E-2</v>
      </c>
      <c r="I1036" s="3">
        <v>3611.2244580446099</v>
      </c>
      <c r="J1036" s="3">
        <v>2.32499027252197</v>
      </c>
      <c r="K1036" s="3"/>
      <c r="L1036" s="3">
        <f t="shared" si="16"/>
        <v>3</v>
      </c>
      <c r="M1036">
        <f>VLOOKUP(A1036,Sheet2!$B$2:$E$186,2,FALSE)</f>
        <v>173</v>
      </c>
      <c r="N1036" t="s">
        <v>387</v>
      </c>
      <c r="O1036" t="s">
        <v>397</v>
      </c>
      <c r="P1036">
        <v>0</v>
      </c>
      <c r="Q1036">
        <v>0</v>
      </c>
      <c r="R1036">
        <v>0</v>
      </c>
      <c r="S1036">
        <v>1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1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/>
      <c r="AP1036"/>
      <c r="AQ1036"/>
      <c r="AR1036"/>
      <c r="AS1036"/>
      <c r="AT1036"/>
      <c r="AU1036"/>
    </row>
    <row r="1037" spans="1:47" s="2" customFormat="1" x14ac:dyDescent="0.3">
      <c r="A1037" t="s">
        <v>360</v>
      </c>
      <c r="B1037" s="3">
        <v>2018</v>
      </c>
      <c r="C1037" s="3">
        <v>112370.109375</v>
      </c>
      <c r="D1037" s="3">
        <v>288409.28125</v>
      </c>
      <c r="E1037" s="3">
        <v>14.801677703857401</v>
      </c>
      <c r="F1037" s="3"/>
      <c r="G1037" s="3"/>
      <c r="H1037" s="3">
        <v>4.1010051965713501E-2</v>
      </c>
      <c r="I1037" s="3">
        <v>3727.0689948461199</v>
      </c>
      <c r="J1037" s="3">
        <v>2.3803229331970202</v>
      </c>
      <c r="K1037" s="3"/>
      <c r="L1037" s="3">
        <f t="shared" si="16"/>
        <v>4</v>
      </c>
      <c r="M1037">
        <f>VLOOKUP(A1037,Sheet2!$B$2:$E$186,2,FALSE)</f>
        <v>173</v>
      </c>
      <c r="N1037" t="s">
        <v>387</v>
      </c>
      <c r="O1037" t="s">
        <v>397</v>
      </c>
      <c r="P1037">
        <v>0</v>
      </c>
      <c r="Q1037">
        <v>0</v>
      </c>
      <c r="R1037">
        <v>0</v>
      </c>
      <c r="S1037">
        <v>1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1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/>
      <c r="AP1037"/>
      <c r="AQ1037"/>
      <c r="AR1037"/>
      <c r="AS1037"/>
      <c r="AT1037"/>
      <c r="AU1037"/>
    </row>
    <row r="1038" spans="1:47" s="2" customFormat="1" x14ac:dyDescent="0.3">
      <c r="A1038" t="s">
        <v>360</v>
      </c>
      <c r="B1038" s="3">
        <v>2019</v>
      </c>
      <c r="C1038" s="3">
        <v>121109.296875</v>
      </c>
      <c r="D1038" s="3">
        <v>311807.34375</v>
      </c>
      <c r="E1038" s="3">
        <v>15.6945447921753</v>
      </c>
      <c r="F1038" s="3"/>
      <c r="G1038" s="3"/>
      <c r="H1038" s="3">
        <v>4.0278747677802998E-2</v>
      </c>
      <c r="I1038" s="3">
        <v>3704.0490716968102</v>
      </c>
      <c r="J1038" s="3">
        <v>2.43697237968445</v>
      </c>
      <c r="K1038" s="3"/>
      <c r="L1038" s="3">
        <f t="shared" si="16"/>
        <v>5</v>
      </c>
      <c r="M1038">
        <f>VLOOKUP(A1038,Sheet2!$B$2:$E$186,2,FALSE)</f>
        <v>173</v>
      </c>
      <c r="N1038" t="s">
        <v>387</v>
      </c>
      <c r="O1038" t="s">
        <v>397</v>
      </c>
      <c r="P1038">
        <v>0</v>
      </c>
      <c r="Q1038">
        <v>0</v>
      </c>
      <c r="R1038">
        <v>0</v>
      </c>
      <c r="S1038">
        <v>1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1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/>
      <c r="AP1038"/>
      <c r="AQ1038"/>
      <c r="AR1038"/>
      <c r="AS1038"/>
      <c r="AT1038"/>
      <c r="AU1038"/>
    </row>
    <row r="1039" spans="1:47" s="2" customFormat="1" x14ac:dyDescent="0.3">
      <c r="A1039" t="s">
        <v>360</v>
      </c>
      <c r="B1039" s="3">
        <v>2020</v>
      </c>
      <c r="C1039" s="3">
        <v>119399.6171875</v>
      </c>
      <c r="D1039" s="3">
        <v>333492.71875</v>
      </c>
      <c r="E1039" s="3">
        <v>16.621770858764702</v>
      </c>
      <c r="F1039" s="3"/>
      <c r="G1039" s="3"/>
      <c r="H1039" s="3">
        <v>3.9674237370491E-2</v>
      </c>
      <c r="I1039" s="3">
        <v>3718.2489227092401</v>
      </c>
      <c r="J1039" s="3">
        <v>2.4949700832366899</v>
      </c>
      <c r="K1039" s="3"/>
      <c r="L1039" s="3">
        <f t="shared" si="16"/>
        <v>6</v>
      </c>
      <c r="M1039">
        <f>VLOOKUP(A1039,Sheet2!$B$2:$E$186,2,FALSE)</f>
        <v>173</v>
      </c>
      <c r="N1039" t="s">
        <v>387</v>
      </c>
      <c r="O1039" t="s">
        <v>397</v>
      </c>
      <c r="P1039">
        <v>0</v>
      </c>
      <c r="Q1039">
        <v>0</v>
      </c>
      <c r="R1039">
        <v>0</v>
      </c>
      <c r="S1039">
        <v>1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1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/>
      <c r="AP1039"/>
      <c r="AQ1039"/>
      <c r="AR1039"/>
      <c r="AS1039"/>
      <c r="AT1039"/>
      <c r="AU1039"/>
    </row>
    <row r="1040" spans="1:47" x14ac:dyDescent="0.3">
      <c r="A1040" t="s">
        <v>362</v>
      </c>
      <c r="B1040" s="3">
        <v>2015</v>
      </c>
      <c r="C1040" s="3">
        <v>635606.25</v>
      </c>
      <c r="D1040" s="3">
        <v>10875884</v>
      </c>
      <c r="E1040" s="3">
        <v>16.913581848144499</v>
      </c>
      <c r="F1040" s="3">
        <v>0.99296891689300504</v>
      </c>
      <c r="G1040" s="3">
        <v>1.03997429832816E-2</v>
      </c>
      <c r="H1040" s="3">
        <v>2.44012251496315E-2</v>
      </c>
      <c r="I1040" s="3">
        <v>21.844697766666702</v>
      </c>
      <c r="J1040" s="3">
        <v>3.2554202079772998</v>
      </c>
      <c r="K1040" s="3">
        <v>0.72530907392501798</v>
      </c>
      <c r="L1040" s="3">
        <f t="shared" si="16"/>
        <v>1</v>
      </c>
      <c r="M1040">
        <f>VLOOKUP(A1040,Sheet2!$B$2:$E$186,2,FALSE)</f>
        <v>174</v>
      </c>
      <c r="N1040" t="s">
        <v>389</v>
      </c>
      <c r="O1040" t="s">
        <v>400</v>
      </c>
      <c r="P1040">
        <v>0</v>
      </c>
      <c r="Q1040">
        <v>1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</row>
    <row r="1041" spans="1:40" x14ac:dyDescent="0.3">
      <c r="A1041" t="s">
        <v>362</v>
      </c>
      <c r="B1041" s="3">
        <v>2016</v>
      </c>
      <c r="C1041" s="3">
        <v>651121.3125</v>
      </c>
      <c r="D1041" s="3">
        <v>10747991</v>
      </c>
      <c r="E1041" s="3">
        <v>16.760993957519499</v>
      </c>
      <c r="F1041" s="3">
        <v>0.98892682790756203</v>
      </c>
      <c r="G1041" s="3">
        <v>1.2179171666502999E-2</v>
      </c>
      <c r="H1041" s="3">
        <v>2.4371704086661301E-2</v>
      </c>
      <c r="I1041" s="3">
        <v>25.551334116666698</v>
      </c>
      <c r="J1041" s="3">
        <v>3.2639064788818399</v>
      </c>
      <c r="K1041" s="3">
        <v>0.78517138957977295</v>
      </c>
      <c r="L1041" s="3">
        <f t="shared" si="16"/>
        <v>2</v>
      </c>
      <c r="M1041">
        <f>VLOOKUP(A1041,Sheet2!$B$2:$E$186,2,FALSE)</f>
        <v>174</v>
      </c>
      <c r="N1041" t="s">
        <v>389</v>
      </c>
      <c r="O1041" t="s">
        <v>400</v>
      </c>
      <c r="P1041">
        <v>0</v>
      </c>
      <c r="Q1041">
        <v>1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1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</row>
    <row r="1042" spans="1:40" x14ac:dyDescent="0.3">
      <c r="A1042" t="s">
        <v>362</v>
      </c>
      <c r="B1042" s="3">
        <v>2017</v>
      </c>
      <c r="C1042" s="3">
        <v>666487.5625</v>
      </c>
      <c r="D1042" s="3">
        <v>10640511</v>
      </c>
      <c r="E1042" s="3">
        <v>16.6446647644043</v>
      </c>
      <c r="F1042" s="3">
        <v>0.99374788999557495</v>
      </c>
      <c r="G1042" s="3">
        <v>1.5651011839509E-2</v>
      </c>
      <c r="H1042" s="3">
        <v>2.4532865732908301E-2</v>
      </c>
      <c r="I1042" s="3">
        <v>26.596606300000001</v>
      </c>
      <c r="J1042" s="3">
        <v>3.27244305610657</v>
      </c>
      <c r="K1042" s="3">
        <v>0.842942595481873</v>
      </c>
      <c r="L1042" s="3">
        <f t="shared" si="16"/>
        <v>3</v>
      </c>
      <c r="M1042">
        <f>VLOOKUP(A1042,Sheet2!$B$2:$E$186,2,FALSE)</f>
        <v>174</v>
      </c>
      <c r="N1042" t="s">
        <v>389</v>
      </c>
      <c r="O1042" t="s">
        <v>400</v>
      </c>
      <c r="P1042">
        <v>0</v>
      </c>
      <c r="Q1042">
        <v>1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1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</row>
    <row r="1043" spans="1:40" x14ac:dyDescent="0.3">
      <c r="A1043" t="s">
        <v>362</v>
      </c>
      <c r="B1043" s="3">
        <v>2018</v>
      </c>
      <c r="C1043" s="3">
        <v>689737.0625</v>
      </c>
      <c r="D1043" s="3">
        <v>10554002</v>
      </c>
      <c r="E1043" s="3">
        <v>16.802789688110401</v>
      </c>
      <c r="F1043" s="3">
        <v>1.00678634643555</v>
      </c>
      <c r="G1043" s="3">
        <v>1.4574381522834299E-2</v>
      </c>
      <c r="H1043" s="3">
        <v>2.4851514026522602E-2</v>
      </c>
      <c r="I1043" s="3">
        <v>27.200492333333301</v>
      </c>
      <c r="J1043" s="3">
        <v>3.2810301780700701</v>
      </c>
      <c r="K1043" s="3">
        <v>0.87664973735809304</v>
      </c>
      <c r="L1043" s="3">
        <f t="shared" si="16"/>
        <v>4</v>
      </c>
      <c r="M1043">
        <f>VLOOKUP(A1043,Sheet2!$B$2:$E$186,2,FALSE)</f>
        <v>174</v>
      </c>
      <c r="N1043" t="s">
        <v>389</v>
      </c>
      <c r="O1043" t="s">
        <v>400</v>
      </c>
      <c r="P1043">
        <v>0</v>
      </c>
      <c r="Q1043">
        <v>1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</row>
    <row r="1044" spans="1:40" x14ac:dyDescent="0.3">
      <c r="A1044" t="s">
        <v>362</v>
      </c>
      <c r="B1044" s="3">
        <v>2019</v>
      </c>
      <c r="C1044" s="3">
        <v>711805.1875</v>
      </c>
      <c r="D1044" s="3">
        <v>10481558</v>
      </c>
      <c r="E1044" s="3">
        <v>16.968046188354499</v>
      </c>
      <c r="F1044" s="3">
        <v>1.0180182456970199</v>
      </c>
      <c r="G1044" s="3">
        <v>1.8302239477634399E-2</v>
      </c>
      <c r="H1044" s="3">
        <v>2.52763479948044E-2</v>
      </c>
      <c r="I1044" s="3">
        <v>25.845589333333301</v>
      </c>
      <c r="J1044" s="3">
        <v>3.2896685600280802</v>
      </c>
      <c r="K1044" s="3">
        <v>0.89108628034591697</v>
      </c>
      <c r="L1044" s="3">
        <f t="shared" si="16"/>
        <v>5</v>
      </c>
      <c r="M1044">
        <f>VLOOKUP(A1044,Sheet2!$B$2:$E$186,2,FALSE)</f>
        <v>174</v>
      </c>
      <c r="N1044" t="s">
        <v>389</v>
      </c>
      <c r="O1044" t="s">
        <v>400</v>
      </c>
      <c r="P1044">
        <v>0</v>
      </c>
      <c r="Q1044">
        <v>1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</row>
    <row r="1045" spans="1:40" x14ac:dyDescent="0.3">
      <c r="A1045" t="s">
        <v>362</v>
      </c>
      <c r="B1045" s="3">
        <v>2020</v>
      </c>
      <c r="C1045" s="3">
        <v>685092.625</v>
      </c>
      <c r="D1045" s="3">
        <v>10366995</v>
      </c>
      <c r="E1045" s="3">
        <v>16.549524307251001</v>
      </c>
      <c r="F1045" s="3">
        <v>1.00500357151032</v>
      </c>
      <c r="G1045" s="3">
        <v>2.03961059451103E-2</v>
      </c>
      <c r="H1045" s="3">
        <v>2.54535768181086E-2</v>
      </c>
      <c r="I1045" s="3">
        <v>26.9575243833333</v>
      </c>
      <c r="J1045" s="3">
        <v>3.2983584403991699</v>
      </c>
      <c r="K1045" s="3">
        <v>0.88258630037307695</v>
      </c>
      <c r="L1045" s="3">
        <f t="shared" si="16"/>
        <v>6</v>
      </c>
      <c r="M1045">
        <f>VLOOKUP(A1045,Sheet2!$B$2:$E$186,2,FALSE)</f>
        <v>174</v>
      </c>
      <c r="N1045" t="s">
        <v>389</v>
      </c>
      <c r="O1045" t="s">
        <v>400</v>
      </c>
      <c r="P1045">
        <v>0</v>
      </c>
      <c r="Q1045">
        <v>1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</row>
    <row r="1046" spans="1:40" x14ac:dyDescent="0.3">
      <c r="A1046" t="s">
        <v>364</v>
      </c>
      <c r="B1046" s="3">
        <v>2015</v>
      </c>
      <c r="C1046" s="3">
        <v>85209.2265625</v>
      </c>
      <c r="D1046" s="3">
        <v>333340.96875</v>
      </c>
      <c r="E1046" s="3">
        <v>1.5666246414184599</v>
      </c>
      <c r="F1046" s="3">
        <v>0.88911360502242998</v>
      </c>
      <c r="G1046" s="3">
        <v>0.13129737973213201</v>
      </c>
      <c r="H1046" s="3">
        <v>3.6245882511138902E-2</v>
      </c>
      <c r="I1046" s="3">
        <v>27.327366666666698</v>
      </c>
      <c r="J1046" s="3">
        <v>2.6869232654571502</v>
      </c>
      <c r="K1046" s="3">
        <v>1.0282080173492401</v>
      </c>
      <c r="L1046" s="3">
        <f t="shared" si="16"/>
        <v>1</v>
      </c>
      <c r="M1046">
        <f>VLOOKUP(A1046,Sheet2!$B$2:$E$186,2,FALSE)</f>
        <v>175</v>
      </c>
      <c r="N1046" t="s">
        <v>385</v>
      </c>
      <c r="O1046" t="s">
        <v>393</v>
      </c>
      <c r="P1046">
        <v>1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1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</row>
    <row r="1047" spans="1:40" x14ac:dyDescent="0.3">
      <c r="A1047" t="s">
        <v>364</v>
      </c>
      <c r="B1047" s="3">
        <v>2016</v>
      </c>
      <c r="C1047" s="3">
        <v>88228.046875</v>
      </c>
      <c r="D1047" s="3">
        <v>341789.875</v>
      </c>
      <c r="E1047" s="3">
        <v>1.5597944259643599</v>
      </c>
      <c r="F1047" s="3">
        <v>0.91426074504852295</v>
      </c>
      <c r="G1047" s="3">
        <v>0.13059613108634999</v>
      </c>
      <c r="H1047" s="3">
        <v>3.6348752677440602E-2</v>
      </c>
      <c r="I1047" s="3">
        <v>30.162600000000001</v>
      </c>
      <c r="J1047" s="3">
        <v>2.7090198993682901</v>
      </c>
      <c r="K1047" s="3">
        <v>1.0261036157607999</v>
      </c>
      <c r="L1047" s="3">
        <f t="shared" si="16"/>
        <v>2</v>
      </c>
      <c r="M1047">
        <f>VLOOKUP(A1047,Sheet2!$B$2:$E$186,2,FALSE)</f>
        <v>175</v>
      </c>
      <c r="N1047" t="s">
        <v>385</v>
      </c>
      <c r="O1047" t="s">
        <v>393</v>
      </c>
      <c r="P1047">
        <v>1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1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</row>
    <row r="1048" spans="1:40" x14ac:dyDescent="0.3">
      <c r="A1048" t="s">
        <v>364</v>
      </c>
      <c r="B1048" s="3">
        <v>2017</v>
      </c>
      <c r="C1048" s="3">
        <v>89763.546875</v>
      </c>
      <c r="D1048" s="3">
        <v>349964.71875</v>
      </c>
      <c r="E1048" s="3">
        <v>1.55407762527466</v>
      </c>
      <c r="F1048" s="3">
        <v>0.93576478958129905</v>
      </c>
      <c r="G1048" s="3">
        <v>0.13240385055542001</v>
      </c>
      <c r="H1048" s="3">
        <v>3.6371801048517199E-2</v>
      </c>
      <c r="I1048" s="3">
        <v>28.676400000000001</v>
      </c>
      <c r="J1048" s="3">
        <v>2.7312982082366899</v>
      </c>
      <c r="K1048" s="3">
        <v>1.02980840206146</v>
      </c>
      <c r="L1048" s="3">
        <f t="shared" si="16"/>
        <v>3</v>
      </c>
      <c r="M1048">
        <f>VLOOKUP(A1048,Sheet2!$B$2:$E$186,2,FALSE)</f>
        <v>175</v>
      </c>
      <c r="N1048" t="s">
        <v>385</v>
      </c>
      <c r="O1048" t="s">
        <v>393</v>
      </c>
      <c r="P1048">
        <v>1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1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</row>
    <row r="1049" spans="1:40" x14ac:dyDescent="0.3">
      <c r="A1049" t="s">
        <v>364</v>
      </c>
      <c r="B1049" s="3">
        <v>2018</v>
      </c>
      <c r="C1049" s="3">
        <v>89911.21875</v>
      </c>
      <c r="D1049" s="3">
        <v>355914.53125</v>
      </c>
      <c r="E1049" s="3">
        <v>1.5431125164032</v>
      </c>
      <c r="F1049" s="3">
        <v>0.95041322708129905</v>
      </c>
      <c r="G1049" s="3">
        <v>0.13158529996871901</v>
      </c>
      <c r="H1049" s="3">
        <v>3.62156629562378E-2</v>
      </c>
      <c r="I1049" s="3">
        <v>30.725258333333301</v>
      </c>
      <c r="J1049" s="3">
        <v>2.7537596225738499</v>
      </c>
      <c r="K1049" s="3">
        <v>1.03346395492554</v>
      </c>
      <c r="L1049" s="3">
        <f t="shared" si="16"/>
        <v>4</v>
      </c>
      <c r="M1049">
        <f>VLOOKUP(A1049,Sheet2!$B$2:$E$186,2,FALSE)</f>
        <v>175</v>
      </c>
      <c r="N1049" t="s">
        <v>385</v>
      </c>
      <c r="O1049" t="s">
        <v>393</v>
      </c>
      <c r="P1049">
        <v>1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1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</row>
    <row r="1050" spans="1:40" x14ac:dyDescent="0.3">
      <c r="A1050" t="s">
        <v>364</v>
      </c>
      <c r="B1050" s="3">
        <v>2019</v>
      </c>
      <c r="C1050" s="3">
        <v>90746.0859375</v>
      </c>
      <c r="D1050" s="3">
        <v>361183.75</v>
      </c>
      <c r="E1050" s="3">
        <v>1.5414125919342001</v>
      </c>
      <c r="F1050" s="3">
        <v>0.96318852901458696</v>
      </c>
      <c r="G1050" s="3">
        <v>0.12817215919494601</v>
      </c>
      <c r="H1050" s="3">
        <v>3.5913266241550397E-2</v>
      </c>
      <c r="I1050" s="3">
        <v>35.255375000000001</v>
      </c>
      <c r="J1050" s="3">
        <v>2.77640581130981</v>
      </c>
      <c r="K1050" s="3">
        <v>1.0280299186706501</v>
      </c>
      <c r="L1050" s="3">
        <f t="shared" si="16"/>
        <v>5</v>
      </c>
      <c r="M1050">
        <f>VLOOKUP(A1050,Sheet2!$B$2:$E$186,2,FALSE)</f>
        <v>175</v>
      </c>
      <c r="N1050" t="s">
        <v>385</v>
      </c>
      <c r="O1050" t="s">
        <v>393</v>
      </c>
      <c r="P1050">
        <v>1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1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</row>
    <row r="1051" spans="1:40" x14ac:dyDescent="0.3">
      <c r="A1051" t="s">
        <v>364</v>
      </c>
      <c r="B1051" s="3">
        <v>2020</v>
      </c>
      <c r="C1051" s="3">
        <v>84048.9765625</v>
      </c>
      <c r="D1051" s="3">
        <v>366101.03125</v>
      </c>
      <c r="E1051" s="3">
        <v>1.46341776847839</v>
      </c>
      <c r="F1051" s="3">
        <v>0.97489750385284402</v>
      </c>
      <c r="G1051" s="3">
        <v>0.114117965102196</v>
      </c>
      <c r="H1051" s="3">
        <v>3.5612925887107898E-2</v>
      </c>
      <c r="I1051" s="3">
        <v>42.013291666666703</v>
      </c>
      <c r="J1051" s="3">
        <v>2.7992382049560498</v>
      </c>
      <c r="K1051" s="3">
        <v>0.98577147722244296</v>
      </c>
      <c r="L1051" s="3">
        <f t="shared" si="16"/>
        <v>6</v>
      </c>
      <c r="M1051">
        <f>VLOOKUP(A1051,Sheet2!$B$2:$E$186,2,FALSE)</f>
        <v>175</v>
      </c>
      <c r="N1051" t="s">
        <v>385</v>
      </c>
      <c r="O1051" t="s">
        <v>393</v>
      </c>
      <c r="P1051">
        <v>1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1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</row>
    <row r="1052" spans="1:40" x14ac:dyDescent="0.3">
      <c r="A1052" t="s">
        <v>366</v>
      </c>
      <c r="B1052" s="3">
        <v>2015</v>
      </c>
      <c r="C1052" s="3">
        <v>20711878</v>
      </c>
      <c r="D1052" s="3">
        <v>70325160</v>
      </c>
      <c r="E1052" s="3">
        <v>153.07165527343801</v>
      </c>
      <c r="F1052" s="3">
        <v>0.86525565385818504</v>
      </c>
      <c r="G1052" s="3">
        <v>8.0923177301883698E-2</v>
      </c>
      <c r="H1052" s="3">
        <v>4.2724635452032103E-2</v>
      </c>
      <c r="I1052" s="3">
        <v>1</v>
      </c>
      <c r="J1052" s="3">
        <v>3.7281162738800102</v>
      </c>
      <c r="K1052" s="3">
        <v>0.93249589204788197</v>
      </c>
      <c r="L1052" s="3">
        <f t="shared" si="16"/>
        <v>1</v>
      </c>
      <c r="M1052">
        <f>VLOOKUP(A1052,Sheet2!$B$2:$E$186,2,FALSE)</f>
        <v>176</v>
      </c>
      <c r="N1052" t="s">
        <v>385</v>
      </c>
      <c r="O1052" t="s">
        <v>402</v>
      </c>
      <c r="P1052">
        <v>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1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</row>
    <row r="1053" spans="1:40" x14ac:dyDescent="0.3">
      <c r="A1053" t="s">
        <v>366</v>
      </c>
      <c r="B1053" s="3">
        <v>2016</v>
      </c>
      <c r="C1053" s="3">
        <v>21088720</v>
      </c>
      <c r="D1053" s="3">
        <v>71524240</v>
      </c>
      <c r="E1053" s="3">
        <v>155.68116760253901</v>
      </c>
      <c r="F1053" s="3">
        <v>0.88582617044448897</v>
      </c>
      <c r="G1053" s="3">
        <v>8.1177428364753695E-2</v>
      </c>
      <c r="H1053" s="3">
        <v>4.32429574429989E-2</v>
      </c>
      <c r="I1053" s="3">
        <v>1</v>
      </c>
      <c r="J1053" s="3">
        <v>3.7334113121032702</v>
      </c>
      <c r="K1053" s="3">
        <v>0.93309313058853205</v>
      </c>
      <c r="L1053" s="3">
        <f t="shared" si="16"/>
        <v>2</v>
      </c>
      <c r="M1053">
        <f>VLOOKUP(A1053,Sheet2!$B$2:$E$186,2,FALSE)</f>
        <v>176</v>
      </c>
      <c r="N1053" t="s">
        <v>385</v>
      </c>
      <c r="O1053" t="s">
        <v>402</v>
      </c>
      <c r="P1053">
        <v>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1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</row>
    <row r="1054" spans="1:40" x14ac:dyDescent="0.3">
      <c r="A1054" t="s">
        <v>366</v>
      </c>
      <c r="B1054" s="3">
        <v>2017</v>
      </c>
      <c r="C1054" s="3">
        <v>21607002</v>
      </c>
      <c r="D1054" s="3">
        <v>72799488</v>
      </c>
      <c r="E1054" s="3">
        <v>158.46849060058599</v>
      </c>
      <c r="F1054" s="3">
        <v>0.90781080722808805</v>
      </c>
      <c r="G1054" s="3">
        <v>8.0005437135696397E-2</v>
      </c>
      <c r="H1054" s="3">
        <v>4.3768525123596198E-2</v>
      </c>
      <c r="I1054" s="3">
        <v>1</v>
      </c>
      <c r="J1054" s="3">
        <v>3.7387139797210698</v>
      </c>
      <c r="K1054" s="3">
        <v>0.93914937973022505</v>
      </c>
      <c r="L1054" s="3">
        <f t="shared" si="16"/>
        <v>3</v>
      </c>
      <c r="M1054">
        <f>VLOOKUP(A1054,Sheet2!$B$2:$E$186,2,FALSE)</f>
        <v>176</v>
      </c>
      <c r="N1054" t="s">
        <v>385</v>
      </c>
      <c r="O1054" t="s">
        <v>402</v>
      </c>
      <c r="P1054">
        <v>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1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</row>
    <row r="1055" spans="1:40" x14ac:dyDescent="0.3">
      <c r="A1055" t="s">
        <v>366</v>
      </c>
      <c r="B1055" s="3">
        <v>2018</v>
      </c>
      <c r="C1055" s="3">
        <v>22247976</v>
      </c>
      <c r="D1055" s="3">
        <v>74181696</v>
      </c>
      <c r="E1055" s="3">
        <v>161.06561279296901</v>
      </c>
      <c r="F1055" s="3">
        <v>0.93236148357391402</v>
      </c>
      <c r="G1055" s="3">
        <v>8.0345049500465393E-2</v>
      </c>
      <c r="H1055" s="3">
        <v>4.4400099664926501E-2</v>
      </c>
      <c r="I1055" s="3">
        <v>1</v>
      </c>
      <c r="J1055" s="3">
        <v>3.7440237998962398</v>
      </c>
      <c r="K1055" s="3">
        <v>0.94545435905456499</v>
      </c>
      <c r="L1055" s="3">
        <f t="shared" si="16"/>
        <v>4</v>
      </c>
      <c r="M1055">
        <f>VLOOKUP(A1055,Sheet2!$B$2:$E$186,2,FALSE)</f>
        <v>176</v>
      </c>
      <c r="N1055" t="s">
        <v>385</v>
      </c>
      <c r="O1055" t="s">
        <v>402</v>
      </c>
      <c r="P1055">
        <v>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1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</row>
    <row r="1056" spans="1:40" x14ac:dyDescent="0.3">
      <c r="A1056" t="s">
        <v>366</v>
      </c>
      <c r="B1056" s="3">
        <v>2019</v>
      </c>
      <c r="C1056" s="3">
        <v>22822856</v>
      </c>
      <c r="D1056" s="3">
        <v>75565584</v>
      </c>
      <c r="E1056" s="3">
        <v>163.92353820800801</v>
      </c>
      <c r="F1056" s="3">
        <v>0.95647937059402499</v>
      </c>
      <c r="G1056" s="3">
        <v>7.9292334616184207E-2</v>
      </c>
      <c r="H1056" s="3">
        <v>4.5097634196281398E-2</v>
      </c>
      <c r="I1056" s="3">
        <v>1</v>
      </c>
      <c r="J1056" s="3">
        <v>3.7493414878845202</v>
      </c>
      <c r="K1056" s="3">
        <v>0.95179569721221902</v>
      </c>
      <c r="L1056" s="3">
        <f t="shared" si="16"/>
        <v>5</v>
      </c>
      <c r="M1056">
        <f>VLOOKUP(A1056,Sheet2!$B$2:$E$186,2,FALSE)</f>
        <v>176</v>
      </c>
      <c r="N1056" t="s">
        <v>385</v>
      </c>
      <c r="O1056" t="s">
        <v>402</v>
      </c>
      <c r="P1056">
        <v>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1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</row>
    <row r="1057" spans="1:47" x14ac:dyDescent="0.3">
      <c r="A1057" t="s">
        <v>366</v>
      </c>
      <c r="B1057" s="3">
        <v>2020</v>
      </c>
      <c r="C1057" s="3">
        <v>22329176</v>
      </c>
      <c r="D1057" s="3">
        <v>76785096</v>
      </c>
      <c r="E1057" s="3">
        <v>154.939697265625</v>
      </c>
      <c r="F1057" s="3">
        <v>0.97627770900726296</v>
      </c>
      <c r="G1057" s="3">
        <v>6.9594204425811795E-2</v>
      </c>
      <c r="H1057" s="3">
        <v>4.5669186860323001E-2</v>
      </c>
      <c r="I1057" s="3">
        <v>1</v>
      </c>
      <c r="J1057" s="3">
        <v>3.75466680526733</v>
      </c>
      <c r="K1057" s="3">
        <v>0.96334499120712302</v>
      </c>
      <c r="L1057" s="3">
        <f t="shared" si="16"/>
        <v>6</v>
      </c>
      <c r="M1057">
        <f>VLOOKUP(A1057,Sheet2!$B$2:$E$186,2,FALSE)</f>
        <v>176</v>
      </c>
      <c r="N1057" t="s">
        <v>385</v>
      </c>
      <c r="O1057" t="s">
        <v>402</v>
      </c>
      <c r="P1057">
        <v>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1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</row>
    <row r="1058" spans="1:47" x14ac:dyDescent="0.3">
      <c r="A1058" t="s">
        <v>367</v>
      </c>
      <c r="B1058" s="3">
        <v>2015</v>
      </c>
      <c r="C1058" s="3">
        <v>223402.46875</v>
      </c>
      <c r="D1058" s="3">
        <v>849871.6875</v>
      </c>
      <c r="E1058" s="3">
        <v>12.9187965393066</v>
      </c>
      <c r="F1058" s="3">
        <v>0.47582513093948398</v>
      </c>
      <c r="G1058" s="3">
        <v>0.230203837156296</v>
      </c>
      <c r="H1058" s="3">
        <v>4.9920011311769499E-2</v>
      </c>
      <c r="I1058" s="3">
        <v>2567.9872133982699</v>
      </c>
      <c r="J1058" s="3"/>
      <c r="K1058" s="3"/>
      <c r="L1058" s="3">
        <f t="shared" si="16"/>
        <v>1</v>
      </c>
      <c r="M1058">
        <f>VLOOKUP(A1058,Sheet2!$B$2:$E$186,2,FALSE)</f>
        <v>177</v>
      </c>
      <c r="N1058" t="s">
        <v>391</v>
      </c>
      <c r="O1058" t="s">
        <v>409</v>
      </c>
      <c r="P1058">
        <v>0</v>
      </c>
      <c r="Q1058">
        <v>0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1</v>
      </c>
    </row>
    <row r="1059" spans="1:47" x14ac:dyDescent="0.3">
      <c r="A1059" t="s">
        <v>367</v>
      </c>
      <c r="B1059" s="3">
        <v>2016</v>
      </c>
      <c r="C1059" s="3">
        <v>236655.046875</v>
      </c>
      <c r="D1059" s="3">
        <v>932840.9375</v>
      </c>
      <c r="E1059" s="3">
        <v>13.153017997741699</v>
      </c>
      <c r="F1059" s="3">
        <v>0.52179294824600198</v>
      </c>
      <c r="G1059" s="3">
        <v>0.21765850484371199</v>
      </c>
      <c r="H1059" s="3">
        <v>4.9669146537780803E-2</v>
      </c>
      <c r="I1059" s="3">
        <v>2965.25349937684</v>
      </c>
      <c r="J1059" s="3"/>
      <c r="K1059" s="3"/>
      <c r="L1059" s="3">
        <f t="shared" si="16"/>
        <v>2</v>
      </c>
      <c r="M1059">
        <f>VLOOKUP(A1059,Sheet2!$B$2:$E$186,2,FALSE)</f>
        <v>177</v>
      </c>
      <c r="N1059" t="s">
        <v>391</v>
      </c>
      <c r="O1059" t="s">
        <v>409</v>
      </c>
      <c r="P1059">
        <v>0</v>
      </c>
      <c r="Q1059">
        <v>0</v>
      </c>
      <c r="R1059">
        <v>1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1</v>
      </c>
    </row>
    <row r="1060" spans="1:47" x14ac:dyDescent="0.3">
      <c r="A1060" t="s">
        <v>367</v>
      </c>
      <c r="B1060" s="3">
        <v>2017</v>
      </c>
      <c r="C1060" s="3">
        <v>247056.671875</v>
      </c>
      <c r="D1060" s="3">
        <v>1035945.375</v>
      </c>
      <c r="E1060" s="3">
        <v>13.372432708740201</v>
      </c>
      <c r="F1060" s="3">
        <v>0.58116763830184903</v>
      </c>
      <c r="G1060" s="3">
        <v>0.23692986369133001</v>
      </c>
      <c r="H1060" s="3">
        <v>4.9896951764821999E-2</v>
      </c>
      <c r="I1060" s="3">
        <v>5113.8789459571699</v>
      </c>
      <c r="J1060" s="3"/>
      <c r="K1060" s="3"/>
      <c r="L1060" s="3">
        <f t="shared" si="16"/>
        <v>3</v>
      </c>
      <c r="M1060">
        <f>VLOOKUP(A1060,Sheet2!$B$2:$E$186,2,FALSE)</f>
        <v>177</v>
      </c>
      <c r="N1060" t="s">
        <v>391</v>
      </c>
      <c r="O1060" t="s">
        <v>409</v>
      </c>
      <c r="P1060">
        <v>0</v>
      </c>
      <c r="Q1060">
        <v>0</v>
      </c>
      <c r="R1060">
        <v>1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1</v>
      </c>
    </row>
    <row r="1061" spans="1:47" x14ac:dyDescent="0.3">
      <c r="A1061" t="s">
        <v>367</v>
      </c>
      <c r="B1061" s="3">
        <v>2018</v>
      </c>
      <c r="C1061" s="3">
        <v>261582.984375</v>
      </c>
      <c r="D1061" s="3">
        <v>1178236.25</v>
      </c>
      <c r="E1061" s="3">
        <v>13.1250953674316</v>
      </c>
      <c r="F1061" s="3">
        <v>0.66659110784530595</v>
      </c>
      <c r="G1061" s="3">
        <v>0.21718434989452401</v>
      </c>
      <c r="H1061" s="3">
        <v>5.1394589245319401E-2</v>
      </c>
      <c r="I1061" s="3">
        <v>8069.6062365591397</v>
      </c>
      <c r="J1061" s="3"/>
      <c r="K1061" s="3"/>
      <c r="L1061" s="3">
        <f t="shared" si="16"/>
        <v>4</v>
      </c>
      <c r="M1061">
        <f>VLOOKUP(A1061,Sheet2!$B$2:$E$186,2,FALSE)</f>
        <v>177</v>
      </c>
      <c r="N1061" t="s">
        <v>391</v>
      </c>
      <c r="O1061" t="s">
        <v>409</v>
      </c>
      <c r="P1061">
        <v>0</v>
      </c>
      <c r="Q1061">
        <v>0</v>
      </c>
      <c r="R1061">
        <v>1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1</v>
      </c>
    </row>
    <row r="1062" spans="1:47" x14ac:dyDescent="0.3">
      <c r="A1062" t="s">
        <v>367</v>
      </c>
      <c r="B1062" s="3">
        <v>2019</v>
      </c>
      <c r="C1062" s="3">
        <v>277229.71875</v>
      </c>
      <c r="D1062" s="3">
        <v>1384334.375</v>
      </c>
      <c r="E1062" s="3">
        <v>13.379506111145</v>
      </c>
      <c r="F1062" s="3">
        <v>0.791240334510803</v>
      </c>
      <c r="G1062" s="3">
        <v>0.19570589065551799</v>
      </c>
      <c r="H1062" s="3">
        <v>5.3779479116201401E-2</v>
      </c>
      <c r="I1062" s="3">
        <v>8836.7875000000004</v>
      </c>
      <c r="J1062" s="3"/>
      <c r="K1062" s="3"/>
      <c r="L1062" s="3">
        <f t="shared" si="16"/>
        <v>5</v>
      </c>
      <c r="M1062">
        <f>VLOOKUP(A1062,Sheet2!$B$2:$E$186,2,FALSE)</f>
        <v>177</v>
      </c>
      <c r="N1062" t="s">
        <v>391</v>
      </c>
      <c r="O1062" t="s">
        <v>409</v>
      </c>
      <c r="P1062">
        <v>0</v>
      </c>
      <c r="Q1062">
        <v>0</v>
      </c>
      <c r="R1062">
        <v>1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1</v>
      </c>
    </row>
    <row r="1063" spans="1:47" x14ac:dyDescent="0.3">
      <c r="A1063" t="s">
        <v>367</v>
      </c>
      <c r="B1063" s="3">
        <v>2020</v>
      </c>
      <c r="C1063" s="3">
        <v>282762.09375</v>
      </c>
      <c r="D1063" s="3">
        <v>1565908.75</v>
      </c>
      <c r="E1063" s="3">
        <v>13.069760322570801</v>
      </c>
      <c r="F1063" s="3">
        <v>0.89670097827911399</v>
      </c>
      <c r="G1063" s="3">
        <v>0.175962254405022</v>
      </c>
      <c r="H1063" s="3">
        <v>5.5152874439954799E-2</v>
      </c>
      <c r="I1063" s="3">
        <v>10054.2613341653</v>
      </c>
      <c r="J1063" s="3"/>
      <c r="K1063" s="3"/>
      <c r="L1063" s="3">
        <f t="shared" si="16"/>
        <v>6</v>
      </c>
      <c r="M1063">
        <f>VLOOKUP(A1063,Sheet2!$B$2:$E$186,2,FALSE)</f>
        <v>177</v>
      </c>
      <c r="N1063" t="s">
        <v>391</v>
      </c>
      <c r="O1063" t="s">
        <v>409</v>
      </c>
      <c r="P1063">
        <v>0</v>
      </c>
      <c r="Q1063">
        <v>0</v>
      </c>
      <c r="R1063">
        <v>1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1</v>
      </c>
    </row>
    <row r="1064" spans="1:47" s="2" customFormat="1" x14ac:dyDescent="0.3">
      <c r="A1064" t="s">
        <v>369</v>
      </c>
      <c r="B1064" s="3">
        <v>2015</v>
      </c>
      <c r="C1064" s="3">
        <v>1385.8212890625</v>
      </c>
      <c r="D1064" s="3">
        <v>10144.2373046875</v>
      </c>
      <c r="E1064" s="3">
        <v>3.7816822528839097E-2</v>
      </c>
      <c r="F1064" s="3"/>
      <c r="G1064" s="3"/>
      <c r="H1064" s="3">
        <v>2.3918429389595999E-2</v>
      </c>
      <c r="I1064" s="3">
        <v>2.7</v>
      </c>
      <c r="J1064" s="3"/>
      <c r="K1064" s="3"/>
      <c r="L1064" s="3">
        <f t="shared" si="16"/>
        <v>1</v>
      </c>
      <c r="M1064">
        <f>VLOOKUP(A1064,Sheet2!$B$2:$E$186,2,FALSE)</f>
        <v>178</v>
      </c>
      <c r="N1064" t="s">
        <v>385</v>
      </c>
      <c r="O1064" t="s">
        <v>386</v>
      </c>
      <c r="P1064">
        <v>1</v>
      </c>
      <c r="Q1064">
        <v>0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/>
      <c r="AP1064"/>
      <c r="AQ1064"/>
      <c r="AR1064"/>
      <c r="AS1064"/>
      <c r="AT1064"/>
      <c r="AU1064"/>
    </row>
    <row r="1065" spans="1:47" s="2" customFormat="1" x14ac:dyDescent="0.3">
      <c r="A1065" t="s">
        <v>369</v>
      </c>
      <c r="B1065" s="3">
        <v>2016</v>
      </c>
      <c r="C1065" s="3">
        <v>1443.32836914063</v>
      </c>
      <c r="D1065" s="3">
        <v>10479.494140625</v>
      </c>
      <c r="E1065" s="3">
        <v>3.7876203656196601E-2</v>
      </c>
      <c r="F1065" s="3"/>
      <c r="G1065" s="3"/>
      <c r="H1065" s="3">
        <v>2.3941347375512099E-2</v>
      </c>
      <c r="I1065" s="3">
        <v>2.7</v>
      </c>
      <c r="J1065" s="3"/>
      <c r="K1065" s="3"/>
      <c r="L1065" s="3">
        <f t="shared" si="16"/>
        <v>2</v>
      </c>
      <c r="M1065">
        <f>VLOOKUP(A1065,Sheet2!$B$2:$E$186,2,FALSE)</f>
        <v>178</v>
      </c>
      <c r="N1065" t="s">
        <v>385</v>
      </c>
      <c r="O1065" t="s">
        <v>386</v>
      </c>
      <c r="P1065">
        <v>1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/>
      <c r="AP1065"/>
      <c r="AQ1065"/>
      <c r="AR1065"/>
      <c r="AS1065"/>
      <c r="AT1065"/>
      <c r="AU1065"/>
    </row>
    <row r="1066" spans="1:47" s="2" customFormat="1" x14ac:dyDescent="0.3">
      <c r="A1066" t="s">
        <v>369</v>
      </c>
      <c r="B1066" s="3">
        <v>2017</v>
      </c>
      <c r="C1066" s="3">
        <v>1467.42065429688</v>
      </c>
      <c r="D1066" s="3">
        <v>10766.1943359375</v>
      </c>
      <c r="E1066" s="3">
        <v>3.79081107676029E-2</v>
      </c>
      <c r="F1066" s="3"/>
      <c r="G1066" s="3"/>
      <c r="H1066" s="3">
        <v>2.4057475849986101E-2</v>
      </c>
      <c r="I1066" s="3">
        <v>2.7</v>
      </c>
      <c r="J1066" s="3"/>
      <c r="K1066" s="3"/>
      <c r="L1066" s="3">
        <f t="shared" si="16"/>
        <v>3</v>
      </c>
      <c r="M1066">
        <f>VLOOKUP(A1066,Sheet2!$B$2:$E$186,2,FALSE)</f>
        <v>178</v>
      </c>
      <c r="N1066" t="s">
        <v>385</v>
      </c>
      <c r="O1066" t="s">
        <v>386</v>
      </c>
      <c r="P1066">
        <v>1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/>
      <c r="AP1066"/>
      <c r="AQ1066"/>
      <c r="AR1066"/>
      <c r="AS1066"/>
      <c r="AT1066"/>
      <c r="AU1066"/>
    </row>
    <row r="1067" spans="1:47" s="2" customFormat="1" x14ac:dyDescent="0.3">
      <c r="A1067" t="s">
        <v>369</v>
      </c>
      <c r="B1067" s="3">
        <v>2018</v>
      </c>
      <c r="C1067" s="3">
        <v>1512.21411132813</v>
      </c>
      <c r="D1067" s="3">
        <v>11071.79296875</v>
      </c>
      <c r="E1067" s="3">
        <v>3.80002819001675E-2</v>
      </c>
      <c r="F1067" s="3"/>
      <c r="G1067" s="3"/>
      <c r="H1067" s="3">
        <v>2.40469835698605E-2</v>
      </c>
      <c r="I1067" s="3">
        <v>2.7</v>
      </c>
      <c r="J1067" s="3"/>
      <c r="K1067" s="3"/>
      <c r="L1067" s="3">
        <f t="shared" si="16"/>
        <v>4</v>
      </c>
      <c r="M1067">
        <f>VLOOKUP(A1067,Sheet2!$B$2:$E$186,2,FALSE)</f>
        <v>178</v>
      </c>
      <c r="N1067" t="s">
        <v>385</v>
      </c>
      <c r="O1067" t="s">
        <v>386</v>
      </c>
      <c r="P1067">
        <v>1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/>
      <c r="AP1067"/>
      <c r="AQ1067"/>
      <c r="AR1067"/>
      <c r="AS1067"/>
      <c r="AT1067"/>
      <c r="AU1067"/>
    </row>
    <row r="1068" spans="1:47" x14ac:dyDescent="0.3">
      <c r="A1068" t="s">
        <v>369</v>
      </c>
      <c r="B1068" s="3">
        <v>2019</v>
      </c>
      <c r="C1068" s="3">
        <v>1522.32592773438</v>
      </c>
      <c r="D1068" s="3">
        <v>11422.8046875</v>
      </c>
      <c r="E1068" s="3">
        <v>3.7874430418014499E-2</v>
      </c>
      <c r="F1068" s="3"/>
      <c r="G1068" s="3"/>
      <c r="H1068" s="3">
        <v>2.39805895835161E-2</v>
      </c>
      <c r="I1068" s="3">
        <v>2.7</v>
      </c>
      <c r="J1068" s="3"/>
      <c r="K1068" s="3"/>
      <c r="L1068" s="3">
        <f t="shared" si="16"/>
        <v>5</v>
      </c>
      <c r="M1068">
        <f>VLOOKUP(A1068,Sheet2!$B$2:$E$186,2,FALSE)</f>
        <v>178</v>
      </c>
      <c r="N1068" t="s">
        <v>385</v>
      </c>
      <c r="O1068" t="s">
        <v>386</v>
      </c>
      <c r="P1068">
        <v>1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</row>
    <row r="1069" spans="1:47" x14ac:dyDescent="0.3">
      <c r="A1069" t="s">
        <v>369</v>
      </c>
      <c r="B1069" s="3">
        <v>2020</v>
      </c>
      <c r="C1069" s="3">
        <v>1457.33825683594</v>
      </c>
      <c r="D1069" s="3">
        <v>11801.0771484375</v>
      </c>
      <c r="E1069" s="3">
        <v>3.5914015024900402E-2</v>
      </c>
      <c r="F1069" s="3"/>
      <c r="G1069" s="3"/>
      <c r="H1069" s="3">
        <v>2.4159451946616201E-2</v>
      </c>
      <c r="I1069" s="3">
        <v>2.7</v>
      </c>
      <c r="J1069" s="3"/>
      <c r="K1069" s="3"/>
      <c r="L1069" s="3">
        <f t="shared" si="16"/>
        <v>6</v>
      </c>
      <c r="M1069">
        <f>VLOOKUP(A1069,Sheet2!$B$2:$E$186,2,FALSE)</f>
        <v>178</v>
      </c>
      <c r="N1069" t="s">
        <v>385</v>
      </c>
      <c r="O1069" t="s">
        <v>386</v>
      </c>
      <c r="P1069">
        <v>1</v>
      </c>
      <c r="Q1069">
        <v>0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</row>
    <row r="1070" spans="1:47" x14ac:dyDescent="0.3">
      <c r="A1070" t="s">
        <v>370</v>
      </c>
      <c r="B1070" s="3">
        <v>2015</v>
      </c>
      <c r="C1070" s="3">
        <v>16430.7578125</v>
      </c>
      <c r="D1070" s="3">
        <v>150636.296875</v>
      </c>
      <c r="E1070" s="3">
        <v>12.994031906127899</v>
      </c>
      <c r="F1070" s="3">
        <v>1.3702253103256199</v>
      </c>
      <c r="G1070" s="3">
        <v>0.106890864670277</v>
      </c>
      <c r="H1070" s="3">
        <v>4.5488331466913202E-2</v>
      </c>
      <c r="I1070" s="3">
        <v>2.33866575240486E-10</v>
      </c>
      <c r="J1070" s="3">
        <v>2.7536084651946999</v>
      </c>
      <c r="K1070" s="3">
        <v>3.6103417873382599</v>
      </c>
      <c r="L1070" s="3">
        <f t="shared" si="16"/>
        <v>1</v>
      </c>
      <c r="M1070">
        <f>VLOOKUP(A1070,Sheet2!$B$2:$E$186,2,FALSE)</f>
        <v>179</v>
      </c>
      <c r="N1070" t="s">
        <v>385</v>
      </c>
      <c r="O1070" t="s">
        <v>393</v>
      </c>
      <c r="P1070">
        <v>1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1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</row>
    <row r="1071" spans="1:47" x14ac:dyDescent="0.3">
      <c r="A1071" t="s">
        <v>370</v>
      </c>
      <c r="B1071" s="3">
        <v>2016</v>
      </c>
      <c r="C1071" s="3">
        <v>13630.8291015625</v>
      </c>
      <c r="D1071" s="3">
        <v>148019.796875</v>
      </c>
      <c r="E1071" s="3">
        <v>13.035490989685099</v>
      </c>
      <c r="F1071" s="3">
        <v>1.33443892002106</v>
      </c>
      <c r="G1071" s="3">
        <v>0.104206532239914</v>
      </c>
      <c r="H1071" s="3">
        <v>4.3995037674903897E-2</v>
      </c>
      <c r="I1071" s="3">
        <v>9.7602374272487606E-10</v>
      </c>
      <c r="J1071" s="3">
        <v>2.78792500495911</v>
      </c>
      <c r="K1071" s="3">
        <v>2.2918534278869598</v>
      </c>
      <c r="L1071" s="3">
        <f t="shared" si="16"/>
        <v>2</v>
      </c>
      <c r="M1071">
        <f>VLOOKUP(A1071,Sheet2!$B$2:$E$186,2,FALSE)</f>
        <v>179</v>
      </c>
      <c r="N1071" t="s">
        <v>385</v>
      </c>
      <c r="O1071" t="s">
        <v>393</v>
      </c>
      <c r="P1071">
        <v>1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1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</row>
    <row r="1072" spans="1:47" x14ac:dyDescent="0.3">
      <c r="A1072" t="s">
        <v>370</v>
      </c>
      <c r="B1072" s="3">
        <v>2017</v>
      </c>
      <c r="C1072" s="3">
        <v>11494.7041015625</v>
      </c>
      <c r="D1072" s="3">
        <v>143983.71875</v>
      </c>
      <c r="E1072" s="3">
        <v>14.580285072326699</v>
      </c>
      <c r="F1072" s="3">
        <v>1.2760691642761199</v>
      </c>
      <c r="G1072" s="3">
        <v>3.2947264611720997E-2</v>
      </c>
      <c r="H1072" s="3">
        <v>4.2165890336036703E-2</v>
      </c>
      <c r="I1072" s="3">
        <v>8.1315921233038305E-9</v>
      </c>
      <c r="J1072" s="3">
        <v>2.8226692676544198</v>
      </c>
      <c r="K1072" s="3">
        <v>2.0573866367340101</v>
      </c>
      <c r="L1072" s="3">
        <f t="shared" si="16"/>
        <v>3</v>
      </c>
      <c r="M1072">
        <f>VLOOKUP(A1072,Sheet2!$B$2:$E$186,2,FALSE)</f>
        <v>179</v>
      </c>
      <c r="N1072" t="s">
        <v>385</v>
      </c>
      <c r="O1072" t="s">
        <v>393</v>
      </c>
      <c r="P1072">
        <v>1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</row>
    <row r="1073" spans="1:47" x14ac:dyDescent="0.3">
      <c r="A1073" t="s">
        <v>370</v>
      </c>
      <c r="B1073" s="3">
        <v>2018</v>
      </c>
      <c r="C1073" s="3">
        <v>9239.353515625</v>
      </c>
      <c r="D1073" s="3">
        <v>139541.921875</v>
      </c>
      <c r="E1073" s="3">
        <v>14.881935119628899</v>
      </c>
      <c r="F1073" s="3">
        <v>1.2111405134201101</v>
      </c>
      <c r="G1073" s="3">
        <v>3.4384731203317601E-2</v>
      </c>
      <c r="H1073" s="3">
        <v>4.03930395841599E-2</v>
      </c>
      <c r="I1073" s="3">
        <v>1.34182472439974E-5</v>
      </c>
      <c r="J1073" s="3">
        <v>2.8578462600707999</v>
      </c>
      <c r="K1073" s="3">
        <v>1.1881730556487999</v>
      </c>
      <c r="L1073" s="3">
        <f t="shared" si="16"/>
        <v>4</v>
      </c>
      <c r="M1073">
        <f>VLOOKUP(A1073,Sheet2!$B$2:$E$186,2,FALSE)</f>
        <v>179</v>
      </c>
      <c r="N1073" t="s">
        <v>385</v>
      </c>
      <c r="O1073" t="s">
        <v>393</v>
      </c>
      <c r="P1073">
        <v>1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1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</row>
    <row r="1074" spans="1:47" x14ac:dyDescent="0.3">
      <c r="A1074" t="s">
        <v>370</v>
      </c>
      <c r="B1074" s="3">
        <v>2019</v>
      </c>
      <c r="C1074" s="3">
        <v>6678.7578125</v>
      </c>
      <c r="D1074" s="3">
        <v>135118.21875</v>
      </c>
      <c r="E1074" s="3">
        <v>14.6540679931641</v>
      </c>
      <c r="F1074" s="3">
        <v>1.1427133083343499</v>
      </c>
      <c r="G1074" s="3">
        <v>9.9999997764825804E-3</v>
      </c>
      <c r="H1074" s="3">
        <v>3.8795892149209997E-2</v>
      </c>
      <c r="I1074" s="3">
        <v>2.8038782150466802E-3</v>
      </c>
      <c r="J1074" s="3">
        <v>2.8934617042541499</v>
      </c>
      <c r="K1074" s="3">
        <v>1.6108494997024501</v>
      </c>
      <c r="L1074" s="3">
        <f t="shared" si="16"/>
        <v>5</v>
      </c>
      <c r="M1074">
        <f>VLOOKUP(A1074,Sheet2!$B$2:$E$186,2,FALSE)</f>
        <v>179</v>
      </c>
      <c r="N1074" t="s">
        <v>385</v>
      </c>
      <c r="O1074" t="s">
        <v>393</v>
      </c>
      <c r="P1074">
        <v>1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1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</row>
    <row r="1075" spans="1:47" x14ac:dyDescent="0.3">
      <c r="A1075" t="s">
        <v>370</v>
      </c>
      <c r="B1075" s="3">
        <v>2020</v>
      </c>
      <c r="C1075" s="3">
        <v>4675.62841796875</v>
      </c>
      <c r="D1075" s="3">
        <v>130790.8203125</v>
      </c>
      <c r="E1075" s="3">
        <v>13.551404953002899</v>
      </c>
      <c r="F1075" s="3">
        <v>1.0664520263671899</v>
      </c>
      <c r="G1075" s="3">
        <v>9.9999997764825804E-3</v>
      </c>
      <c r="H1075" s="3">
        <v>3.7128258496522903E-2</v>
      </c>
      <c r="I1075" s="3">
        <v>5.6301026987416902E-2</v>
      </c>
      <c r="J1075" s="3">
        <v>2.9295210838317902</v>
      </c>
      <c r="K1075" s="3">
        <v>1.19052481651306</v>
      </c>
      <c r="L1075" s="3">
        <f t="shared" si="16"/>
        <v>6</v>
      </c>
      <c r="M1075">
        <f>VLOOKUP(A1075,Sheet2!$B$2:$E$186,2,FALSE)</f>
        <v>179</v>
      </c>
      <c r="N1075" t="s">
        <v>385</v>
      </c>
      <c r="O1075" t="s">
        <v>393</v>
      </c>
      <c r="P1075">
        <v>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1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</row>
    <row r="1076" spans="1:47" x14ac:dyDescent="0.3">
      <c r="A1076" t="s">
        <v>372</v>
      </c>
      <c r="B1076" s="3">
        <v>2015</v>
      </c>
      <c r="C1076" s="3">
        <v>1292.67749023438</v>
      </c>
      <c r="D1076" s="3">
        <v>4240.1484375</v>
      </c>
      <c r="E1076" s="3">
        <v>1.79869309067726E-2</v>
      </c>
      <c r="F1076" s="3">
        <v>0.81742054224014304</v>
      </c>
      <c r="G1076" s="3">
        <v>0.14993472397327401</v>
      </c>
      <c r="H1076" s="3">
        <v>4.12038676440716E-2</v>
      </c>
      <c r="I1076" s="3">
        <v>1</v>
      </c>
      <c r="J1076" s="3"/>
      <c r="K1076" s="3"/>
      <c r="L1076" s="3">
        <f t="shared" si="16"/>
        <v>1</v>
      </c>
      <c r="M1076">
        <f>VLOOKUP(A1076,Sheet2!$B$2:$E$186,2,FALSE)</f>
        <v>180</v>
      </c>
      <c r="N1076" t="s">
        <v>385</v>
      </c>
      <c r="O1076" t="s">
        <v>386</v>
      </c>
      <c r="P1076">
        <v>1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</row>
    <row r="1077" spans="1:47" x14ac:dyDescent="0.3">
      <c r="A1077" t="s">
        <v>372</v>
      </c>
      <c r="B1077" s="3">
        <v>2016</v>
      </c>
      <c r="C1077" s="3">
        <v>1359.03210449219</v>
      </c>
      <c r="D1077" s="3">
        <v>4382.33447265625</v>
      </c>
      <c r="E1077" s="3">
        <v>1.7663670703768699E-2</v>
      </c>
      <c r="F1077" s="3">
        <v>0.84817606210708596</v>
      </c>
      <c r="G1077" s="3">
        <v>0.153544217348099</v>
      </c>
      <c r="H1077" s="3">
        <v>4.1616491973400102E-2</v>
      </c>
      <c r="I1077" s="3">
        <v>1</v>
      </c>
      <c r="J1077" s="3"/>
      <c r="K1077" s="3"/>
      <c r="L1077" s="3">
        <f t="shared" si="16"/>
        <v>2</v>
      </c>
      <c r="M1077">
        <f>VLOOKUP(A1077,Sheet2!$B$2:$E$186,2,FALSE)</f>
        <v>180</v>
      </c>
      <c r="N1077" t="s">
        <v>385</v>
      </c>
      <c r="O1077" t="s">
        <v>386</v>
      </c>
      <c r="P1077">
        <v>1</v>
      </c>
      <c r="Q1077">
        <v>0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</row>
    <row r="1078" spans="1:47" x14ac:dyDescent="0.3">
      <c r="A1078" t="s">
        <v>372</v>
      </c>
      <c r="B1078" s="3">
        <v>2017</v>
      </c>
      <c r="C1078" s="3">
        <v>1352.09460449219</v>
      </c>
      <c r="D1078" s="3">
        <v>4516.3427734375</v>
      </c>
      <c r="E1078" s="3">
        <v>1.70489493757486E-2</v>
      </c>
      <c r="F1078" s="3">
        <v>0.87677407264709495</v>
      </c>
      <c r="G1078" s="3">
        <v>0.14703249931335499</v>
      </c>
      <c r="H1078" s="3">
        <v>4.1973836719989797E-2</v>
      </c>
      <c r="I1078" s="3">
        <v>1</v>
      </c>
      <c r="J1078" s="3"/>
      <c r="K1078" s="3"/>
      <c r="L1078" s="3">
        <f t="shared" si="16"/>
        <v>3</v>
      </c>
      <c r="M1078">
        <f>VLOOKUP(A1078,Sheet2!$B$2:$E$186,2,FALSE)</f>
        <v>180</v>
      </c>
      <c r="N1078" t="s">
        <v>385</v>
      </c>
      <c r="O1078" t="s">
        <v>386</v>
      </c>
      <c r="P1078">
        <v>1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</row>
    <row r="1079" spans="1:47" x14ac:dyDescent="0.3">
      <c r="A1079" t="s">
        <v>372</v>
      </c>
      <c r="B1079" s="3">
        <v>2018</v>
      </c>
      <c r="C1079" s="3">
        <v>1423.66870117188</v>
      </c>
      <c r="D1079" s="3">
        <v>4662.6875</v>
      </c>
      <c r="E1079" s="3">
        <v>1.8069831654429401E-2</v>
      </c>
      <c r="F1079" s="3">
        <v>0.90601599216461204</v>
      </c>
      <c r="G1079" s="3">
        <v>0.15142105519771601</v>
      </c>
      <c r="H1079" s="3">
        <v>4.2093064635992099E-2</v>
      </c>
      <c r="I1079" s="3">
        <v>1</v>
      </c>
      <c r="J1079" s="3"/>
      <c r="K1079" s="3"/>
      <c r="L1079" s="3">
        <f t="shared" si="16"/>
        <v>4</v>
      </c>
      <c r="M1079">
        <f>VLOOKUP(A1079,Sheet2!$B$2:$E$186,2,FALSE)</f>
        <v>180</v>
      </c>
      <c r="N1079" t="s">
        <v>385</v>
      </c>
      <c r="O1079" t="s">
        <v>386</v>
      </c>
      <c r="P1079">
        <v>1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</row>
    <row r="1080" spans="1:47" x14ac:dyDescent="0.3">
      <c r="A1080" t="s">
        <v>372</v>
      </c>
      <c r="B1080" s="3">
        <v>2019</v>
      </c>
      <c r="C1080" s="3">
        <v>1524.75439453125</v>
      </c>
      <c r="D1080" s="3">
        <v>4828.38623046875</v>
      </c>
      <c r="E1080" s="3">
        <v>1.89760103821754E-2</v>
      </c>
      <c r="F1080" s="3">
        <v>0.93991869688034102</v>
      </c>
      <c r="G1080" s="3">
        <v>0.158472135663033</v>
      </c>
      <c r="H1080" s="3">
        <v>4.2144488543271998E-2</v>
      </c>
      <c r="I1080" s="3">
        <v>1</v>
      </c>
      <c r="J1080" s="3"/>
      <c r="K1080" s="3"/>
      <c r="L1080" s="3">
        <f t="shared" si="16"/>
        <v>5</v>
      </c>
      <c r="M1080">
        <f>VLOOKUP(A1080,Sheet2!$B$2:$E$186,2,FALSE)</f>
        <v>180</v>
      </c>
      <c r="N1080" t="s">
        <v>385</v>
      </c>
      <c r="O1080" t="s">
        <v>386</v>
      </c>
      <c r="P1080">
        <v>1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</row>
    <row r="1081" spans="1:47" x14ac:dyDescent="0.3">
      <c r="A1081" t="s">
        <v>372</v>
      </c>
      <c r="B1081" s="3">
        <v>2020</v>
      </c>
      <c r="C1081" s="3">
        <v>1476.35632324219</v>
      </c>
      <c r="D1081" s="3">
        <v>4976.73779296875</v>
      </c>
      <c r="E1081" s="3">
        <v>1.9361838698387101E-2</v>
      </c>
      <c r="F1081" s="3">
        <v>0.96901237964630105</v>
      </c>
      <c r="G1081" s="3">
        <v>0.146935224533081</v>
      </c>
      <c r="H1081" s="3">
        <v>4.2163211852312102E-2</v>
      </c>
      <c r="I1081" s="3">
        <v>1</v>
      </c>
      <c r="J1081" s="3"/>
      <c r="K1081" s="3"/>
      <c r="L1081" s="3">
        <f t="shared" si="16"/>
        <v>6</v>
      </c>
      <c r="M1081">
        <f>VLOOKUP(A1081,Sheet2!$B$2:$E$186,2,FALSE)</f>
        <v>180</v>
      </c>
      <c r="N1081" t="s">
        <v>385</v>
      </c>
      <c r="O1081" t="s">
        <v>386</v>
      </c>
      <c r="P1081">
        <v>1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</row>
    <row r="1082" spans="1:47" s="2" customFormat="1" x14ac:dyDescent="0.3">
      <c r="A1082" t="s">
        <v>373</v>
      </c>
      <c r="B1082" s="3">
        <v>2015</v>
      </c>
      <c r="C1082" s="3">
        <v>877314.5</v>
      </c>
      <c r="D1082" s="3">
        <v>2403213.75</v>
      </c>
      <c r="E1082" s="3">
        <v>52.840000152587898</v>
      </c>
      <c r="F1082" s="3"/>
      <c r="G1082" s="3"/>
      <c r="H1082" s="3">
        <v>5.8022096753120402E-2</v>
      </c>
      <c r="I1082" s="3">
        <v>21697.567500000001</v>
      </c>
      <c r="J1082" s="3">
        <v>2.5305647850036599</v>
      </c>
      <c r="K1082" s="3"/>
      <c r="L1082" s="3">
        <f t="shared" si="16"/>
        <v>1</v>
      </c>
      <c r="M1082">
        <f>VLOOKUP(A1082,Sheet2!$B$2:$E$186,2,FALSE)</f>
        <v>181</v>
      </c>
      <c r="N1082" t="s">
        <v>391</v>
      </c>
      <c r="O1082" t="s">
        <v>403</v>
      </c>
      <c r="P1082">
        <v>0</v>
      </c>
      <c r="Q1082">
        <v>0</v>
      </c>
      <c r="R1082">
        <v>1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1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/>
      <c r="AP1082"/>
      <c r="AQ1082"/>
      <c r="AR1082"/>
      <c r="AS1082"/>
      <c r="AT1082"/>
      <c r="AU1082"/>
    </row>
    <row r="1083" spans="1:47" s="2" customFormat="1" x14ac:dyDescent="0.3">
      <c r="A1083" t="s">
        <v>373</v>
      </c>
      <c r="B1083" s="3">
        <v>2016</v>
      </c>
      <c r="C1083" s="3">
        <v>936006.875</v>
      </c>
      <c r="D1083" s="3">
        <v>2642508.5</v>
      </c>
      <c r="E1083" s="3">
        <v>53.302799224853501</v>
      </c>
      <c r="F1083" s="3"/>
      <c r="G1083" s="3"/>
      <c r="H1083" s="3">
        <v>5.7082142680883401E-2</v>
      </c>
      <c r="I1083" s="3">
        <v>21935.000833333299</v>
      </c>
      <c r="J1083" s="3">
        <v>2.5531139373779301</v>
      </c>
      <c r="K1083" s="3"/>
      <c r="L1083" s="3">
        <f t="shared" si="16"/>
        <v>2</v>
      </c>
      <c r="M1083">
        <f>VLOOKUP(A1083,Sheet2!$B$2:$E$186,2,FALSE)</f>
        <v>181</v>
      </c>
      <c r="N1083" t="s">
        <v>391</v>
      </c>
      <c r="O1083" t="s">
        <v>403</v>
      </c>
      <c r="P1083">
        <v>0</v>
      </c>
      <c r="Q1083">
        <v>0</v>
      </c>
      <c r="R1083">
        <v>1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1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/>
      <c r="AP1083"/>
      <c r="AQ1083"/>
      <c r="AR1083"/>
      <c r="AS1083"/>
      <c r="AT1083"/>
      <c r="AU1083"/>
    </row>
    <row r="1084" spans="1:47" s="2" customFormat="1" x14ac:dyDescent="0.3">
      <c r="A1084" t="s">
        <v>373</v>
      </c>
      <c r="B1084" s="3">
        <v>2017</v>
      </c>
      <c r="C1084" s="3">
        <v>1000967.625</v>
      </c>
      <c r="D1084" s="3">
        <v>2910506.25</v>
      </c>
      <c r="E1084" s="3">
        <v>53.703403472900398</v>
      </c>
      <c r="F1084" s="3"/>
      <c r="G1084" s="3"/>
      <c r="H1084" s="3">
        <v>5.62588460743427E-2</v>
      </c>
      <c r="I1084" s="3">
        <v>22370.086666666699</v>
      </c>
      <c r="J1084" s="3">
        <v>2.5706636905670202</v>
      </c>
      <c r="K1084" s="3"/>
      <c r="L1084" s="3">
        <f t="shared" si="16"/>
        <v>3</v>
      </c>
      <c r="M1084">
        <f>VLOOKUP(A1084,Sheet2!$B$2:$E$186,2,FALSE)</f>
        <v>181</v>
      </c>
      <c r="N1084" t="s">
        <v>391</v>
      </c>
      <c r="O1084" t="s">
        <v>403</v>
      </c>
      <c r="P1084">
        <v>0</v>
      </c>
      <c r="Q1084">
        <v>0</v>
      </c>
      <c r="R1084">
        <v>1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1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/>
      <c r="AP1084"/>
      <c r="AQ1084"/>
      <c r="AR1084"/>
      <c r="AS1084"/>
      <c r="AT1084"/>
      <c r="AU1084"/>
    </row>
    <row r="1085" spans="1:47" s="2" customFormat="1" x14ac:dyDescent="0.3">
      <c r="A1085" t="s">
        <v>373</v>
      </c>
      <c r="B1085" s="3">
        <v>2018</v>
      </c>
      <c r="C1085" s="3">
        <v>1075689.75</v>
      </c>
      <c r="D1085" s="3">
        <v>3199952.5</v>
      </c>
      <c r="E1085" s="3">
        <v>54.249404907226598</v>
      </c>
      <c r="F1085" s="3"/>
      <c r="G1085" s="3"/>
      <c r="H1085" s="3">
        <v>5.5708207190036801E-2</v>
      </c>
      <c r="I1085" s="3">
        <v>22602.05</v>
      </c>
      <c r="J1085" s="3">
        <v>2.5860636234283398</v>
      </c>
      <c r="K1085" s="3"/>
      <c r="L1085" s="3">
        <f t="shared" si="16"/>
        <v>4</v>
      </c>
      <c r="M1085">
        <f>VLOOKUP(A1085,Sheet2!$B$2:$E$186,2,FALSE)</f>
        <v>181</v>
      </c>
      <c r="N1085" t="s">
        <v>391</v>
      </c>
      <c r="O1085" t="s">
        <v>403</v>
      </c>
      <c r="P1085">
        <v>0</v>
      </c>
      <c r="Q1085">
        <v>0</v>
      </c>
      <c r="R1085">
        <v>1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1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/>
      <c r="AP1085"/>
      <c r="AQ1085"/>
      <c r="AR1085"/>
      <c r="AS1085"/>
      <c r="AT1085"/>
      <c r="AU1085"/>
    </row>
    <row r="1086" spans="1:47" s="2" customFormat="1" x14ac:dyDescent="0.3">
      <c r="A1086" t="s">
        <v>373</v>
      </c>
      <c r="B1086" s="3">
        <v>2019</v>
      </c>
      <c r="C1086" s="3">
        <v>1154852.75</v>
      </c>
      <c r="D1086" s="3">
        <v>3510612</v>
      </c>
      <c r="E1086" s="3">
        <v>54.573970794677699</v>
      </c>
      <c r="F1086" s="3"/>
      <c r="G1086" s="3"/>
      <c r="H1086" s="3">
        <v>5.5241584777831997E-2</v>
      </c>
      <c r="I1086" s="3">
        <v>23050.241666666701</v>
      </c>
      <c r="J1086" s="3">
        <v>2.6015555858612101</v>
      </c>
      <c r="K1086" s="3"/>
      <c r="L1086" s="3">
        <f t="shared" si="16"/>
        <v>5</v>
      </c>
      <c r="M1086">
        <f>VLOOKUP(A1086,Sheet2!$B$2:$E$186,2,FALSE)</f>
        <v>181</v>
      </c>
      <c r="N1086" t="s">
        <v>391</v>
      </c>
      <c r="O1086" t="s">
        <v>403</v>
      </c>
      <c r="P1086">
        <v>0</v>
      </c>
      <c r="Q1086">
        <v>0</v>
      </c>
      <c r="R1086">
        <v>1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1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/>
      <c r="AP1086"/>
      <c r="AQ1086"/>
      <c r="AR1086"/>
      <c r="AS1086"/>
      <c r="AT1086"/>
      <c r="AU1086"/>
    </row>
    <row r="1087" spans="1:47" s="2" customFormat="1" x14ac:dyDescent="0.3">
      <c r="A1087" t="s">
        <v>373</v>
      </c>
      <c r="B1087" s="3">
        <v>2020</v>
      </c>
      <c r="C1087" s="3">
        <v>1187944</v>
      </c>
      <c r="D1087" s="3">
        <v>3827259</v>
      </c>
      <c r="E1087" s="3">
        <v>53.325695037841797</v>
      </c>
      <c r="F1087" s="3"/>
      <c r="G1087" s="3"/>
      <c r="H1087" s="3">
        <v>5.4555471986532197E-2</v>
      </c>
      <c r="I1087" s="3">
        <v>23208.368333333299</v>
      </c>
      <c r="J1087" s="3">
        <v>2.6328189373016402</v>
      </c>
      <c r="K1087" s="3"/>
      <c r="L1087" s="3">
        <f t="shared" si="16"/>
        <v>6</v>
      </c>
      <c r="M1087">
        <f>VLOOKUP(A1087,Sheet2!$B$2:$E$186,2,FALSE)</f>
        <v>181</v>
      </c>
      <c r="N1087" t="s">
        <v>391</v>
      </c>
      <c r="O1087" t="s">
        <v>403</v>
      </c>
      <c r="P1087">
        <v>0</v>
      </c>
      <c r="Q1087">
        <v>0</v>
      </c>
      <c r="R1087">
        <v>1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1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/>
      <c r="AP1087"/>
      <c r="AQ1087"/>
      <c r="AR1087"/>
      <c r="AS1087"/>
      <c r="AT1087"/>
      <c r="AU1087"/>
    </row>
    <row r="1088" spans="1:47" s="2" customFormat="1" x14ac:dyDescent="0.3">
      <c r="A1088" t="s">
        <v>375</v>
      </c>
      <c r="B1088" s="3">
        <v>2015</v>
      </c>
      <c r="C1088" s="3">
        <v>46091.5390625</v>
      </c>
      <c r="D1088" s="3">
        <v>596768.3125</v>
      </c>
      <c r="E1088" s="3">
        <v>5.5622529983520499</v>
      </c>
      <c r="F1088" s="3"/>
      <c r="G1088" s="3"/>
      <c r="H1088" s="3">
        <v>3.4375458955764798E-2</v>
      </c>
      <c r="I1088" s="3">
        <v>230.833333333333</v>
      </c>
      <c r="J1088" s="3">
        <v>1.6266133785247801</v>
      </c>
      <c r="K1088" s="3"/>
      <c r="L1088" s="3">
        <f t="shared" si="16"/>
        <v>1</v>
      </c>
      <c r="M1088">
        <f>VLOOKUP(A1088,Sheet2!$B$2:$E$186,2,FALSE)</f>
        <v>182</v>
      </c>
      <c r="N1088" t="s">
        <v>391</v>
      </c>
      <c r="O1088" t="s">
        <v>392</v>
      </c>
      <c r="P1088">
        <v>0</v>
      </c>
      <c r="Q1088">
        <v>0</v>
      </c>
      <c r="R1088">
        <v>1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1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/>
      <c r="AP1088"/>
      <c r="AQ1088"/>
      <c r="AR1088"/>
      <c r="AS1088"/>
      <c r="AT1088"/>
      <c r="AU1088"/>
    </row>
    <row r="1089" spans="1:47" s="2" customFormat="1" x14ac:dyDescent="0.3">
      <c r="A1089" t="s">
        <v>375</v>
      </c>
      <c r="B1089" s="3">
        <v>2016</v>
      </c>
      <c r="C1089" s="3">
        <v>39162.45703125</v>
      </c>
      <c r="D1089" s="3">
        <v>582902.6875</v>
      </c>
      <c r="E1089" s="3">
        <v>5.7814774513244602</v>
      </c>
      <c r="F1089" s="3"/>
      <c r="G1089" s="3"/>
      <c r="H1089" s="3">
        <v>3.2848920673131901E-2</v>
      </c>
      <c r="I1089" s="3">
        <v>283.89583333333297</v>
      </c>
      <c r="J1089" s="3">
        <v>1.68238353729248</v>
      </c>
      <c r="K1089" s="3"/>
      <c r="L1089" s="3">
        <f t="shared" si="16"/>
        <v>2</v>
      </c>
      <c r="M1089">
        <f>VLOOKUP(A1089,Sheet2!$B$2:$E$186,2,FALSE)</f>
        <v>182</v>
      </c>
      <c r="N1089" t="s">
        <v>391</v>
      </c>
      <c r="O1089" t="s">
        <v>392</v>
      </c>
      <c r="P1089">
        <v>0</v>
      </c>
      <c r="Q1089">
        <v>0</v>
      </c>
      <c r="R1089">
        <v>1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1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/>
      <c r="AP1089"/>
      <c r="AQ1089"/>
      <c r="AR1089"/>
      <c r="AS1089"/>
      <c r="AT1089"/>
      <c r="AU1089"/>
    </row>
    <row r="1090" spans="1:47" s="2" customFormat="1" x14ac:dyDescent="0.3">
      <c r="A1090" t="s">
        <v>375</v>
      </c>
      <c r="B1090" s="3">
        <v>2017</v>
      </c>
      <c r="C1090" s="3">
        <v>35021.80859375</v>
      </c>
      <c r="D1090" s="3">
        <v>571911.625</v>
      </c>
      <c r="E1090" s="3">
        <v>6.02439689636231</v>
      </c>
      <c r="F1090" s="3"/>
      <c r="G1090" s="3"/>
      <c r="H1090" s="3">
        <v>3.1477175652980798E-2</v>
      </c>
      <c r="I1090" s="3">
        <v>282.19499999999999</v>
      </c>
      <c r="J1090" s="3">
        <v>1.7354553937912001</v>
      </c>
      <c r="K1090" s="3"/>
      <c r="L1090" s="3">
        <f t="shared" si="16"/>
        <v>3</v>
      </c>
      <c r="M1090">
        <f>VLOOKUP(A1090,Sheet2!$B$2:$E$186,2,FALSE)</f>
        <v>182</v>
      </c>
      <c r="N1090" t="s">
        <v>391</v>
      </c>
      <c r="O1090" t="s">
        <v>392</v>
      </c>
      <c r="P1090">
        <v>0</v>
      </c>
      <c r="Q1090">
        <v>0</v>
      </c>
      <c r="R1090">
        <v>1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1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/>
      <c r="AP1090"/>
      <c r="AQ1090"/>
      <c r="AR1090"/>
      <c r="AS1090"/>
      <c r="AT1090"/>
      <c r="AU1090"/>
    </row>
    <row r="1091" spans="1:47" s="2" customFormat="1" x14ac:dyDescent="0.3">
      <c r="A1091" t="s">
        <v>375</v>
      </c>
      <c r="B1091" s="3">
        <v>2018</v>
      </c>
      <c r="C1091" s="3">
        <v>34733.921875</v>
      </c>
      <c r="D1091" s="3">
        <v>572310.25</v>
      </c>
      <c r="E1091" s="3">
        <v>6.3590326309204102</v>
      </c>
      <c r="F1091" s="3"/>
      <c r="G1091" s="3"/>
      <c r="H1091" s="3">
        <v>3.0391972512006801E-2</v>
      </c>
      <c r="I1091" s="3">
        <v>214.89</v>
      </c>
      <c r="J1091" s="3">
        <v>1.78661465644836</v>
      </c>
      <c r="K1091" s="3"/>
      <c r="L1091" s="3">
        <f t="shared" ref="L1091:L1111" si="17">B1091-2014</f>
        <v>4</v>
      </c>
      <c r="M1091">
        <f>VLOOKUP(A1091,Sheet2!$B$2:$E$186,2,FALSE)</f>
        <v>182</v>
      </c>
      <c r="N1091" t="s">
        <v>391</v>
      </c>
      <c r="O1091" t="s">
        <v>392</v>
      </c>
      <c r="P1091">
        <v>0</v>
      </c>
      <c r="Q1091">
        <v>0</v>
      </c>
      <c r="R1091">
        <v>1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1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/>
      <c r="AP1091"/>
      <c r="AQ1091"/>
      <c r="AR1091"/>
      <c r="AS1091"/>
      <c r="AT1091"/>
      <c r="AU1091"/>
    </row>
    <row r="1092" spans="1:47" s="2" customFormat="1" x14ac:dyDescent="0.3">
      <c r="A1092" t="s">
        <v>375</v>
      </c>
      <c r="B1092" s="3">
        <v>2019</v>
      </c>
      <c r="C1092" s="3">
        <v>35234.5078125</v>
      </c>
      <c r="D1092" s="3">
        <v>573928.375</v>
      </c>
      <c r="E1092" s="3">
        <v>6.6574888229370099</v>
      </c>
      <c r="F1092" s="3"/>
      <c r="G1092" s="3"/>
      <c r="H1092" s="3">
        <v>2.96104829758406E-2</v>
      </c>
      <c r="I1092" s="3">
        <v>486.73092293906802</v>
      </c>
      <c r="J1092" s="3">
        <v>1.84298872947693</v>
      </c>
      <c r="K1092" s="3"/>
      <c r="L1092" s="3">
        <f t="shared" si="17"/>
        <v>5</v>
      </c>
      <c r="M1092">
        <f>VLOOKUP(A1092,Sheet2!$B$2:$E$186,2,FALSE)</f>
        <v>182</v>
      </c>
      <c r="N1092" t="s">
        <v>391</v>
      </c>
      <c r="O1092" t="s">
        <v>392</v>
      </c>
      <c r="P1092">
        <v>0</v>
      </c>
      <c r="Q1092">
        <v>0</v>
      </c>
      <c r="R1092">
        <v>1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1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/>
      <c r="AP1092"/>
      <c r="AQ1092"/>
      <c r="AR1092"/>
      <c r="AS1092"/>
      <c r="AT1092"/>
      <c r="AU1092"/>
    </row>
    <row r="1093" spans="1:47" s="2" customFormat="1" x14ac:dyDescent="0.3">
      <c r="A1093" t="s">
        <v>375</v>
      </c>
      <c r="B1093" s="3">
        <v>2020</v>
      </c>
      <c r="C1093" s="3">
        <v>35658.56640625</v>
      </c>
      <c r="D1093" s="3">
        <v>573111.75</v>
      </c>
      <c r="E1093" s="3">
        <v>6.7879896163940403</v>
      </c>
      <c r="F1093" s="3"/>
      <c r="G1093" s="3"/>
      <c r="H1093" s="3">
        <v>2.8930997475981698E-2</v>
      </c>
      <c r="I1093" s="3">
        <v>743.00596435653097</v>
      </c>
      <c r="J1093" s="3">
        <v>1.9052383899688701</v>
      </c>
      <c r="K1093" s="3"/>
      <c r="L1093" s="3">
        <f t="shared" si="17"/>
        <v>6</v>
      </c>
      <c r="M1093">
        <f>VLOOKUP(A1093,Sheet2!$B$2:$E$186,2,FALSE)</f>
        <v>182</v>
      </c>
      <c r="N1093" t="s">
        <v>391</v>
      </c>
      <c r="O1093" t="s">
        <v>392</v>
      </c>
      <c r="P1093">
        <v>0</v>
      </c>
      <c r="Q1093">
        <v>0</v>
      </c>
      <c r="R1093">
        <v>1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1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/>
      <c r="AP1093"/>
      <c r="AQ1093"/>
      <c r="AR1093"/>
      <c r="AS1093"/>
      <c r="AT1093"/>
      <c r="AU1093"/>
    </row>
    <row r="1094" spans="1:47" x14ac:dyDescent="0.3">
      <c r="A1094" t="s">
        <v>377</v>
      </c>
      <c r="B1094" s="3">
        <v>2015</v>
      </c>
      <c r="C1094" s="3">
        <v>764439.1875</v>
      </c>
      <c r="D1094" s="3">
        <v>2721910</v>
      </c>
      <c r="E1094" s="3">
        <v>17.7837219238281</v>
      </c>
      <c r="F1094" s="3">
        <v>0.92788684368133501</v>
      </c>
      <c r="G1094" s="3">
        <v>0.11241235584020599</v>
      </c>
      <c r="H1094" s="3">
        <v>5.2637014538049698E-2</v>
      </c>
      <c r="I1094" s="3">
        <v>12.7589308811644</v>
      </c>
      <c r="J1094" s="3">
        <v>2.60090255737305</v>
      </c>
      <c r="K1094" s="3">
        <v>1.01697933673859</v>
      </c>
      <c r="L1094" s="3">
        <f t="shared" si="17"/>
        <v>1</v>
      </c>
      <c r="M1094">
        <f>VLOOKUP(A1094,Sheet2!$B$2:$E$186,2,FALSE)</f>
        <v>183</v>
      </c>
      <c r="N1094" t="s">
        <v>387</v>
      </c>
      <c r="O1094" t="s">
        <v>404</v>
      </c>
      <c r="P1094">
        <v>0</v>
      </c>
      <c r="Q1094">
        <v>0</v>
      </c>
      <c r="R1094">
        <v>0</v>
      </c>
      <c r="S1094">
        <v>1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1</v>
      </c>
      <c r="AJ1094">
        <v>0</v>
      </c>
      <c r="AK1094">
        <v>0</v>
      </c>
      <c r="AL1094">
        <v>0</v>
      </c>
      <c r="AM1094">
        <v>0</v>
      </c>
      <c r="AN1094">
        <v>0</v>
      </c>
    </row>
    <row r="1095" spans="1:47" x14ac:dyDescent="0.3">
      <c r="A1095" t="s">
        <v>377</v>
      </c>
      <c r="B1095" s="3">
        <v>2016</v>
      </c>
      <c r="C1095" s="3">
        <v>769519.3125</v>
      </c>
      <c r="D1095" s="3">
        <v>2783816.75</v>
      </c>
      <c r="E1095" s="3">
        <v>17.9849662780762</v>
      </c>
      <c r="F1095" s="3">
        <v>0.94938474893570002</v>
      </c>
      <c r="G1095" s="3">
        <v>0.111568808555603</v>
      </c>
      <c r="H1095" s="3">
        <v>5.2738208323717103E-2</v>
      </c>
      <c r="I1095" s="3">
        <v>14.7096108855267</v>
      </c>
      <c r="J1095" s="3">
        <v>2.5945053100585902</v>
      </c>
      <c r="K1095" s="3">
        <v>0.993535697460175</v>
      </c>
      <c r="L1095" s="3">
        <f t="shared" si="17"/>
        <v>2</v>
      </c>
      <c r="M1095">
        <f>VLOOKUP(A1095,Sheet2!$B$2:$E$186,2,FALSE)</f>
        <v>183</v>
      </c>
      <c r="N1095" t="s">
        <v>387</v>
      </c>
      <c r="O1095" t="s">
        <v>404</v>
      </c>
      <c r="P1095">
        <v>0</v>
      </c>
      <c r="Q1095">
        <v>0</v>
      </c>
      <c r="R1095">
        <v>0</v>
      </c>
      <c r="S1095">
        <v>1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1</v>
      </c>
      <c r="AJ1095">
        <v>0</v>
      </c>
      <c r="AK1095">
        <v>0</v>
      </c>
      <c r="AL1095">
        <v>0</v>
      </c>
      <c r="AM1095">
        <v>0</v>
      </c>
      <c r="AN1095">
        <v>0</v>
      </c>
    </row>
    <row r="1096" spans="1:47" x14ac:dyDescent="0.3">
      <c r="A1096" t="s">
        <v>377</v>
      </c>
      <c r="B1096" s="3">
        <v>2017</v>
      </c>
      <c r="C1096" s="3">
        <v>778429.875</v>
      </c>
      <c r="D1096" s="3">
        <v>2837540</v>
      </c>
      <c r="E1096" s="3">
        <v>18.302841186523398</v>
      </c>
      <c r="F1096" s="3">
        <v>0.96671813726425204</v>
      </c>
      <c r="G1096" s="3">
        <v>0.114150568842888</v>
      </c>
      <c r="H1096" s="3">
        <v>5.2618056535720797E-2</v>
      </c>
      <c r="I1096" s="3">
        <v>13.3238014244992</v>
      </c>
      <c r="J1096" s="3">
        <v>2.58812355995178</v>
      </c>
      <c r="K1096" s="3">
        <v>0.998085737228394</v>
      </c>
      <c r="L1096" s="3">
        <f t="shared" si="17"/>
        <v>3</v>
      </c>
      <c r="M1096">
        <f>VLOOKUP(A1096,Sheet2!$B$2:$E$186,2,FALSE)</f>
        <v>183</v>
      </c>
      <c r="N1096" t="s">
        <v>387</v>
      </c>
      <c r="O1096" t="s">
        <v>404</v>
      </c>
      <c r="P1096">
        <v>0</v>
      </c>
      <c r="Q1096">
        <v>0</v>
      </c>
      <c r="R1096">
        <v>0</v>
      </c>
      <c r="S1096">
        <v>1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1</v>
      </c>
      <c r="AJ1096">
        <v>0</v>
      </c>
      <c r="AK1096">
        <v>0</v>
      </c>
      <c r="AL1096">
        <v>0</v>
      </c>
      <c r="AM1096">
        <v>0</v>
      </c>
      <c r="AN1096">
        <v>0</v>
      </c>
    </row>
    <row r="1097" spans="1:47" x14ac:dyDescent="0.3">
      <c r="A1097" t="s">
        <v>377</v>
      </c>
      <c r="B1097" s="3">
        <v>2018</v>
      </c>
      <c r="C1097" s="3">
        <v>790548.375</v>
      </c>
      <c r="D1097" s="3">
        <v>2886862.25</v>
      </c>
      <c r="E1097" s="3">
        <v>18.686359405517599</v>
      </c>
      <c r="F1097" s="3">
        <v>0.98221361637115501</v>
      </c>
      <c r="G1097" s="3">
        <v>0.115218102931976</v>
      </c>
      <c r="H1097" s="3">
        <v>5.2402205765247303E-2</v>
      </c>
      <c r="I1097" s="3">
        <v>13.233926471583301</v>
      </c>
      <c r="J1097" s="3">
        <v>2.6767151355743399</v>
      </c>
      <c r="K1097" s="3">
        <v>0.981492400169373</v>
      </c>
      <c r="L1097" s="3">
        <f t="shared" si="17"/>
        <v>4</v>
      </c>
      <c r="M1097">
        <f>VLOOKUP(A1097,Sheet2!$B$2:$E$186,2,FALSE)</f>
        <v>183</v>
      </c>
      <c r="N1097" t="s">
        <v>387</v>
      </c>
      <c r="O1097" t="s">
        <v>404</v>
      </c>
      <c r="P1097">
        <v>0</v>
      </c>
      <c r="Q1097">
        <v>0</v>
      </c>
      <c r="R1097">
        <v>0</v>
      </c>
      <c r="S1097">
        <v>1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1</v>
      </c>
      <c r="AJ1097">
        <v>0</v>
      </c>
      <c r="AK1097">
        <v>0</v>
      </c>
      <c r="AL1097">
        <v>0</v>
      </c>
      <c r="AM1097">
        <v>0</v>
      </c>
      <c r="AN1097">
        <v>0</v>
      </c>
    </row>
    <row r="1098" spans="1:47" x14ac:dyDescent="0.3">
      <c r="A1098" t="s">
        <v>377</v>
      </c>
      <c r="B1098" s="3">
        <v>2019</v>
      </c>
      <c r="C1098" s="3">
        <v>792603.3125</v>
      </c>
      <c r="D1098" s="3">
        <v>2931175.25</v>
      </c>
      <c r="E1098" s="3">
        <v>18.642726898193398</v>
      </c>
      <c r="F1098" s="3">
        <v>0.99633204936981201</v>
      </c>
      <c r="G1098" s="3">
        <v>0.11695159971714</v>
      </c>
      <c r="H1098" s="3">
        <v>5.2202105522155803E-2</v>
      </c>
      <c r="I1098" s="3">
        <v>14.448427054833299</v>
      </c>
      <c r="J1098" s="3">
        <v>2.76833891868591</v>
      </c>
      <c r="K1098" s="3">
        <v>0.96518403291702304</v>
      </c>
      <c r="L1098" s="3">
        <f t="shared" si="17"/>
        <v>5</v>
      </c>
      <c r="M1098">
        <f>VLOOKUP(A1098,Sheet2!$B$2:$E$186,2,FALSE)</f>
        <v>183</v>
      </c>
      <c r="N1098" t="s">
        <v>387</v>
      </c>
      <c r="O1098" t="s">
        <v>404</v>
      </c>
      <c r="P1098">
        <v>0</v>
      </c>
      <c r="Q1098">
        <v>0</v>
      </c>
      <c r="R1098">
        <v>0</v>
      </c>
      <c r="S1098">
        <v>1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1</v>
      </c>
      <c r="AJ1098">
        <v>0</v>
      </c>
      <c r="AK1098">
        <v>0</v>
      </c>
      <c r="AL1098">
        <v>0</v>
      </c>
      <c r="AM1098">
        <v>0</v>
      </c>
      <c r="AN1098">
        <v>0</v>
      </c>
    </row>
    <row r="1099" spans="1:47" x14ac:dyDescent="0.3">
      <c r="A1099" t="s">
        <v>377</v>
      </c>
      <c r="B1099" s="3">
        <v>2020</v>
      </c>
      <c r="C1099" s="3">
        <v>745337.4375</v>
      </c>
      <c r="D1099" s="3">
        <v>2946116.25</v>
      </c>
      <c r="E1099" s="3">
        <v>17.160947799682599</v>
      </c>
      <c r="F1099" s="3">
        <v>0.99678558111190796</v>
      </c>
      <c r="G1099" s="3">
        <v>0.109825775027275</v>
      </c>
      <c r="H1099" s="3">
        <v>5.1751699298620203E-2</v>
      </c>
      <c r="I1099" s="3">
        <v>16.459105390333299</v>
      </c>
      <c r="J1099" s="3">
        <v>2.6475274562835698</v>
      </c>
      <c r="K1099" s="3">
        <v>0.99412900209426902</v>
      </c>
      <c r="L1099" s="3">
        <f t="shared" si="17"/>
        <v>6</v>
      </c>
      <c r="M1099">
        <f>VLOOKUP(A1099,Sheet2!$B$2:$E$186,2,FALSE)</f>
        <v>183</v>
      </c>
      <c r="N1099" t="s">
        <v>387</v>
      </c>
      <c r="O1099" t="s">
        <v>404</v>
      </c>
      <c r="P1099">
        <v>0</v>
      </c>
      <c r="Q1099">
        <v>0</v>
      </c>
      <c r="R1099">
        <v>0</v>
      </c>
      <c r="S1099">
        <v>1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1</v>
      </c>
      <c r="AJ1099">
        <v>0</v>
      </c>
      <c r="AK1099">
        <v>0</v>
      </c>
      <c r="AL1099">
        <v>0</v>
      </c>
      <c r="AM1099">
        <v>0</v>
      </c>
      <c r="AN1099">
        <v>0</v>
      </c>
    </row>
    <row r="1100" spans="1:47" x14ac:dyDescent="0.3">
      <c r="A1100" t="s">
        <v>379</v>
      </c>
      <c r="B1100" s="3">
        <v>2015</v>
      </c>
      <c r="C1100" s="3">
        <v>52587.50390625</v>
      </c>
      <c r="D1100" s="3">
        <v>188430.46875</v>
      </c>
      <c r="E1100" s="3">
        <v>4.6670494079589799</v>
      </c>
      <c r="F1100" s="3">
        <v>0.750607550144196</v>
      </c>
      <c r="G1100" s="3">
        <v>0.112416930496693</v>
      </c>
      <c r="H1100" s="3">
        <v>4.4634152203798301E-2</v>
      </c>
      <c r="I1100" s="3">
        <v>8.6316666666666695</v>
      </c>
      <c r="J1100" s="3">
        <v>2.50179147720337</v>
      </c>
      <c r="K1100" s="3">
        <v>1.5909522771835301</v>
      </c>
      <c r="L1100" s="3">
        <f t="shared" si="17"/>
        <v>1</v>
      </c>
      <c r="M1100">
        <f>VLOOKUP(A1100,Sheet2!$B$2:$E$186,2,FALSE)</f>
        <v>184</v>
      </c>
      <c r="N1100" t="s">
        <v>387</v>
      </c>
      <c r="O1100" t="s">
        <v>397</v>
      </c>
      <c r="P1100">
        <v>0</v>
      </c>
      <c r="Q1100">
        <v>0</v>
      </c>
      <c r="R1100">
        <v>0</v>
      </c>
      <c r="S1100">
        <v>1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1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</row>
    <row r="1101" spans="1:47" x14ac:dyDescent="0.3">
      <c r="A1101" t="s">
        <v>379</v>
      </c>
      <c r="B1101" s="3">
        <v>2016</v>
      </c>
      <c r="C1101" s="3">
        <v>54573.61328125</v>
      </c>
      <c r="D1101" s="3">
        <v>201667.546875</v>
      </c>
      <c r="E1101" s="3">
        <v>4.91513967514038</v>
      </c>
      <c r="F1101" s="3">
        <v>0.80201119184493996</v>
      </c>
      <c r="G1101" s="3">
        <v>0.11179676651954699</v>
      </c>
      <c r="H1101" s="3">
        <v>4.4659037142991999E-2</v>
      </c>
      <c r="I1101" s="3">
        <v>10.307499999999999</v>
      </c>
      <c r="J1101" s="3">
        <v>2.5612146854400599</v>
      </c>
      <c r="K1101" s="3">
        <v>1.4434723854064899</v>
      </c>
      <c r="L1101" s="3">
        <f t="shared" si="17"/>
        <v>2</v>
      </c>
      <c r="M1101">
        <f>VLOOKUP(A1101,Sheet2!$B$2:$E$186,2,FALSE)</f>
        <v>184</v>
      </c>
      <c r="N1101" t="s">
        <v>387</v>
      </c>
      <c r="O1101" t="s">
        <v>397</v>
      </c>
      <c r="P1101">
        <v>0</v>
      </c>
      <c r="Q1101">
        <v>0</v>
      </c>
      <c r="R1101">
        <v>0</v>
      </c>
      <c r="S1101">
        <v>1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1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</row>
    <row r="1102" spans="1:47" x14ac:dyDescent="0.3">
      <c r="A1102" t="s">
        <v>379</v>
      </c>
      <c r="B1102" s="3">
        <v>2017</v>
      </c>
      <c r="C1102" s="3">
        <v>56486.0546875</v>
      </c>
      <c r="D1102" s="3">
        <v>216337.90625</v>
      </c>
      <c r="E1102" s="3">
        <v>5.0090298652648899</v>
      </c>
      <c r="F1102" s="3">
        <v>0.86093997955322299</v>
      </c>
      <c r="G1102" s="3">
        <v>0.122266314923763</v>
      </c>
      <c r="H1102" s="3">
        <v>4.4001169502735103E-2</v>
      </c>
      <c r="I1102" s="3">
        <v>9.5175000000000001</v>
      </c>
      <c r="J1102" s="3">
        <v>2.6024248600006099</v>
      </c>
      <c r="K1102" s="3">
        <v>1.3822221755981401</v>
      </c>
      <c r="L1102" s="3">
        <f t="shared" si="17"/>
        <v>3</v>
      </c>
      <c r="M1102">
        <f>VLOOKUP(A1102,Sheet2!$B$2:$E$186,2,FALSE)</f>
        <v>184</v>
      </c>
      <c r="N1102" t="s">
        <v>387</v>
      </c>
      <c r="O1102" t="s">
        <v>397</v>
      </c>
      <c r="P1102">
        <v>0</v>
      </c>
      <c r="Q1102">
        <v>0</v>
      </c>
      <c r="R1102">
        <v>0</v>
      </c>
      <c r="S1102">
        <v>1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1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</row>
    <row r="1103" spans="1:47" x14ac:dyDescent="0.3">
      <c r="A1103" t="s">
        <v>379</v>
      </c>
      <c r="B1103" s="3">
        <v>2018</v>
      </c>
      <c r="C1103" s="3">
        <v>58765.1640625</v>
      </c>
      <c r="D1103" s="3">
        <v>229181.265625</v>
      </c>
      <c r="E1103" s="3">
        <v>5.0329914093017596</v>
      </c>
      <c r="F1103" s="3">
        <v>0.913674175739288</v>
      </c>
      <c r="G1103" s="3">
        <v>9.9405638873577104E-2</v>
      </c>
      <c r="H1103" s="3">
        <v>4.3643776327371597E-2</v>
      </c>
      <c r="I1103" s="3">
        <v>10.4583333333333</v>
      </c>
      <c r="J1103" s="3">
        <v>2.64429807662964</v>
      </c>
      <c r="K1103" s="3">
        <v>1.3035690784454299</v>
      </c>
      <c r="L1103" s="3">
        <f t="shared" si="17"/>
        <v>4</v>
      </c>
      <c r="M1103">
        <f>VLOOKUP(A1103,Sheet2!$B$2:$E$186,2,FALSE)</f>
        <v>184</v>
      </c>
      <c r="N1103" t="s">
        <v>387</v>
      </c>
      <c r="O1103" t="s">
        <v>397</v>
      </c>
      <c r="P1103">
        <v>0</v>
      </c>
      <c r="Q1103">
        <v>0</v>
      </c>
      <c r="R1103">
        <v>0</v>
      </c>
      <c r="S1103">
        <v>1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</row>
    <row r="1104" spans="1:47" x14ac:dyDescent="0.3">
      <c r="A1104" t="s">
        <v>379</v>
      </c>
      <c r="B1104" s="3">
        <v>2019</v>
      </c>
      <c r="C1104" s="3">
        <v>59612.1484375</v>
      </c>
      <c r="D1104" s="3">
        <v>242503.796875</v>
      </c>
      <c r="E1104" s="3">
        <v>5.2156519889831499</v>
      </c>
      <c r="F1104" s="3">
        <v>0.95775401592254605</v>
      </c>
      <c r="G1104" s="3">
        <v>8.2946196198463398E-2</v>
      </c>
      <c r="H1104" s="3">
        <v>4.2792446911334998E-2</v>
      </c>
      <c r="I1104" s="3">
        <v>12.89</v>
      </c>
      <c r="J1104" s="3">
        <v>2.6868450641632098</v>
      </c>
      <c r="K1104" s="3">
        <v>1.2636010646820099</v>
      </c>
      <c r="L1104" s="3">
        <f t="shared" si="17"/>
        <v>5</v>
      </c>
      <c r="M1104">
        <f>VLOOKUP(A1104,Sheet2!$B$2:$E$186,2,FALSE)</f>
        <v>184</v>
      </c>
      <c r="N1104" t="s">
        <v>387</v>
      </c>
      <c r="O1104" t="s">
        <v>397</v>
      </c>
      <c r="P1104">
        <v>0</v>
      </c>
      <c r="Q1104">
        <v>0</v>
      </c>
      <c r="R1104">
        <v>0</v>
      </c>
      <c r="S1104">
        <v>1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1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</row>
    <row r="1105" spans="1:40" x14ac:dyDescent="0.3">
      <c r="A1105" t="s">
        <v>379</v>
      </c>
      <c r="B1105" s="3">
        <v>2020</v>
      </c>
      <c r="C1105" s="3">
        <v>57951.91015625</v>
      </c>
      <c r="D1105" s="3">
        <v>251450.796875</v>
      </c>
      <c r="E1105" s="3">
        <v>5.4152040481567401</v>
      </c>
      <c r="F1105" s="3">
        <v>0.97626900672912598</v>
      </c>
      <c r="G1105" s="3">
        <v>9.0077280998229994E-2</v>
      </c>
      <c r="H1105" s="3">
        <v>4.1056804358959198E-2</v>
      </c>
      <c r="I1105" s="3">
        <v>18.344092645337899</v>
      </c>
      <c r="J1105" s="3">
        <v>2.7300765514373802</v>
      </c>
      <c r="K1105" s="3">
        <v>1.0283637046814</v>
      </c>
      <c r="L1105" s="3">
        <f t="shared" si="17"/>
        <v>6</v>
      </c>
      <c r="M1105">
        <f>VLOOKUP(A1105,Sheet2!$B$2:$E$186,2,FALSE)</f>
        <v>184</v>
      </c>
      <c r="N1105" t="s">
        <v>387</v>
      </c>
      <c r="O1105" t="s">
        <v>397</v>
      </c>
      <c r="P1105">
        <v>0</v>
      </c>
      <c r="Q1105">
        <v>0</v>
      </c>
      <c r="R1105">
        <v>0</v>
      </c>
      <c r="S1105">
        <v>1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1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</row>
    <row r="1106" spans="1:40" x14ac:dyDescent="0.3">
      <c r="A1106" t="s">
        <v>380</v>
      </c>
      <c r="B1106" s="3">
        <v>2015</v>
      </c>
      <c r="C1106" s="3">
        <v>42852.59765625</v>
      </c>
      <c r="D1106" s="3">
        <v>95989.46875</v>
      </c>
      <c r="E1106" s="3">
        <v>5.1674432754516602</v>
      </c>
      <c r="F1106" s="3">
        <v>0.850613594055176</v>
      </c>
      <c r="G1106" s="3">
        <v>0.31203895807266202</v>
      </c>
      <c r="H1106" s="3">
        <v>5.4976869374513598E-2</v>
      </c>
      <c r="I1106" s="3">
        <v>1</v>
      </c>
      <c r="J1106" s="3">
        <v>2.5846531391143799</v>
      </c>
      <c r="K1106" s="3">
        <v>1.2179713249206501</v>
      </c>
      <c r="L1106" s="3">
        <f t="shared" si="17"/>
        <v>1</v>
      </c>
      <c r="M1106">
        <f>VLOOKUP(A1106,Sheet2!$B$2:$E$186,2,FALSE)</f>
        <v>185</v>
      </c>
      <c r="N1106" t="s">
        <v>387</v>
      </c>
      <c r="O1106" t="s">
        <v>397</v>
      </c>
      <c r="P1106">
        <v>0</v>
      </c>
      <c r="Q1106">
        <v>0</v>
      </c>
      <c r="R1106">
        <v>0</v>
      </c>
      <c r="S1106">
        <v>1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1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</row>
    <row r="1107" spans="1:40" x14ac:dyDescent="0.3">
      <c r="A1107" t="s">
        <v>380</v>
      </c>
      <c r="B1107" s="3">
        <v>2016</v>
      </c>
      <c r="C1107" s="3">
        <v>43176.5078125</v>
      </c>
      <c r="D1107" s="3">
        <v>98886.6796875</v>
      </c>
      <c r="E1107" s="3">
        <v>5.1852211952209499</v>
      </c>
      <c r="F1107" s="3">
        <v>0.88082194328308105</v>
      </c>
      <c r="G1107" s="3">
        <v>0.31356769800186202</v>
      </c>
      <c r="H1107" s="3">
        <v>5.6414194405078902E-2</v>
      </c>
      <c r="I1107" s="3">
        <v>1</v>
      </c>
      <c r="J1107" s="3">
        <v>2.6162574291229301</v>
      </c>
      <c r="K1107" s="3">
        <v>1.1169236898422199</v>
      </c>
      <c r="L1107" s="3">
        <f t="shared" si="17"/>
        <v>2</v>
      </c>
      <c r="M1107">
        <f>VLOOKUP(A1107,Sheet2!$B$2:$E$186,2,FALSE)</f>
        <v>185</v>
      </c>
      <c r="N1107" t="s">
        <v>387</v>
      </c>
      <c r="O1107" t="s">
        <v>397</v>
      </c>
      <c r="P1107">
        <v>0</v>
      </c>
      <c r="Q1107">
        <v>0</v>
      </c>
      <c r="R1107">
        <v>0</v>
      </c>
      <c r="S1107">
        <v>1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1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</row>
    <row r="1108" spans="1:40" x14ac:dyDescent="0.3">
      <c r="A1108" t="s">
        <v>380</v>
      </c>
      <c r="B1108" s="3">
        <v>2017</v>
      </c>
      <c r="C1108" s="3">
        <v>45207.55078125</v>
      </c>
      <c r="D1108" s="3">
        <v>102027.7109375</v>
      </c>
      <c r="E1108" s="3">
        <v>5.2046403884887704</v>
      </c>
      <c r="F1108" s="3">
        <v>0.91513937711715698</v>
      </c>
      <c r="G1108" s="3">
        <v>0.26974886655807501</v>
      </c>
      <c r="H1108" s="3">
        <v>5.77452965080738E-2</v>
      </c>
      <c r="I1108" s="3">
        <v>1</v>
      </c>
      <c r="J1108" s="3">
        <v>2.6482479572296098</v>
      </c>
      <c r="K1108" s="3">
        <v>1.1253473758697501</v>
      </c>
      <c r="L1108" s="3">
        <f t="shared" si="17"/>
        <v>3</v>
      </c>
      <c r="M1108">
        <f>VLOOKUP(A1108,Sheet2!$B$2:$E$186,2,FALSE)</f>
        <v>185</v>
      </c>
      <c r="N1108" t="s">
        <v>387</v>
      </c>
      <c r="O1108" t="s">
        <v>397</v>
      </c>
      <c r="P1108">
        <v>0</v>
      </c>
      <c r="Q1108">
        <v>0</v>
      </c>
      <c r="R1108">
        <v>0</v>
      </c>
      <c r="S1108">
        <v>1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1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</row>
    <row r="1109" spans="1:40" x14ac:dyDescent="0.3">
      <c r="A1109" t="s">
        <v>380</v>
      </c>
      <c r="B1109" s="3">
        <v>2018</v>
      </c>
      <c r="C1109" s="3">
        <v>47332.3046875</v>
      </c>
      <c r="D1109" s="3">
        <v>105167.1875</v>
      </c>
      <c r="E1109" s="3">
        <v>5.2359590530395499</v>
      </c>
      <c r="F1109" s="3">
        <v>0.94829261302947998</v>
      </c>
      <c r="G1109" s="3">
        <v>0.28430929780006398</v>
      </c>
      <c r="H1109" s="3">
        <v>5.9022936969995499E-2</v>
      </c>
      <c r="I1109" s="3">
        <v>1</v>
      </c>
      <c r="J1109" s="3">
        <v>2.6806297302246098</v>
      </c>
      <c r="K1109" s="3">
        <v>1.10452020168304</v>
      </c>
      <c r="L1109" s="3">
        <f t="shared" si="17"/>
        <v>4</v>
      </c>
      <c r="M1109">
        <f>VLOOKUP(A1109,Sheet2!$B$2:$E$186,2,FALSE)</f>
        <v>185</v>
      </c>
      <c r="N1109" t="s">
        <v>387</v>
      </c>
      <c r="O1109" t="s">
        <v>397</v>
      </c>
      <c r="P1109">
        <v>0</v>
      </c>
      <c r="Q1109">
        <v>0</v>
      </c>
      <c r="R1109">
        <v>0</v>
      </c>
      <c r="S1109">
        <v>1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1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</row>
    <row r="1110" spans="1:40" x14ac:dyDescent="0.3">
      <c r="A1110" t="s">
        <v>380</v>
      </c>
      <c r="B1110" s="3">
        <v>2019</v>
      </c>
      <c r="C1110" s="3">
        <v>44445.03125</v>
      </c>
      <c r="D1110" s="3">
        <v>107682.1484375</v>
      </c>
      <c r="E1110" s="3">
        <v>5.2723431587219203</v>
      </c>
      <c r="F1110" s="3">
        <v>0.97279685735702504</v>
      </c>
      <c r="G1110" s="3">
        <v>0.27597683668136602</v>
      </c>
      <c r="H1110" s="3">
        <v>5.9922710061073303E-2</v>
      </c>
      <c r="I1110" s="3">
        <v>1</v>
      </c>
      <c r="J1110" s="3">
        <v>2.71340751647949</v>
      </c>
      <c r="K1110" s="3">
        <v>0.975594341754913</v>
      </c>
      <c r="L1110" s="3">
        <f t="shared" si="17"/>
        <v>5</v>
      </c>
      <c r="M1110">
        <f>VLOOKUP(A1110,Sheet2!$B$2:$E$186,2,FALSE)</f>
        <v>185</v>
      </c>
      <c r="N1110" t="s">
        <v>387</v>
      </c>
      <c r="O1110" t="s">
        <v>397</v>
      </c>
      <c r="P1110">
        <v>0</v>
      </c>
      <c r="Q1110">
        <v>0</v>
      </c>
      <c r="R1110">
        <v>0</v>
      </c>
      <c r="S1110">
        <v>1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1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</row>
    <row r="1111" spans="1:40" x14ac:dyDescent="0.3">
      <c r="A1111" t="s">
        <v>380</v>
      </c>
      <c r="B1111" s="3">
        <v>2020</v>
      </c>
      <c r="C1111" s="3">
        <v>40970.78515625</v>
      </c>
      <c r="D1111" s="3">
        <v>109248.2890625</v>
      </c>
      <c r="E1111" s="3">
        <v>5.2060074806213397</v>
      </c>
      <c r="F1111" s="3">
        <v>0.98581022024154696</v>
      </c>
      <c r="G1111" s="3">
        <v>0.26375961303710899</v>
      </c>
      <c r="H1111" s="3">
        <v>6.0207620263099698E-2</v>
      </c>
      <c r="I1111" s="3">
        <v>1</v>
      </c>
      <c r="J1111" s="3">
        <v>2.7465860843658398</v>
      </c>
      <c r="K1111" s="3">
        <v>0.92689752578735396</v>
      </c>
      <c r="L1111" s="3">
        <f t="shared" si="17"/>
        <v>6</v>
      </c>
      <c r="M1111">
        <f>VLOOKUP(A1111,Sheet2!$B$2:$E$186,2,FALSE)</f>
        <v>185</v>
      </c>
      <c r="N1111" t="s">
        <v>387</v>
      </c>
      <c r="O1111" t="s">
        <v>397</v>
      </c>
      <c r="P1111">
        <v>0</v>
      </c>
      <c r="Q1111">
        <v>0</v>
      </c>
      <c r="R1111">
        <v>0</v>
      </c>
      <c r="S1111">
        <v>1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1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</row>
  </sheetData>
  <autoFilter ref="A1:E1111" xr:uid="{5825894D-B649-4B5E-B632-76B906CDE757}"/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2F41B-581D-4047-8F94-C09A4105F2AE}">
  <dimension ref="B1:I186"/>
  <sheetViews>
    <sheetView workbookViewId="0">
      <selection activeCell="I4" sqref="I4:I23"/>
    </sheetView>
  </sheetViews>
  <sheetFormatPr defaultRowHeight="14.4" x14ac:dyDescent="0.3"/>
  <sheetData>
    <row r="1" spans="2:9" x14ac:dyDescent="0.3">
      <c r="B1" t="s">
        <v>410</v>
      </c>
      <c r="D1" t="s">
        <v>383</v>
      </c>
      <c r="E1" t="s">
        <v>384</v>
      </c>
    </row>
    <row r="2" spans="2:9" x14ac:dyDescent="0.3">
      <c r="B2" t="s">
        <v>48</v>
      </c>
      <c r="C2">
        <v>1</v>
      </c>
      <c r="D2" t="s">
        <v>385</v>
      </c>
      <c r="E2" t="s">
        <v>386</v>
      </c>
    </row>
    <row r="3" spans="2:9" x14ac:dyDescent="0.3">
      <c r="B3" t="s">
        <v>55</v>
      </c>
      <c r="C3">
        <v>2</v>
      </c>
      <c r="D3" t="s">
        <v>387</v>
      </c>
      <c r="E3" t="s">
        <v>388</v>
      </c>
      <c r="I3" t="s">
        <v>384</v>
      </c>
    </row>
    <row r="4" spans="2:9" x14ac:dyDescent="0.3">
      <c r="B4" t="s">
        <v>57</v>
      </c>
      <c r="C4">
        <v>3</v>
      </c>
      <c r="D4" t="s">
        <v>385</v>
      </c>
      <c r="E4" t="s">
        <v>386</v>
      </c>
      <c r="I4" t="s">
        <v>386</v>
      </c>
    </row>
    <row r="5" spans="2:9" x14ac:dyDescent="0.3">
      <c r="B5" t="s">
        <v>59</v>
      </c>
      <c r="C5">
        <v>4</v>
      </c>
      <c r="D5" t="s">
        <v>389</v>
      </c>
      <c r="E5" t="s">
        <v>390</v>
      </c>
      <c r="I5" t="s">
        <v>388</v>
      </c>
    </row>
    <row r="6" spans="2:9" x14ac:dyDescent="0.3">
      <c r="B6" t="s">
        <v>63</v>
      </c>
      <c r="C6">
        <v>5</v>
      </c>
      <c r="D6" t="s">
        <v>391</v>
      </c>
      <c r="E6" t="s">
        <v>392</v>
      </c>
      <c r="I6" t="s">
        <v>390</v>
      </c>
    </row>
    <row r="7" spans="2:9" x14ac:dyDescent="0.3">
      <c r="B7" t="s">
        <v>65</v>
      </c>
      <c r="C7">
        <v>6</v>
      </c>
      <c r="D7" t="s">
        <v>385</v>
      </c>
      <c r="E7" t="s">
        <v>393</v>
      </c>
      <c r="I7" t="s">
        <v>392</v>
      </c>
    </row>
    <row r="8" spans="2:9" x14ac:dyDescent="0.3">
      <c r="B8" t="s">
        <v>68</v>
      </c>
      <c r="C8">
        <v>7</v>
      </c>
      <c r="D8" t="s">
        <v>391</v>
      </c>
      <c r="E8" t="s">
        <v>392</v>
      </c>
      <c r="I8" t="s">
        <v>393</v>
      </c>
    </row>
    <row r="9" spans="2:9" x14ac:dyDescent="0.3">
      <c r="B9" t="s">
        <v>70</v>
      </c>
      <c r="C9">
        <v>8</v>
      </c>
      <c r="D9" t="s">
        <v>385</v>
      </c>
      <c r="E9" t="s">
        <v>386</v>
      </c>
      <c r="I9" t="s">
        <v>395</v>
      </c>
    </row>
    <row r="10" spans="2:9" x14ac:dyDescent="0.3">
      <c r="B10" t="s">
        <v>71</v>
      </c>
      <c r="C10">
        <v>9</v>
      </c>
      <c r="D10" t="s">
        <v>394</v>
      </c>
      <c r="E10" t="s">
        <v>395</v>
      </c>
      <c r="I10" t="s">
        <v>396</v>
      </c>
    </row>
    <row r="11" spans="2:9" x14ac:dyDescent="0.3">
      <c r="B11" t="s">
        <v>73</v>
      </c>
      <c r="C11">
        <v>10</v>
      </c>
      <c r="D11" t="s">
        <v>389</v>
      </c>
      <c r="E11" t="s">
        <v>396</v>
      </c>
      <c r="I11" t="s">
        <v>397</v>
      </c>
    </row>
    <row r="12" spans="2:9" x14ac:dyDescent="0.3">
      <c r="B12" t="s">
        <v>75</v>
      </c>
      <c r="C12">
        <v>11</v>
      </c>
      <c r="D12" t="s">
        <v>391</v>
      </c>
      <c r="E12" t="s">
        <v>392</v>
      </c>
      <c r="I12" t="s">
        <v>398</v>
      </c>
    </row>
    <row r="13" spans="2:9" x14ac:dyDescent="0.3">
      <c r="B13" t="s">
        <v>77</v>
      </c>
      <c r="C13">
        <v>12</v>
      </c>
      <c r="D13" t="s">
        <v>387</v>
      </c>
      <c r="E13" t="s">
        <v>397</v>
      </c>
      <c r="I13" t="s">
        <v>399</v>
      </c>
    </row>
    <row r="14" spans="2:9" x14ac:dyDescent="0.3">
      <c r="B14" t="s">
        <v>80</v>
      </c>
      <c r="C14">
        <v>13</v>
      </c>
      <c r="D14" s="2" t="s">
        <v>389</v>
      </c>
      <c r="E14" s="2" t="s">
        <v>396</v>
      </c>
      <c r="I14" t="s">
        <v>400</v>
      </c>
    </row>
    <row r="15" spans="2:9" x14ac:dyDescent="0.3">
      <c r="B15" t="s">
        <v>81</v>
      </c>
      <c r="C15">
        <v>14</v>
      </c>
      <c r="D15" s="2" t="s">
        <v>387</v>
      </c>
      <c r="E15" s="2" t="s">
        <v>398</v>
      </c>
      <c r="I15" t="s">
        <v>401</v>
      </c>
    </row>
    <row r="16" spans="2:9" x14ac:dyDescent="0.3">
      <c r="B16" t="s">
        <v>83</v>
      </c>
      <c r="C16">
        <v>15</v>
      </c>
      <c r="D16" s="2" t="s">
        <v>387</v>
      </c>
      <c r="E16" s="2" t="s">
        <v>398</v>
      </c>
      <c r="I16" t="s">
        <v>402</v>
      </c>
    </row>
    <row r="17" spans="2:9" x14ac:dyDescent="0.3">
      <c r="B17" t="s">
        <v>84</v>
      </c>
      <c r="C17">
        <v>16</v>
      </c>
      <c r="D17" s="2" t="s">
        <v>391</v>
      </c>
      <c r="E17" s="2" t="s">
        <v>399</v>
      </c>
      <c r="I17" t="s">
        <v>403</v>
      </c>
    </row>
    <row r="18" spans="2:9" x14ac:dyDescent="0.3">
      <c r="B18" t="s">
        <v>86</v>
      </c>
      <c r="C18">
        <v>17</v>
      </c>
      <c r="D18" s="2" t="s">
        <v>389</v>
      </c>
      <c r="E18" s="2" t="s">
        <v>400</v>
      </c>
      <c r="I18" t="s">
        <v>404</v>
      </c>
    </row>
    <row r="19" spans="2:9" x14ac:dyDescent="0.3">
      <c r="B19" t="s">
        <v>88</v>
      </c>
      <c r="C19">
        <v>18</v>
      </c>
      <c r="D19" s="2" t="s">
        <v>391</v>
      </c>
      <c r="E19" s="2" t="s">
        <v>392</v>
      </c>
      <c r="I19" t="s">
        <v>405</v>
      </c>
    </row>
    <row r="20" spans="2:9" x14ac:dyDescent="0.3">
      <c r="B20" t="s">
        <v>90</v>
      </c>
      <c r="C20">
        <v>19</v>
      </c>
      <c r="D20" t="s">
        <v>385</v>
      </c>
      <c r="E20" t="s">
        <v>386</v>
      </c>
      <c r="I20" t="s">
        <v>406</v>
      </c>
    </row>
    <row r="21" spans="2:9" x14ac:dyDescent="0.3">
      <c r="B21" t="s">
        <v>92</v>
      </c>
      <c r="C21">
        <v>20</v>
      </c>
      <c r="D21" t="s">
        <v>389</v>
      </c>
      <c r="E21" t="s">
        <v>390</v>
      </c>
      <c r="I21" t="s">
        <v>407</v>
      </c>
    </row>
    <row r="22" spans="2:9" x14ac:dyDescent="0.3">
      <c r="B22" t="s">
        <v>94</v>
      </c>
      <c r="C22">
        <v>21</v>
      </c>
      <c r="D22" t="s">
        <v>389</v>
      </c>
      <c r="E22" t="s">
        <v>400</v>
      </c>
      <c r="I22" t="s">
        <v>408</v>
      </c>
    </row>
    <row r="23" spans="2:9" x14ac:dyDescent="0.3">
      <c r="B23" t="s">
        <v>96</v>
      </c>
      <c r="C23">
        <v>22</v>
      </c>
      <c r="D23" t="s">
        <v>385</v>
      </c>
      <c r="E23" t="s">
        <v>401</v>
      </c>
      <c r="I23" t="s">
        <v>409</v>
      </c>
    </row>
    <row r="24" spans="2:9" x14ac:dyDescent="0.3">
      <c r="B24" t="s">
        <v>98</v>
      </c>
      <c r="C24">
        <v>23</v>
      </c>
      <c r="D24" t="s">
        <v>385</v>
      </c>
      <c r="E24" t="s">
        <v>402</v>
      </c>
    </row>
    <row r="25" spans="2:9" x14ac:dyDescent="0.3">
      <c r="B25" t="s">
        <v>100</v>
      </c>
      <c r="C25">
        <v>24</v>
      </c>
      <c r="D25" t="s">
        <v>385</v>
      </c>
      <c r="E25" t="s">
        <v>393</v>
      </c>
    </row>
    <row r="26" spans="2:9" x14ac:dyDescent="0.3">
      <c r="B26" t="s">
        <v>102</v>
      </c>
      <c r="C26">
        <v>25</v>
      </c>
      <c r="D26" s="2" t="s">
        <v>385</v>
      </c>
      <c r="E26" s="2" t="s">
        <v>393</v>
      </c>
    </row>
    <row r="27" spans="2:9" x14ac:dyDescent="0.3">
      <c r="B27" t="s">
        <v>104</v>
      </c>
      <c r="C27">
        <v>26</v>
      </c>
      <c r="D27" s="2" t="s">
        <v>385</v>
      </c>
      <c r="E27" s="2" t="s">
        <v>386</v>
      </c>
    </row>
    <row r="28" spans="2:9" x14ac:dyDescent="0.3">
      <c r="B28" t="s">
        <v>106</v>
      </c>
      <c r="C28">
        <v>27</v>
      </c>
      <c r="D28" s="2" t="s">
        <v>391</v>
      </c>
      <c r="E28" s="2" t="s">
        <v>403</v>
      </c>
    </row>
    <row r="29" spans="2:9" x14ac:dyDescent="0.3">
      <c r="B29" t="s">
        <v>108</v>
      </c>
      <c r="C29">
        <v>28</v>
      </c>
      <c r="D29" s="2" t="s">
        <v>391</v>
      </c>
      <c r="E29" s="2" t="s">
        <v>399</v>
      </c>
    </row>
    <row r="30" spans="2:9" x14ac:dyDescent="0.3">
      <c r="B30" t="s">
        <v>110</v>
      </c>
      <c r="C30">
        <v>29</v>
      </c>
      <c r="D30" s="2" t="s">
        <v>387</v>
      </c>
      <c r="E30" s="2" t="s">
        <v>404</v>
      </c>
    </row>
    <row r="31" spans="2:9" x14ac:dyDescent="0.3">
      <c r="B31" t="s">
        <v>112</v>
      </c>
      <c r="C31">
        <v>30</v>
      </c>
      <c r="D31" s="2" t="s">
        <v>387</v>
      </c>
      <c r="E31" s="2" t="s">
        <v>388</v>
      </c>
    </row>
    <row r="32" spans="2:9" x14ac:dyDescent="0.3">
      <c r="B32" t="s">
        <v>114</v>
      </c>
      <c r="C32">
        <v>31</v>
      </c>
      <c r="D32" t="s">
        <v>385</v>
      </c>
      <c r="E32" t="s">
        <v>402</v>
      </c>
    </row>
    <row r="33" spans="2:5" x14ac:dyDescent="0.3">
      <c r="B33" t="s">
        <v>116</v>
      </c>
      <c r="C33">
        <v>32</v>
      </c>
      <c r="D33" t="s">
        <v>389</v>
      </c>
      <c r="E33" t="s">
        <v>396</v>
      </c>
    </row>
    <row r="34" spans="2:5" x14ac:dyDescent="0.3">
      <c r="B34" t="s">
        <v>118</v>
      </c>
      <c r="C34">
        <v>33</v>
      </c>
      <c r="D34" t="s">
        <v>385</v>
      </c>
      <c r="E34" t="s">
        <v>393</v>
      </c>
    </row>
    <row r="35" spans="2:5" x14ac:dyDescent="0.3">
      <c r="B35" t="s">
        <v>120</v>
      </c>
      <c r="C35">
        <v>34</v>
      </c>
      <c r="D35" t="s">
        <v>391</v>
      </c>
      <c r="E35" t="s">
        <v>405</v>
      </c>
    </row>
    <row r="36" spans="2:5" x14ac:dyDescent="0.3">
      <c r="B36" t="s">
        <v>122</v>
      </c>
      <c r="C36">
        <v>35</v>
      </c>
      <c r="D36" t="s">
        <v>387</v>
      </c>
      <c r="E36" t="s">
        <v>398</v>
      </c>
    </row>
    <row r="37" spans="2:5" x14ac:dyDescent="0.3">
      <c r="B37" t="s">
        <v>123</v>
      </c>
      <c r="C37">
        <v>36</v>
      </c>
      <c r="D37" t="s">
        <v>387</v>
      </c>
      <c r="E37" t="s">
        <v>388</v>
      </c>
    </row>
    <row r="38" spans="2:5" x14ac:dyDescent="0.3">
      <c r="B38" t="s">
        <v>124</v>
      </c>
      <c r="C38">
        <v>37</v>
      </c>
      <c r="D38" t="s">
        <v>387</v>
      </c>
      <c r="E38" t="s">
        <v>388</v>
      </c>
    </row>
    <row r="39" spans="2:5" x14ac:dyDescent="0.3">
      <c r="B39" t="s">
        <v>126</v>
      </c>
      <c r="C39">
        <v>38</v>
      </c>
      <c r="D39" t="s">
        <v>387</v>
      </c>
      <c r="E39" t="s">
        <v>388</v>
      </c>
    </row>
    <row r="40" spans="2:5" x14ac:dyDescent="0.3">
      <c r="B40" t="s">
        <v>127</v>
      </c>
      <c r="C40">
        <v>39</v>
      </c>
      <c r="D40" t="s">
        <v>385</v>
      </c>
      <c r="E40" t="s">
        <v>393</v>
      </c>
    </row>
    <row r="41" spans="2:5" x14ac:dyDescent="0.3">
      <c r="B41" t="s">
        <v>129</v>
      </c>
      <c r="C41">
        <v>40</v>
      </c>
      <c r="D41" t="s">
        <v>387</v>
      </c>
      <c r="E41" t="s">
        <v>397</v>
      </c>
    </row>
    <row r="42" spans="2:5" x14ac:dyDescent="0.3">
      <c r="B42" t="s">
        <v>131</v>
      </c>
      <c r="C42">
        <v>41</v>
      </c>
      <c r="D42" t="s">
        <v>387</v>
      </c>
      <c r="E42" t="s">
        <v>398</v>
      </c>
    </row>
    <row r="43" spans="2:5" x14ac:dyDescent="0.3">
      <c r="B43" t="s">
        <v>133</v>
      </c>
      <c r="C43">
        <v>42</v>
      </c>
      <c r="D43" t="s">
        <v>385</v>
      </c>
      <c r="E43" t="s">
        <v>401</v>
      </c>
    </row>
    <row r="44" spans="2:5" x14ac:dyDescent="0.3">
      <c r="B44" t="s">
        <v>135</v>
      </c>
      <c r="C44">
        <v>43</v>
      </c>
      <c r="D44" s="2" t="s">
        <v>385</v>
      </c>
      <c r="E44" s="2" t="s">
        <v>386</v>
      </c>
    </row>
    <row r="45" spans="2:5" x14ac:dyDescent="0.3">
      <c r="B45" t="s">
        <v>137</v>
      </c>
      <c r="C45">
        <v>44</v>
      </c>
      <c r="D45" s="2" t="s">
        <v>385</v>
      </c>
      <c r="E45" s="2" t="s">
        <v>386</v>
      </c>
    </row>
    <row r="46" spans="2:5" x14ac:dyDescent="0.3">
      <c r="B46" t="s">
        <v>139</v>
      </c>
      <c r="C46">
        <v>45</v>
      </c>
      <c r="D46" s="2" t="s">
        <v>391</v>
      </c>
      <c r="E46" s="2" t="s">
        <v>392</v>
      </c>
    </row>
    <row r="47" spans="2:5" x14ac:dyDescent="0.3">
      <c r="B47" t="s">
        <v>140</v>
      </c>
      <c r="C47">
        <v>46</v>
      </c>
      <c r="D47" s="2" t="s">
        <v>389</v>
      </c>
      <c r="E47" s="2" t="s">
        <v>400</v>
      </c>
    </row>
    <row r="48" spans="2:5" x14ac:dyDescent="0.3">
      <c r="B48" t="s">
        <v>142</v>
      </c>
      <c r="C48">
        <v>47</v>
      </c>
      <c r="D48" s="2" t="s">
        <v>389</v>
      </c>
      <c r="E48" s="2" t="s">
        <v>396</v>
      </c>
    </row>
    <row r="49" spans="2:5" x14ac:dyDescent="0.3">
      <c r="B49" t="s">
        <v>143</v>
      </c>
      <c r="C49">
        <v>48</v>
      </c>
      <c r="D49" s="2" t="s">
        <v>387</v>
      </c>
      <c r="E49" s="2" t="s">
        <v>397</v>
      </c>
    </row>
    <row r="50" spans="2:5" x14ac:dyDescent="0.3">
      <c r="B50" t="s">
        <v>145</v>
      </c>
      <c r="C50">
        <v>49</v>
      </c>
      <c r="D50" t="s">
        <v>385</v>
      </c>
      <c r="E50" t="s">
        <v>386</v>
      </c>
    </row>
    <row r="51" spans="2:5" x14ac:dyDescent="0.3">
      <c r="B51" t="s">
        <v>146</v>
      </c>
      <c r="C51">
        <v>50</v>
      </c>
      <c r="D51" t="s">
        <v>389</v>
      </c>
      <c r="E51" t="s">
        <v>406</v>
      </c>
    </row>
    <row r="52" spans="2:5" x14ac:dyDescent="0.3">
      <c r="B52" t="s">
        <v>148</v>
      </c>
      <c r="C52">
        <v>51</v>
      </c>
      <c r="D52" t="s">
        <v>385</v>
      </c>
      <c r="E52" t="s">
        <v>386</v>
      </c>
    </row>
    <row r="53" spans="2:5" x14ac:dyDescent="0.3">
      <c r="B53" t="s">
        <v>150</v>
      </c>
      <c r="C53">
        <v>52</v>
      </c>
      <c r="D53" t="s">
        <v>387</v>
      </c>
      <c r="E53" t="s">
        <v>407</v>
      </c>
    </row>
    <row r="54" spans="2:5" x14ac:dyDescent="0.3">
      <c r="B54" t="s">
        <v>152</v>
      </c>
      <c r="C54">
        <v>53</v>
      </c>
      <c r="D54" t="s">
        <v>385</v>
      </c>
      <c r="E54" t="s">
        <v>393</v>
      </c>
    </row>
    <row r="55" spans="2:5" x14ac:dyDescent="0.3">
      <c r="B55" t="s">
        <v>154</v>
      </c>
      <c r="C55">
        <v>54</v>
      </c>
      <c r="D55" t="s">
        <v>387</v>
      </c>
      <c r="E55" t="s">
        <v>407</v>
      </c>
    </row>
    <row r="56" spans="2:5" x14ac:dyDescent="0.3">
      <c r="B56" t="s">
        <v>156</v>
      </c>
      <c r="C56">
        <v>55</v>
      </c>
      <c r="D56" t="s">
        <v>389</v>
      </c>
      <c r="E56" t="s">
        <v>390</v>
      </c>
    </row>
    <row r="57" spans="2:5" x14ac:dyDescent="0.3">
      <c r="B57" t="s">
        <v>157</v>
      </c>
      <c r="C57">
        <v>56</v>
      </c>
      <c r="D57" t="s">
        <v>389</v>
      </c>
      <c r="E57" t="s">
        <v>406</v>
      </c>
    </row>
    <row r="58" spans="2:5" x14ac:dyDescent="0.3">
      <c r="B58" t="s">
        <v>158</v>
      </c>
      <c r="C58">
        <v>57</v>
      </c>
      <c r="D58" t="s">
        <v>387</v>
      </c>
      <c r="E58" t="s">
        <v>397</v>
      </c>
    </row>
    <row r="59" spans="2:5" x14ac:dyDescent="0.3">
      <c r="B59" t="s">
        <v>160</v>
      </c>
      <c r="C59">
        <v>58</v>
      </c>
      <c r="D59" t="s">
        <v>389</v>
      </c>
      <c r="E59" t="s">
        <v>406</v>
      </c>
    </row>
    <row r="60" spans="2:5" x14ac:dyDescent="0.3">
      <c r="B60" t="s">
        <v>161</v>
      </c>
      <c r="C60">
        <v>59</v>
      </c>
      <c r="D60" t="s">
        <v>394</v>
      </c>
      <c r="E60" t="s">
        <v>408</v>
      </c>
    </row>
    <row r="61" spans="2:5" x14ac:dyDescent="0.3">
      <c r="B61" t="s">
        <v>163</v>
      </c>
      <c r="C61">
        <v>60</v>
      </c>
      <c r="D61" t="s">
        <v>389</v>
      </c>
      <c r="E61" t="s">
        <v>396</v>
      </c>
    </row>
    <row r="62" spans="2:5" x14ac:dyDescent="0.3">
      <c r="B62" t="s">
        <v>164</v>
      </c>
      <c r="C62">
        <v>61</v>
      </c>
      <c r="D62" t="s">
        <v>387</v>
      </c>
      <c r="E62" t="s">
        <v>388</v>
      </c>
    </row>
    <row r="63" spans="2:5" x14ac:dyDescent="0.3">
      <c r="B63" t="s">
        <v>165</v>
      </c>
      <c r="C63">
        <v>62</v>
      </c>
      <c r="D63" t="s">
        <v>389</v>
      </c>
      <c r="E63" t="s">
        <v>406</v>
      </c>
    </row>
    <row r="64" spans="2:5" x14ac:dyDescent="0.3">
      <c r="B64" t="s">
        <v>167</v>
      </c>
      <c r="C64">
        <v>63</v>
      </c>
      <c r="D64" t="s">
        <v>391</v>
      </c>
      <c r="E64" t="s">
        <v>392</v>
      </c>
    </row>
    <row r="65" spans="2:5" x14ac:dyDescent="0.3">
      <c r="B65" t="s">
        <v>169</v>
      </c>
      <c r="C65">
        <v>64</v>
      </c>
      <c r="D65" t="s">
        <v>387</v>
      </c>
      <c r="E65" t="s">
        <v>398</v>
      </c>
    </row>
    <row r="66" spans="2:5" x14ac:dyDescent="0.3">
      <c r="B66" t="s">
        <v>171</v>
      </c>
      <c r="C66">
        <v>65</v>
      </c>
      <c r="D66" t="s">
        <v>387</v>
      </c>
      <c r="E66" t="s">
        <v>398</v>
      </c>
    </row>
    <row r="67" spans="2:5" x14ac:dyDescent="0.3">
      <c r="B67" t="s">
        <v>173</v>
      </c>
      <c r="C67">
        <v>66</v>
      </c>
      <c r="D67" t="s">
        <v>387</v>
      </c>
      <c r="E67" t="s">
        <v>398</v>
      </c>
    </row>
    <row r="68" spans="2:5" x14ac:dyDescent="0.3">
      <c r="B68" t="s">
        <v>175</v>
      </c>
      <c r="C68">
        <v>67</v>
      </c>
      <c r="D68" t="s">
        <v>387</v>
      </c>
      <c r="E68" t="s">
        <v>398</v>
      </c>
    </row>
    <row r="69" spans="2:5" x14ac:dyDescent="0.3">
      <c r="B69" t="s">
        <v>176</v>
      </c>
      <c r="C69">
        <v>68</v>
      </c>
      <c r="D69" t="s">
        <v>387</v>
      </c>
      <c r="E69" t="s">
        <v>388</v>
      </c>
    </row>
    <row r="70" spans="2:5" x14ac:dyDescent="0.3">
      <c r="B70" t="s">
        <v>177</v>
      </c>
      <c r="C70">
        <v>69</v>
      </c>
      <c r="D70" t="s">
        <v>389</v>
      </c>
      <c r="E70" t="s">
        <v>390</v>
      </c>
    </row>
    <row r="71" spans="2:5" x14ac:dyDescent="0.3">
      <c r="B71" t="s">
        <v>178</v>
      </c>
      <c r="C71">
        <v>70</v>
      </c>
      <c r="D71" t="s">
        <v>385</v>
      </c>
      <c r="E71" t="s">
        <v>386</v>
      </c>
    </row>
    <row r="72" spans="2:5" x14ac:dyDescent="0.3">
      <c r="B72" t="s">
        <v>179</v>
      </c>
      <c r="C72">
        <v>71</v>
      </c>
      <c r="D72" t="s">
        <v>385</v>
      </c>
      <c r="E72" t="s">
        <v>401</v>
      </c>
    </row>
    <row r="73" spans="2:5" x14ac:dyDescent="0.3">
      <c r="B73" t="s">
        <v>181</v>
      </c>
      <c r="C73">
        <v>72</v>
      </c>
      <c r="D73" t="s">
        <v>385</v>
      </c>
      <c r="E73" t="s">
        <v>393</v>
      </c>
    </row>
    <row r="74" spans="2:5" x14ac:dyDescent="0.3">
      <c r="B74" t="s">
        <v>183</v>
      </c>
      <c r="C74">
        <v>73</v>
      </c>
      <c r="D74" t="s">
        <v>391</v>
      </c>
      <c r="E74" t="s">
        <v>405</v>
      </c>
    </row>
    <row r="75" spans="2:5" x14ac:dyDescent="0.3">
      <c r="B75" t="s">
        <v>185</v>
      </c>
      <c r="C75">
        <v>74</v>
      </c>
      <c r="D75" t="s">
        <v>385</v>
      </c>
      <c r="E75" t="s">
        <v>401</v>
      </c>
    </row>
    <row r="76" spans="2:5" x14ac:dyDescent="0.3">
      <c r="B76" t="s">
        <v>187</v>
      </c>
      <c r="C76">
        <v>75</v>
      </c>
      <c r="D76" t="s">
        <v>389</v>
      </c>
      <c r="E76" t="s">
        <v>390</v>
      </c>
    </row>
    <row r="77" spans="2:5" x14ac:dyDescent="0.3">
      <c r="B77" t="s">
        <v>188</v>
      </c>
      <c r="C77">
        <v>76</v>
      </c>
      <c r="D77" t="s">
        <v>385</v>
      </c>
      <c r="E77" t="s">
        <v>386</v>
      </c>
    </row>
    <row r="78" spans="2:5" x14ac:dyDescent="0.3">
      <c r="B78" t="s">
        <v>190</v>
      </c>
      <c r="C78">
        <v>77</v>
      </c>
      <c r="D78" t="s">
        <v>389</v>
      </c>
      <c r="E78" t="s">
        <v>400</v>
      </c>
    </row>
    <row r="79" spans="2:5" x14ac:dyDescent="0.3">
      <c r="B79" t="s">
        <v>192</v>
      </c>
      <c r="C79">
        <v>78</v>
      </c>
      <c r="D79" t="s">
        <v>391</v>
      </c>
      <c r="E79" t="s">
        <v>403</v>
      </c>
    </row>
    <row r="80" spans="2:5" x14ac:dyDescent="0.3">
      <c r="B80" t="s">
        <v>194</v>
      </c>
      <c r="C80">
        <v>79</v>
      </c>
      <c r="D80" t="s">
        <v>391</v>
      </c>
      <c r="E80" t="s">
        <v>399</v>
      </c>
    </row>
    <row r="81" spans="2:5" x14ac:dyDescent="0.3">
      <c r="B81" t="s">
        <v>196</v>
      </c>
      <c r="C81">
        <v>80</v>
      </c>
      <c r="D81" t="s">
        <v>389</v>
      </c>
      <c r="E81" t="s">
        <v>406</v>
      </c>
    </row>
    <row r="82" spans="2:5" x14ac:dyDescent="0.3">
      <c r="B82" t="s">
        <v>197</v>
      </c>
      <c r="C82">
        <v>81</v>
      </c>
      <c r="D82" t="s">
        <v>391</v>
      </c>
      <c r="E82" t="s">
        <v>399</v>
      </c>
    </row>
    <row r="83" spans="2:5" x14ac:dyDescent="0.3">
      <c r="B83" t="s">
        <v>200</v>
      </c>
      <c r="C83">
        <v>82</v>
      </c>
      <c r="D83" t="s">
        <v>391</v>
      </c>
      <c r="E83" t="s">
        <v>392</v>
      </c>
    </row>
    <row r="84" spans="2:5" x14ac:dyDescent="0.3">
      <c r="B84" t="s">
        <v>202</v>
      </c>
      <c r="C84">
        <v>83</v>
      </c>
      <c r="D84" t="s">
        <v>389</v>
      </c>
      <c r="E84" t="s">
        <v>406</v>
      </c>
    </row>
    <row r="85" spans="2:5" x14ac:dyDescent="0.3">
      <c r="B85" t="s">
        <v>204</v>
      </c>
      <c r="C85">
        <v>84</v>
      </c>
      <c r="D85" t="s">
        <v>391</v>
      </c>
      <c r="E85" t="s">
        <v>392</v>
      </c>
    </row>
    <row r="86" spans="2:5" x14ac:dyDescent="0.3">
      <c r="B86" t="s">
        <v>206</v>
      </c>
      <c r="C86">
        <v>85</v>
      </c>
      <c r="D86" t="s">
        <v>389</v>
      </c>
      <c r="E86" t="s">
        <v>390</v>
      </c>
    </row>
    <row r="87" spans="2:5" x14ac:dyDescent="0.3">
      <c r="B87" t="s">
        <v>207</v>
      </c>
      <c r="C87">
        <v>86</v>
      </c>
      <c r="D87" t="s">
        <v>385</v>
      </c>
      <c r="E87" t="s">
        <v>386</v>
      </c>
    </row>
    <row r="88" spans="2:5" x14ac:dyDescent="0.3">
      <c r="B88" t="s">
        <v>209</v>
      </c>
      <c r="C88">
        <v>87</v>
      </c>
      <c r="D88" t="s">
        <v>391</v>
      </c>
      <c r="E88" t="s">
        <v>392</v>
      </c>
    </row>
    <row r="89" spans="2:5" x14ac:dyDescent="0.3">
      <c r="B89" t="s">
        <v>211</v>
      </c>
      <c r="C89">
        <v>88</v>
      </c>
      <c r="D89" t="s">
        <v>391</v>
      </c>
      <c r="E89" t="s">
        <v>405</v>
      </c>
    </row>
    <row r="90" spans="2:5" x14ac:dyDescent="0.3">
      <c r="B90" t="s">
        <v>213</v>
      </c>
      <c r="C90">
        <v>89</v>
      </c>
      <c r="D90" t="s">
        <v>391</v>
      </c>
      <c r="E90" t="s">
        <v>409</v>
      </c>
    </row>
    <row r="91" spans="2:5" x14ac:dyDescent="0.3">
      <c r="B91" t="s">
        <v>215</v>
      </c>
      <c r="C91">
        <v>90</v>
      </c>
      <c r="D91" t="s">
        <v>387</v>
      </c>
      <c r="E91" t="s">
        <v>397</v>
      </c>
    </row>
    <row r="92" spans="2:5" x14ac:dyDescent="0.3">
      <c r="B92" t="s">
        <v>217</v>
      </c>
      <c r="C92">
        <v>91</v>
      </c>
      <c r="D92" s="2" t="s">
        <v>391</v>
      </c>
      <c r="E92" s="2" t="s">
        <v>409</v>
      </c>
    </row>
    <row r="93" spans="2:5" x14ac:dyDescent="0.3">
      <c r="B93" t="s">
        <v>219</v>
      </c>
      <c r="C93">
        <v>92</v>
      </c>
      <c r="D93" s="2" t="s">
        <v>391</v>
      </c>
      <c r="E93" s="2" t="s">
        <v>403</v>
      </c>
    </row>
    <row r="94" spans="2:5" x14ac:dyDescent="0.3">
      <c r="B94" t="s">
        <v>221</v>
      </c>
      <c r="C94">
        <v>93</v>
      </c>
      <c r="D94" s="2" t="s">
        <v>385</v>
      </c>
      <c r="E94" s="2" t="s">
        <v>386</v>
      </c>
    </row>
    <row r="95" spans="2:5" x14ac:dyDescent="0.3">
      <c r="B95" t="s">
        <v>222</v>
      </c>
      <c r="C95">
        <v>94</v>
      </c>
      <c r="D95" s="2" t="s">
        <v>391</v>
      </c>
      <c r="E95" s="2" t="s">
        <v>405</v>
      </c>
    </row>
    <row r="96" spans="2:5" x14ac:dyDescent="0.3">
      <c r="B96" t="s">
        <v>224</v>
      </c>
      <c r="C96">
        <v>95</v>
      </c>
      <c r="D96" s="2" t="s">
        <v>391</v>
      </c>
      <c r="E96" s="2" t="s">
        <v>392</v>
      </c>
    </row>
    <row r="97" spans="2:5" x14ac:dyDescent="0.3">
      <c r="B97" t="s">
        <v>226</v>
      </c>
      <c r="C97">
        <v>96</v>
      </c>
      <c r="D97" s="2" t="s">
        <v>391</v>
      </c>
      <c r="E97" s="2" t="s">
        <v>403</v>
      </c>
    </row>
    <row r="98" spans="2:5" x14ac:dyDescent="0.3">
      <c r="B98" t="s">
        <v>228</v>
      </c>
      <c r="C98">
        <v>97</v>
      </c>
      <c r="D98" t="s">
        <v>391</v>
      </c>
      <c r="E98" t="s">
        <v>392</v>
      </c>
    </row>
    <row r="99" spans="2:5" x14ac:dyDescent="0.3">
      <c r="B99" t="s">
        <v>231</v>
      </c>
      <c r="C99">
        <v>98</v>
      </c>
      <c r="D99" t="s">
        <v>387</v>
      </c>
      <c r="E99" t="s">
        <v>398</v>
      </c>
    </row>
    <row r="100" spans="2:5" x14ac:dyDescent="0.3">
      <c r="B100" t="s">
        <v>232</v>
      </c>
      <c r="C100">
        <v>99</v>
      </c>
      <c r="D100" t="s">
        <v>385</v>
      </c>
      <c r="E100" t="s">
        <v>386</v>
      </c>
    </row>
    <row r="101" spans="2:5" x14ac:dyDescent="0.3">
      <c r="B101" t="s">
        <v>233</v>
      </c>
      <c r="C101">
        <v>100</v>
      </c>
      <c r="D101" t="s">
        <v>391</v>
      </c>
      <c r="E101" t="s">
        <v>399</v>
      </c>
    </row>
    <row r="102" spans="2:5" x14ac:dyDescent="0.3">
      <c r="B102" t="s">
        <v>235</v>
      </c>
      <c r="C102">
        <v>101</v>
      </c>
      <c r="D102" t="s">
        <v>387</v>
      </c>
      <c r="E102" t="s">
        <v>404</v>
      </c>
    </row>
    <row r="103" spans="2:5" x14ac:dyDescent="0.3">
      <c r="B103" t="s">
        <v>237</v>
      </c>
      <c r="C103">
        <v>102</v>
      </c>
      <c r="D103" t="s">
        <v>389</v>
      </c>
      <c r="E103" t="s">
        <v>406</v>
      </c>
    </row>
    <row r="104" spans="2:5" x14ac:dyDescent="0.3">
      <c r="B104" t="s">
        <v>238</v>
      </c>
      <c r="C104">
        <v>103</v>
      </c>
      <c r="D104" t="s">
        <v>389</v>
      </c>
      <c r="E104" t="s">
        <v>396</v>
      </c>
    </row>
    <row r="105" spans="2:5" x14ac:dyDescent="0.3">
      <c r="B105" t="s">
        <v>239</v>
      </c>
      <c r="C105">
        <v>104</v>
      </c>
      <c r="D105" t="s">
        <v>389</v>
      </c>
      <c r="E105" t="s">
        <v>406</v>
      </c>
    </row>
    <row r="106" spans="2:5" x14ac:dyDescent="0.3">
      <c r="B106" t="s">
        <v>240</v>
      </c>
      <c r="C106">
        <v>105</v>
      </c>
      <c r="D106" t="s">
        <v>391</v>
      </c>
      <c r="E106" t="s">
        <v>405</v>
      </c>
    </row>
    <row r="107" spans="2:5" x14ac:dyDescent="0.3">
      <c r="B107" t="s">
        <v>242</v>
      </c>
      <c r="C107">
        <v>106</v>
      </c>
      <c r="D107" t="s">
        <v>387</v>
      </c>
      <c r="E107" t="s">
        <v>407</v>
      </c>
    </row>
    <row r="108" spans="2:5" x14ac:dyDescent="0.3">
      <c r="B108" t="s">
        <v>244</v>
      </c>
      <c r="C108">
        <v>107</v>
      </c>
      <c r="D108" t="s">
        <v>389</v>
      </c>
      <c r="E108" t="s">
        <v>400</v>
      </c>
    </row>
    <row r="109" spans="2:5" x14ac:dyDescent="0.3">
      <c r="B109" t="s">
        <v>246</v>
      </c>
      <c r="C109">
        <v>108</v>
      </c>
      <c r="D109" t="s">
        <v>387</v>
      </c>
      <c r="E109" t="s">
        <v>397</v>
      </c>
    </row>
    <row r="110" spans="2:5" x14ac:dyDescent="0.3">
      <c r="B110" t="s">
        <v>248</v>
      </c>
      <c r="C110">
        <v>109</v>
      </c>
      <c r="D110" t="s">
        <v>391</v>
      </c>
      <c r="E110" t="s">
        <v>399</v>
      </c>
    </row>
    <row r="111" spans="2:5" x14ac:dyDescent="0.3">
      <c r="B111" t="s">
        <v>250</v>
      </c>
      <c r="C111">
        <v>110</v>
      </c>
      <c r="D111" t="s">
        <v>385</v>
      </c>
      <c r="E111" t="s">
        <v>401</v>
      </c>
    </row>
    <row r="112" spans="2:5" x14ac:dyDescent="0.3">
      <c r="B112" t="s">
        <v>252</v>
      </c>
      <c r="C112">
        <v>111</v>
      </c>
      <c r="D112" t="s">
        <v>389</v>
      </c>
      <c r="E112" t="s">
        <v>390</v>
      </c>
    </row>
    <row r="113" spans="2:5" x14ac:dyDescent="0.3">
      <c r="B113" t="s">
        <v>254</v>
      </c>
      <c r="C113">
        <v>112</v>
      </c>
      <c r="D113" t="s">
        <v>387</v>
      </c>
      <c r="E113" t="s">
        <v>398</v>
      </c>
    </row>
    <row r="114" spans="2:5" x14ac:dyDescent="0.3">
      <c r="B114" t="s">
        <v>255</v>
      </c>
      <c r="C114">
        <v>113</v>
      </c>
      <c r="D114" t="s">
        <v>389</v>
      </c>
      <c r="E114" t="s">
        <v>390</v>
      </c>
    </row>
    <row r="115" spans="2:5" x14ac:dyDescent="0.3">
      <c r="B115" t="s">
        <v>256</v>
      </c>
      <c r="C115">
        <v>114</v>
      </c>
      <c r="D115" t="s">
        <v>391</v>
      </c>
      <c r="E115" t="s">
        <v>403</v>
      </c>
    </row>
    <row r="116" spans="2:5" x14ac:dyDescent="0.3">
      <c r="B116" t="s">
        <v>258</v>
      </c>
      <c r="C116">
        <v>115</v>
      </c>
      <c r="D116" t="s">
        <v>389</v>
      </c>
      <c r="E116" t="s">
        <v>390</v>
      </c>
    </row>
    <row r="117" spans="2:5" x14ac:dyDescent="0.3">
      <c r="B117" t="s">
        <v>259</v>
      </c>
      <c r="C117">
        <v>116</v>
      </c>
      <c r="D117" t="s">
        <v>391</v>
      </c>
      <c r="E117" t="s">
        <v>405</v>
      </c>
    </row>
    <row r="118" spans="2:5" x14ac:dyDescent="0.3">
      <c r="B118" t="s">
        <v>261</v>
      </c>
      <c r="C118">
        <v>117</v>
      </c>
      <c r="D118" t="s">
        <v>387</v>
      </c>
      <c r="E118" t="s">
        <v>397</v>
      </c>
    </row>
    <row r="119" spans="2:5" x14ac:dyDescent="0.3">
      <c r="B119" t="s">
        <v>263</v>
      </c>
      <c r="C119">
        <v>118</v>
      </c>
      <c r="D119" t="s">
        <v>387</v>
      </c>
      <c r="E119" t="s">
        <v>398</v>
      </c>
    </row>
    <row r="120" spans="2:5" x14ac:dyDescent="0.3">
      <c r="B120" t="s">
        <v>265</v>
      </c>
      <c r="C120">
        <v>119</v>
      </c>
      <c r="D120" t="s">
        <v>385</v>
      </c>
      <c r="E120" t="s">
        <v>386</v>
      </c>
    </row>
    <row r="121" spans="2:5" x14ac:dyDescent="0.3">
      <c r="B121" t="s">
        <v>266</v>
      </c>
      <c r="C121">
        <v>120</v>
      </c>
      <c r="D121" t="s">
        <v>387</v>
      </c>
      <c r="E121" t="s">
        <v>397</v>
      </c>
    </row>
    <row r="122" spans="2:5" x14ac:dyDescent="0.3">
      <c r="B122" t="s">
        <v>268</v>
      </c>
      <c r="C122">
        <v>121</v>
      </c>
      <c r="D122" t="s">
        <v>387</v>
      </c>
      <c r="E122" t="s">
        <v>397</v>
      </c>
    </row>
    <row r="123" spans="2:5" x14ac:dyDescent="0.3">
      <c r="B123" t="s">
        <v>270</v>
      </c>
      <c r="C123">
        <v>122</v>
      </c>
      <c r="D123" t="s">
        <v>391</v>
      </c>
      <c r="E123" t="s">
        <v>403</v>
      </c>
    </row>
    <row r="124" spans="2:5" x14ac:dyDescent="0.3">
      <c r="B124" t="s">
        <v>272</v>
      </c>
      <c r="C124">
        <v>123</v>
      </c>
      <c r="D124" t="s">
        <v>387</v>
      </c>
      <c r="E124" t="s">
        <v>404</v>
      </c>
    </row>
    <row r="125" spans="2:5" x14ac:dyDescent="0.3">
      <c r="B125" t="s">
        <v>274</v>
      </c>
      <c r="C125">
        <v>124</v>
      </c>
      <c r="D125" t="s">
        <v>387</v>
      </c>
      <c r="E125" t="s">
        <v>398</v>
      </c>
    </row>
    <row r="126" spans="2:5" x14ac:dyDescent="0.3">
      <c r="B126" t="s">
        <v>275</v>
      </c>
      <c r="C126">
        <v>125</v>
      </c>
      <c r="D126" t="s">
        <v>387</v>
      </c>
      <c r="E126" t="s">
        <v>398</v>
      </c>
    </row>
    <row r="127" spans="2:5" x14ac:dyDescent="0.3">
      <c r="B127" t="s">
        <v>277</v>
      </c>
      <c r="C127">
        <v>126</v>
      </c>
      <c r="D127" t="s">
        <v>385</v>
      </c>
      <c r="E127" t="s">
        <v>401</v>
      </c>
    </row>
    <row r="128" spans="2:5" x14ac:dyDescent="0.3">
      <c r="B128" t="s">
        <v>279</v>
      </c>
      <c r="C128">
        <v>127</v>
      </c>
      <c r="D128" s="2" t="s">
        <v>389</v>
      </c>
      <c r="E128" s="2" t="s">
        <v>396</v>
      </c>
    </row>
    <row r="129" spans="2:5" x14ac:dyDescent="0.3">
      <c r="B129" t="s">
        <v>280</v>
      </c>
      <c r="C129">
        <v>128</v>
      </c>
      <c r="D129" s="2" t="s">
        <v>389</v>
      </c>
      <c r="E129" s="2" t="s">
        <v>406</v>
      </c>
    </row>
    <row r="130" spans="2:5" x14ac:dyDescent="0.3">
      <c r="B130" t="s">
        <v>282</v>
      </c>
      <c r="C130">
        <v>129</v>
      </c>
      <c r="D130" s="2" t="s">
        <v>391</v>
      </c>
      <c r="E130" s="2" t="s">
        <v>399</v>
      </c>
    </row>
    <row r="131" spans="2:5" x14ac:dyDescent="0.3">
      <c r="B131" t="s">
        <v>284</v>
      </c>
      <c r="C131">
        <v>130</v>
      </c>
      <c r="D131" s="2" t="s">
        <v>394</v>
      </c>
      <c r="E131" s="2" t="s">
        <v>395</v>
      </c>
    </row>
    <row r="132" spans="2:5" x14ac:dyDescent="0.3">
      <c r="B132" t="s">
        <v>286</v>
      </c>
      <c r="C132">
        <v>131</v>
      </c>
      <c r="D132" s="2" t="s">
        <v>391</v>
      </c>
      <c r="E132" s="2" t="s">
        <v>392</v>
      </c>
    </row>
    <row r="133" spans="2:5" x14ac:dyDescent="0.3">
      <c r="B133" t="s">
        <v>288</v>
      </c>
      <c r="C133">
        <v>132</v>
      </c>
      <c r="D133" s="2" t="s">
        <v>391</v>
      </c>
      <c r="E133" s="2" t="s">
        <v>399</v>
      </c>
    </row>
    <row r="134" spans="2:5" x14ac:dyDescent="0.3">
      <c r="B134" t="s">
        <v>290</v>
      </c>
      <c r="C134">
        <v>133</v>
      </c>
      <c r="D134" t="s">
        <v>385</v>
      </c>
      <c r="E134" t="s">
        <v>401</v>
      </c>
    </row>
    <row r="135" spans="2:5" x14ac:dyDescent="0.3">
      <c r="B135" t="s">
        <v>292</v>
      </c>
      <c r="C135">
        <v>134</v>
      </c>
      <c r="D135" t="s">
        <v>385</v>
      </c>
      <c r="E135" t="s">
        <v>393</v>
      </c>
    </row>
    <row r="136" spans="2:5" x14ac:dyDescent="0.3">
      <c r="B136" t="s">
        <v>294</v>
      </c>
      <c r="C136">
        <v>135</v>
      </c>
      <c r="D136" t="s">
        <v>391</v>
      </c>
      <c r="E136" t="s">
        <v>403</v>
      </c>
    </row>
    <row r="137" spans="2:5" x14ac:dyDescent="0.3">
      <c r="B137" t="s">
        <v>296</v>
      </c>
      <c r="C137">
        <v>136</v>
      </c>
      <c r="D137" t="s">
        <v>389</v>
      </c>
      <c r="E137" t="s">
        <v>400</v>
      </c>
    </row>
    <row r="138" spans="2:5" x14ac:dyDescent="0.3">
      <c r="B138" t="s">
        <v>298</v>
      </c>
      <c r="C138">
        <v>137</v>
      </c>
      <c r="D138" t="s">
        <v>389</v>
      </c>
      <c r="E138" t="s">
        <v>390</v>
      </c>
    </row>
    <row r="139" spans="2:5" x14ac:dyDescent="0.3">
      <c r="B139" t="s">
        <v>299</v>
      </c>
      <c r="C139">
        <v>138</v>
      </c>
      <c r="D139" t="s">
        <v>385</v>
      </c>
      <c r="E139" t="s">
        <v>393</v>
      </c>
    </row>
    <row r="140" spans="2:5" x14ac:dyDescent="0.3">
      <c r="B140" t="s">
        <v>301</v>
      </c>
      <c r="C140">
        <v>139</v>
      </c>
      <c r="D140" t="s">
        <v>391</v>
      </c>
      <c r="E140" t="s">
        <v>392</v>
      </c>
    </row>
    <row r="141" spans="2:5" x14ac:dyDescent="0.3">
      <c r="B141" t="s">
        <v>302</v>
      </c>
      <c r="C141">
        <v>140</v>
      </c>
      <c r="D141" t="s">
        <v>391</v>
      </c>
      <c r="E141" t="s">
        <v>392</v>
      </c>
    </row>
    <row r="142" spans="2:5" x14ac:dyDescent="0.3">
      <c r="B142" t="s">
        <v>304</v>
      </c>
      <c r="C142">
        <v>141</v>
      </c>
      <c r="D142" t="s">
        <v>389</v>
      </c>
      <c r="E142" t="s">
        <v>400</v>
      </c>
    </row>
    <row r="143" spans="2:5" x14ac:dyDescent="0.3">
      <c r="B143" t="s">
        <v>306</v>
      </c>
      <c r="C143">
        <v>142</v>
      </c>
      <c r="D143" t="s">
        <v>389</v>
      </c>
      <c r="E143" t="s">
        <v>400</v>
      </c>
    </row>
    <row r="144" spans="2:5" x14ac:dyDescent="0.3">
      <c r="B144" t="s">
        <v>308</v>
      </c>
      <c r="C144">
        <v>143</v>
      </c>
      <c r="D144" t="s">
        <v>387</v>
      </c>
      <c r="E144" t="s">
        <v>397</v>
      </c>
    </row>
    <row r="145" spans="2:5" x14ac:dyDescent="0.3">
      <c r="B145" t="s">
        <v>310</v>
      </c>
      <c r="C145">
        <v>144</v>
      </c>
      <c r="D145" t="s">
        <v>391</v>
      </c>
      <c r="E145" t="s">
        <v>392</v>
      </c>
    </row>
    <row r="146" spans="2:5" x14ac:dyDescent="0.3">
      <c r="B146" t="s">
        <v>312</v>
      </c>
      <c r="C146">
        <v>145</v>
      </c>
      <c r="D146" t="s">
        <v>387</v>
      </c>
      <c r="E146" t="s">
        <v>407</v>
      </c>
    </row>
    <row r="147" spans="2:5" x14ac:dyDescent="0.3">
      <c r="B147" t="s">
        <v>314</v>
      </c>
      <c r="C147">
        <v>146</v>
      </c>
      <c r="D147" t="s">
        <v>387</v>
      </c>
      <c r="E147" t="s">
        <v>398</v>
      </c>
    </row>
    <row r="148" spans="2:5" x14ac:dyDescent="0.3">
      <c r="B148" t="s">
        <v>315</v>
      </c>
      <c r="C148">
        <v>147</v>
      </c>
      <c r="D148" t="s">
        <v>391</v>
      </c>
      <c r="E148" t="s">
        <v>403</v>
      </c>
    </row>
    <row r="149" spans="2:5" x14ac:dyDescent="0.3">
      <c r="B149" t="s">
        <v>317</v>
      </c>
      <c r="C149">
        <v>148</v>
      </c>
      <c r="D149" t="s">
        <v>387</v>
      </c>
      <c r="E149" t="s">
        <v>398</v>
      </c>
    </row>
    <row r="150" spans="2:5" x14ac:dyDescent="0.3">
      <c r="B150" t="s">
        <v>319</v>
      </c>
      <c r="C150">
        <v>149</v>
      </c>
      <c r="D150" t="s">
        <v>385</v>
      </c>
      <c r="E150" t="s">
        <v>401</v>
      </c>
    </row>
    <row r="151" spans="2:5" x14ac:dyDescent="0.3">
      <c r="B151" t="s">
        <v>320</v>
      </c>
      <c r="C151">
        <v>150</v>
      </c>
      <c r="D151" t="s">
        <v>387</v>
      </c>
      <c r="E151" t="s">
        <v>397</v>
      </c>
    </row>
    <row r="152" spans="2:5" x14ac:dyDescent="0.3">
      <c r="B152" t="s">
        <v>322</v>
      </c>
      <c r="C152">
        <v>151</v>
      </c>
      <c r="D152" t="s">
        <v>389</v>
      </c>
      <c r="E152" t="s">
        <v>390</v>
      </c>
    </row>
    <row r="153" spans="2:5" x14ac:dyDescent="0.3">
      <c r="B153" t="s">
        <v>324</v>
      </c>
      <c r="C153">
        <v>152</v>
      </c>
      <c r="D153" t="s">
        <v>387</v>
      </c>
      <c r="E153" t="s">
        <v>397</v>
      </c>
    </row>
    <row r="154" spans="2:5" x14ac:dyDescent="0.3">
      <c r="B154" t="s">
        <v>326</v>
      </c>
      <c r="C154">
        <v>153</v>
      </c>
      <c r="D154" t="s">
        <v>387</v>
      </c>
      <c r="E154" t="s">
        <v>388</v>
      </c>
    </row>
    <row r="155" spans="2:5" x14ac:dyDescent="0.3">
      <c r="B155" t="s">
        <v>328</v>
      </c>
      <c r="C155">
        <v>154</v>
      </c>
      <c r="D155" t="s">
        <v>385</v>
      </c>
      <c r="E155" t="s">
        <v>393</v>
      </c>
    </row>
    <row r="156" spans="2:5" x14ac:dyDescent="0.3">
      <c r="B156" t="s">
        <v>330</v>
      </c>
      <c r="C156">
        <v>155</v>
      </c>
      <c r="D156" t="s">
        <v>389</v>
      </c>
      <c r="E156" t="s">
        <v>400</v>
      </c>
    </row>
    <row r="157" spans="2:5" x14ac:dyDescent="0.3">
      <c r="B157" t="s">
        <v>331</v>
      </c>
      <c r="C157">
        <v>156</v>
      </c>
      <c r="D157" t="s">
        <v>389</v>
      </c>
      <c r="E157" t="s">
        <v>390</v>
      </c>
    </row>
    <row r="158" spans="2:5" x14ac:dyDescent="0.3">
      <c r="B158" t="s">
        <v>332</v>
      </c>
      <c r="C158">
        <v>157</v>
      </c>
      <c r="D158" s="2" t="s">
        <v>389</v>
      </c>
      <c r="E158" s="2" t="s">
        <v>406</v>
      </c>
    </row>
    <row r="159" spans="2:5" x14ac:dyDescent="0.3">
      <c r="B159" t="s">
        <v>334</v>
      </c>
      <c r="C159">
        <v>158</v>
      </c>
      <c r="D159" s="2" t="s">
        <v>387</v>
      </c>
      <c r="E159" s="2" t="s">
        <v>404</v>
      </c>
    </row>
    <row r="160" spans="2:5" x14ac:dyDescent="0.3">
      <c r="B160" t="s">
        <v>336</v>
      </c>
      <c r="C160">
        <v>159</v>
      </c>
      <c r="D160" s="2" t="s">
        <v>385</v>
      </c>
      <c r="E160" s="2" t="s">
        <v>386</v>
      </c>
    </row>
    <row r="161" spans="2:5" x14ac:dyDescent="0.3">
      <c r="B161" t="s">
        <v>337</v>
      </c>
      <c r="C161">
        <v>160</v>
      </c>
      <c r="D161" s="2" t="s">
        <v>387</v>
      </c>
      <c r="E161" s="2" t="s">
        <v>397</v>
      </c>
    </row>
    <row r="162" spans="2:5" x14ac:dyDescent="0.3">
      <c r="B162" t="s">
        <v>339</v>
      </c>
      <c r="C162">
        <v>161</v>
      </c>
      <c r="D162" s="2" t="s">
        <v>391</v>
      </c>
      <c r="E162" s="2" t="s">
        <v>392</v>
      </c>
    </row>
    <row r="163" spans="2:5" x14ac:dyDescent="0.3">
      <c r="B163" t="s">
        <v>341</v>
      </c>
      <c r="C163">
        <v>162</v>
      </c>
      <c r="D163" s="2" t="s">
        <v>385</v>
      </c>
      <c r="E163" s="2" t="s">
        <v>386</v>
      </c>
    </row>
    <row r="164" spans="2:5" x14ac:dyDescent="0.3">
      <c r="B164" t="s">
        <v>342</v>
      </c>
      <c r="C164">
        <v>163</v>
      </c>
      <c r="D164" s="2" t="s">
        <v>387</v>
      </c>
      <c r="E164" s="2" t="s">
        <v>388</v>
      </c>
    </row>
    <row r="165" spans="2:5" x14ac:dyDescent="0.3">
      <c r="B165" t="s">
        <v>343</v>
      </c>
      <c r="C165">
        <v>164</v>
      </c>
      <c r="D165" s="2" t="s">
        <v>387</v>
      </c>
      <c r="E165" s="2" t="s">
        <v>398</v>
      </c>
    </row>
    <row r="166" spans="2:5" x14ac:dyDescent="0.3">
      <c r="B166" t="s">
        <v>344</v>
      </c>
      <c r="C166">
        <v>165</v>
      </c>
      <c r="D166" s="2" t="s">
        <v>391</v>
      </c>
      <c r="E166" s="2" t="s">
        <v>403</v>
      </c>
    </row>
    <row r="167" spans="2:5" x14ac:dyDescent="0.3">
      <c r="B167" t="s">
        <v>346</v>
      </c>
      <c r="C167">
        <v>166</v>
      </c>
      <c r="D167" s="2" t="s">
        <v>391</v>
      </c>
      <c r="E167" s="2" t="s">
        <v>409</v>
      </c>
    </row>
    <row r="168" spans="2:5" x14ac:dyDescent="0.3">
      <c r="B168" t="s">
        <v>348</v>
      </c>
      <c r="C168">
        <v>167</v>
      </c>
      <c r="D168" s="2" t="s">
        <v>391</v>
      </c>
      <c r="E168" s="2" t="s">
        <v>409</v>
      </c>
    </row>
    <row r="169" spans="2:5" x14ac:dyDescent="0.3">
      <c r="B169" t="s">
        <v>350</v>
      </c>
      <c r="C169">
        <v>168</v>
      </c>
      <c r="D169" s="2" t="s">
        <v>385</v>
      </c>
      <c r="E169" s="2" t="s">
        <v>386</v>
      </c>
    </row>
    <row r="170" spans="2:5" x14ac:dyDescent="0.3">
      <c r="B170" t="s">
        <v>352</v>
      </c>
      <c r="C170">
        <v>169</v>
      </c>
      <c r="D170" t="s">
        <v>387</v>
      </c>
      <c r="E170" t="s">
        <v>407</v>
      </c>
    </row>
    <row r="171" spans="2:5" x14ac:dyDescent="0.3">
      <c r="B171" t="s">
        <v>354</v>
      </c>
      <c r="C171">
        <v>170</v>
      </c>
      <c r="D171" t="s">
        <v>391</v>
      </c>
      <c r="E171" t="s">
        <v>392</v>
      </c>
    </row>
    <row r="172" spans="2:5" x14ac:dyDescent="0.3">
      <c r="B172" t="s">
        <v>356</v>
      </c>
      <c r="C172">
        <v>171</v>
      </c>
      <c r="D172" t="s">
        <v>391</v>
      </c>
      <c r="E172" t="s">
        <v>405</v>
      </c>
    </row>
    <row r="173" spans="2:5" x14ac:dyDescent="0.3">
      <c r="B173" t="s">
        <v>358</v>
      </c>
      <c r="C173">
        <v>172</v>
      </c>
      <c r="D173" t="s">
        <v>387</v>
      </c>
      <c r="E173" t="s">
        <v>397</v>
      </c>
    </row>
    <row r="174" spans="2:5" x14ac:dyDescent="0.3">
      <c r="B174" t="s">
        <v>360</v>
      </c>
      <c r="C174">
        <v>173</v>
      </c>
      <c r="D174" t="s">
        <v>387</v>
      </c>
      <c r="E174" t="s">
        <v>397</v>
      </c>
    </row>
    <row r="175" spans="2:5" x14ac:dyDescent="0.3">
      <c r="B175" t="s">
        <v>362</v>
      </c>
      <c r="C175">
        <v>174</v>
      </c>
      <c r="D175" t="s">
        <v>389</v>
      </c>
      <c r="E175" t="s">
        <v>400</v>
      </c>
    </row>
    <row r="176" spans="2:5" x14ac:dyDescent="0.3">
      <c r="B176" t="s">
        <v>364</v>
      </c>
      <c r="C176">
        <v>175</v>
      </c>
      <c r="D176" t="s">
        <v>385</v>
      </c>
      <c r="E176" t="s">
        <v>393</v>
      </c>
    </row>
    <row r="177" spans="2:5" x14ac:dyDescent="0.3">
      <c r="B177" t="s">
        <v>366</v>
      </c>
      <c r="C177">
        <v>176</v>
      </c>
      <c r="D177" t="s">
        <v>385</v>
      </c>
      <c r="E177" t="s">
        <v>402</v>
      </c>
    </row>
    <row r="178" spans="2:5" x14ac:dyDescent="0.3">
      <c r="B178" t="s">
        <v>367</v>
      </c>
      <c r="C178">
        <v>177</v>
      </c>
      <c r="D178" t="s">
        <v>391</v>
      </c>
      <c r="E178" t="s">
        <v>409</v>
      </c>
    </row>
    <row r="179" spans="2:5" x14ac:dyDescent="0.3">
      <c r="B179" t="s">
        <v>369</v>
      </c>
      <c r="C179">
        <v>178</v>
      </c>
      <c r="D179" t="s">
        <v>385</v>
      </c>
      <c r="E179" t="s">
        <v>386</v>
      </c>
    </row>
    <row r="180" spans="2:5" x14ac:dyDescent="0.3">
      <c r="B180" t="s">
        <v>370</v>
      </c>
      <c r="C180">
        <v>179</v>
      </c>
      <c r="D180" t="s">
        <v>385</v>
      </c>
      <c r="E180" t="s">
        <v>393</v>
      </c>
    </row>
    <row r="181" spans="2:5" x14ac:dyDescent="0.3">
      <c r="B181" t="s">
        <v>372</v>
      </c>
      <c r="C181">
        <v>180</v>
      </c>
      <c r="D181" t="s">
        <v>385</v>
      </c>
      <c r="E181" t="s">
        <v>386</v>
      </c>
    </row>
    <row r="182" spans="2:5" x14ac:dyDescent="0.3">
      <c r="B182" t="s">
        <v>373</v>
      </c>
      <c r="C182">
        <v>181</v>
      </c>
      <c r="D182" t="s">
        <v>391</v>
      </c>
      <c r="E182" t="s">
        <v>403</v>
      </c>
    </row>
    <row r="183" spans="2:5" x14ac:dyDescent="0.3">
      <c r="B183" t="s">
        <v>375</v>
      </c>
      <c r="C183">
        <v>182</v>
      </c>
      <c r="D183" t="s">
        <v>391</v>
      </c>
      <c r="E183" t="s">
        <v>392</v>
      </c>
    </row>
    <row r="184" spans="2:5" x14ac:dyDescent="0.3">
      <c r="B184" t="s">
        <v>377</v>
      </c>
      <c r="C184">
        <v>183</v>
      </c>
      <c r="D184" t="s">
        <v>387</v>
      </c>
      <c r="E184" t="s">
        <v>404</v>
      </c>
    </row>
    <row r="185" spans="2:5" x14ac:dyDescent="0.3">
      <c r="B185" t="s">
        <v>379</v>
      </c>
      <c r="C185">
        <v>184</v>
      </c>
      <c r="D185" t="s">
        <v>387</v>
      </c>
      <c r="E185" t="s">
        <v>397</v>
      </c>
    </row>
    <row r="186" spans="2:5" x14ac:dyDescent="0.3">
      <c r="B186" t="s">
        <v>380</v>
      </c>
      <c r="C186">
        <v>185</v>
      </c>
      <c r="D186" t="s">
        <v>387</v>
      </c>
      <c r="E186" t="s">
        <v>397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EE49C-4BA2-44DB-B6FB-B9F0BDF5C878}">
  <dimension ref="A1:AP1111"/>
  <sheetViews>
    <sheetView workbookViewId="0"/>
  </sheetViews>
  <sheetFormatPr defaultRowHeight="14.4" x14ac:dyDescent="0.3"/>
  <sheetData>
    <row r="1" spans="1:42" x14ac:dyDescent="0.3">
      <c r="A1" t="s">
        <v>0</v>
      </c>
      <c r="B1" t="s">
        <v>2</v>
      </c>
      <c r="C1" s="1" t="s">
        <v>3</v>
      </c>
      <c r="D1" s="1" t="s">
        <v>5</v>
      </c>
      <c r="E1" s="5" t="s">
        <v>1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16</v>
      </c>
      <c r="P1" s="1" t="s">
        <v>17</v>
      </c>
      <c r="Q1" t="s">
        <v>20</v>
      </c>
      <c r="R1" t="s">
        <v>22</v>
      </c>
      <c r="S1" t="s">
        <v>26</v>
      </c>
      <c r="T1" t="s">
        <v>27</v>
      </c>
      <c r="U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C1" s="2" t="s">
        <v>34</v>
      </c>
      <c r="AD1" s="2" t="s">
        <v>35</v>
      </c>
      <c r="AE1" s="2" t="s">
        <v>36</v>
      </c>
      <c r="AF1" s="2" t="s">
        <v>37</v>
      </c>
      <c r="AG1" s="2" t="s">
        <v>38</v>
      </c>
      <c r="AH1" s="2" t="s">
        <v>39</v>
      </c>
      <c r="AI1" s="2" t="s">
        <v>40</v>
      </c>
      <c r="AJ1" s="2" t="s">
        <v>41</v>
      </c>
      <c r="AK1" s="2" t="s">
        <v>42</v>
      </c>
      <c r="AL1" s="2" t="s">
        <v>43</v>
      </c>
      <c r="AM1" s="2" t="s">
        <v>44</v>
      </c>
      <c r="AN1" s="2" t="s">
        <v>45</v>
      </c>
      <c r="AO1" s="2" t="s">
        <v>46</v>
      </c>
      <c r="AP1" s="2" t="s">
        <v>47</v>
      </c>
    </row>
    <row r="2" spans="1:42" x14ac:dyDescent="0.3">
      <c r="A2" t="s">
        <v>48</v>
      </c>
      <c r="B2" s="3">
        <v>2015</v>
      </c>
      <c r="C2" s="3">
        <v>0.104184</v>
      </c>
      <c r="D2" s="3"/>
      <c r="E2" t="s">
        <v>49</v>
      </c>
      <c r="G2" s="3">
        <v>3350.365234375</v>
      </c>
      <c r="H2" s="3">
        <v>4413.416015625</v>
      </c>
      <c r="I2" s="3">
        <v>4407.77294921875</v>
      </c>
      <c r="J2" s="3">
        <v>4417.958984375</v>
      </c>
      <c r="K2" s="3">
        <v>24339.126953125</v>
      </c>
      <c r="L2" s="3">
        <v>2.7220346964895698E-4</v>
      </c>
      <c r="M2" s="3"/>
      <c r="N2" s="3"/>
      <c r="O2" s="3">
        <v>3542.0283203125</v>
      </c>
      <c r="P2" s="3">
        <v>4549.6416015625</v>
      </c>
      <c r="Q2" s="3"/>
      <c r="R2" s="3">
        <v>0.64510613679885898</v>
      </c>
      <c r="S2" s="3">
        <v>0.69500470161437999</v>
      </c>
      <c r="T2" s="3">
        <v>0.67219996452331499</v>
      </c>
      <c r="U2" s="3">
        <v>0.67065018415451105</v>
      </c>
      <c r="W2" t="s">
        <v>50</v>
      </c>
      <c r="X2" t="s">
        <v>51</v>
      </c>
      <c r="Y2" t="s">
        <v>52</v>
      </c>
      <c r="Z2" t="s">
        <v>53</v>
      </c>
      <c r="AA2" t="s">
        <v>53</v>
      </c>
      <c r="AC2" s="2">
        <v>0.64919718485969202</v>
      </c>
      <c r="AD2" s="2">
        <v>0.50583380460739102</v>
      </c>
      <c r="AE2" s="2">
        <v>0.24062037467956501</v>
      </c>
      <c r="AF2" s="2">
        <v>0.25251755118370101</v>
      </c>
      <c r="AG2" s="2">
        <v>0.91435730457305897</v>
      </c>
      <c r="AH2" s="2">
        <v>-0.91332709789276101</v>
      </c>
      <c r="AI2" s="2">
        <v>-1.8855116650229301E-6</v>
      </c>
      <c r="AJ2" s="2">
        <v>0.73362689697185202</v>
      </c>
      <c r="AK2" s="2">
        <v>0.600327559496865</v>
      </c>
      <c r="AL2" s="2">
        <v>0.61763816503138003</v>
      </c>
      <c r="AM2" s="2">
        <v>0.53435188531875599</v>
      </c>
      <c r="AN2" s="2">
        <v>0.53589332103729304</v>
      </c>
      <c r="AO2" s="2">
        <v>0.51738655567169201</v>
      </c>
      <c r="AP2" s="2">
        <v>0.51611268520355202</v>
      </c>
    </row>
    <row r="3" spans="1:42" x14ac:dyDescent="0.3">
      <c r="A3" t="s">
        <v>48</v>
      </c>
      <c r="B3" s="3">
        <v>2016</v>
      </c>
      <c r="C3" s="3">
        <v>0.104977</v>
      </c>
      <c r="D3" s="3"/>
      <c r="E3" t="s">
        <v>49</v>
      </c>
      <c r="G3" s="3">
        <v>3334.701171875</v>
      </c>
      <c r="H3" s="3">
        <v>4295.23193359375</v>
      </c>
      <c r="I3" s="3">
        <v>4356.2685546875</v>
      </c>
      <c r="J3" s="3">
        <v>3770.416015625</v>
      </c>
      <c r="K3" s="3">
        <v>21043.9921875</v>
      </c>
      <c r="L3" s="3">
        <v>2.34930659644306E-4</v>
      </c>
      <c r="M3" s="3"/>
      <c r="N3" s="3"/>
      <c r="O3" s="3">
        <v>3525.9619140625</v>
      </c>
      <c r="P3" s="3">
        <v>4540.41552734375</v>
      </c>
      <c r="Q3" s="3"/>
      <c r="R3" s="3">
        <v>0.64510613679885898</v>
      </c>
      <c r="S3" s="3">
        <v>0.69809848070144698</v>
      </c>
      <c r="T3" s="3">
        <v>0.68490660190582298</v>
      </c>
      <c r="U3" s="3">
        <v>0.79132831096649203</v>
      </c>
      <c r="W3" t="s">
        <v>50</v>
      </c>
      <c r="X3" t="s">
        <v>51</v>
      </c>
      <c r="Y3" t="s">
        <v>52</v>
      </c>
      <c r="Z3" t="s">
        <v>53</v>
      </c>
      <c r="AA3" t="s">
        <v>53</v>
      </c>
      <c r="AC3" s="2">
        <v>0.661914801824244</v>
      </c>
      <c r="AD3" s="2">
        <v>0.58660870790481601</v>
      </c>
      <c r="AE3" s="2">
        <v>0.25475457310676602</v>
      </c>
      <c r="AF3" s="2">
        <v>0.29782977700233498</v>
      </c>
      <c r="AG3" s="2">
        <v>1.0374158620834399</v>
      </c>
      <c r="AH3" s="2">
        <v>-1.17660892009735</v>
      </c>
      <c r="AI3" s="2">
        <v>1.5241377180506899E-16</v>
      </c>
      <c r="AJ3" s="2">
        <v>0.73568942398722204</v>
      </c>
      <c r="AK3" s="2">
        <v>0.63910782829206103</v>
      </c>
      <c r="AL3" s="2">
        <v>0.62405894422525598</v>
      </c>
      <c r="AM3" s="2">
        <v>0.54783749580383301</v>
      </c>
      <c r="AN3" s="2">
        <v>0.47360491752624501</v>
      </c>
      <c r="AO3" s="2">
        <v>0.57589977979660001</v>
      </c>
      <c r="AP3" s="2">
        <v>0.58340215682983398</v>
      </c>
    </row>
    <row r="4" spans="1:42" x14ac:dyDescent="0.3">
      <c r="A4" t="s">
        <v>48</v>
      </c>
      <c r="B4" s="3">
        <v>2017</v>
      </c>
      <c r="C4" s="3">
        <v>0.10573100000000001</v>
      </c>
      <c r="D4" s="3"/>
      <c r="E4" t="s">
        <v>49</v>
      </c>
      <c r="G4" s="3">
        <v>3402.72119140625</v>
      </c>
      <c r="H4" s="3">
        <v>4367.5634765625</v>
      </c>
      <c r="I4" s="3">
        <v>4424.78125</v>
      </c>
      <c r="J4" s="3">
        <v>3404.408203125</v>
      </c>
      <c r="K4" s="3">
        <v>18997.287109375</v>
      </c>
      <c r="L4" s="3">
        <v>2.11442107683979E-4</v>
      </c>
      <c r="M4" s="3"/>
      <c r="N4" s="3"/>
      <c r="O4" s="3">
        <v>3615.1259765625</v>
      </c>
      <c r="P4" s="3">
        <v>4677.45751953125</v>
      </c>
      <c r="Q4" s="3"/>
      <c r="R4" s="3">
        <v>0.64510613679885898</v>
      </c>
      <c r="S4" s="3">
        <v>0.71028763055801403</v>
      </c>
      <c r="T4" s="3">
        <v>0.69888883829116799</v>
      </c>
      <c r="U4" s="3">
        <v>0.90836060047149703</v>
      </c>
      <c r="W4" t="s">
        <v>51</v>
      </c>
      <c r="X4" t="s">
        <v>51</v>
      </c>
      <c r="Y4" t="s">
        <v>52</v>
      </c>
      <c r="Z4" t="s">
        <v>53</v>
      </c>
      <c r="AA4" t="s">
        <v>53</v>
      </c>
      <c r="AC4" s="2">
        <v>0.68035331845634595</v>
      </c>
      <c r="AD4" s="2">
        <v>0.66956090927124001</v>
      </c>
      <c r="AE4" s="2">
        <v>0.283409744501114</v>
      </c>
      <c r="AF4" s="2">
        <v>0.329943537712097</v>
      </c>
      <c r="AG4" s="2">
        <v>1.1084221601486199</v>
      </c>
      <c r="AH4" s="2">
        <v>-1.39133644104004</v>
      </c>
      <c r="AI4" s="2">
        <v>0</v>
      </c>
      <c r="AJ4" s="2">
        <v>0.74797728670033203</v>
      </c>
      <c r="AK4" s="2">
        <v>0.65868858133205399</v>
      </c>
      <c r="AL4" s="2">
        <v>0.63380318700467597</v>
      </c>
      <c r="AM4" s="2">
        <v>0.59454268217086803</v>
      </c>
      <c r="AN4" s="2">
        <v>0.46520602703094499</v>
      </c>
      <c r="AO4" s="2">
        <v>0.63878196477890004</v>
      </c>
      <c r="AP4" s="2">
        <v>0.64759033918380704</v>
      </c>
    </row>
    <row r="5" spans="1:42" x14ac:dyDescent="0.3">
      <c r="A5" t="s">
        <v>48</v>
      </c>
      <c r="B5" s="3">
        <v>2018</v>
      </c>
      <c r="C5" s="3">
        <v>0.106432</v>
      </c>
      <c r="D5" s="3"/>
      <c r="E5" t="s">
        <v>49</v>
      </c>
      <c r="G5" s="3">
        <v>3532.083984375</v>
      </c>
      <c r="H5" s="3">
        <v>4606.35009765625</v>
      </c>
      <c r="I5" s="3">
        <v>4573.966796875</v>
      </c>
      <c r="J5" s="3">
        <v>4011.48388671875</v>
      </c>
      <c r="K5" s="3">
        <v>21126.40234375</v>
      </c>
      <c r="L5" s="3">
        <v>2.2944515512790501E-4</v>
      </c>
      <c r="M5" s="3"/>
      <c r="N5" s="3"/>
      <c r="O5" s="3">
        <v>3577.88671875</v>
      </c>
      <c r="P5" s="3">
        <v>4657.47900390625</v>
      </c>
      <c r="Q5" s="3"/>
      <c r="R5" s="3">
        <v>0.64510613679885898</v>
      </c>
      <c r="S5" s="3">
        <v>0.72632986307144198</v>
      </c>
      <c r="T5" s="3">
        <v>0.71626770496368397</v>
      </c>
      <c r="U5" s="3">
        <v>0.81670135259628296</v>
      </c>
      <c r="W5" t="s">
        <v>50</v>
      </c>
      <c r="X5" t="s">
        <v>51</v>
      </c>
      <c r="Y5" t="s">
        <v>52</v>
      </c>
      <c r="Z5" t="s">
        <v>53</v>
      </c>
      <c r="AA5" t="s">
        <v>53</v>
      </c>
      <c r="AC5" s="2">
        <v>0.67170210438148104</v>
      </c>
      <c r="AD5" s="2">
        <v>0.57488650083541903</v>
      </c>
      <c r="AE5" s="2">
        <v>0.26779773831367498</v>
      </c>
      <c r="AF5" s="2">
        <v>0.30560663342475902</v>
      </c>
      <c r="AG5" s="2">
        <v>0.98418563604354903</v>
      </c>
      <c r="AH5" s="2">
        <v>-1.1324765682220499</v>
      </c>
      <c r="AI5" s="2">
        <v>-1.3880396404594199E-16</v>
      </c>
      <c r="AJ5" s="2">
        <v>0.78468897564921203</v>
      </c>
      <c r="AK5" s="2">
        <v>0.68318422894286901</v>
      </c>
      <c r="AL5" s="2">
        <v>0.61654861002910899</v>
      </c>
      <c r="AM5" s="2">
        <v>0.59957122802734397</v>
      </c>
      <c r="AN5" s="2">
        <v>0.52616691589355502</v>
      </c>
      <c r="AO5" s="2">
        <v>0.66503202915191695</v>
      </c>
      <c r="AP5" s="2">
        <v>0.59917497634887695</v>
      </c>
    </row>
    <row r="6" spans="1:42" x14ac:dyDescent="0.3">
      <c r="A6" t="s">
        <v>48</v>
      </c>
      <c r="B6" s="3">
        <v>2019</v>
      </c>
      <c r="C6" s="3">
        <v>0.107076</v>
      </c>
      <c r="D6" s="3"/>
      <c r="E6" t="s">
        <v>49</v>
      </c>
      <c r="G6" s="3">
        <v>3446.53686523438</v>
      </c>
      <c r="H6" s="3">
        <v>4420.9091796875</v>
      </c>
      <c r="I6" s="3">
        <v>4471.23779296875</v>
      </c>
      <c r="J6" s="3">
        <v>3765.76196289063</v>
      </c>
      <c r="K6" s="3">
        <v>20307.86328125</v>
      </c>
      <c r="L6" s="3">
        <v>2.1540898887906199E-4</v>
      </c>
      <c r="M6" s="3"/>
      <c r="N6" s="3"/>
      <c r="O6" s="3">
        <v>3512.50366210938</v>
      </c>
      <c r="P6" s="3">
        <v>4607.169921875</v>
      </c>
      <c r="Q6" s="3"/>
      <c r="R6" s="3">
        <v>0.64510613679885898</v>
      </c>
      <c r="S6" s="3">
        <v>0.75310635566711404</v>
      </c>
      <c r="T6" s="3">
        <v>0.75947618484497104</v>
      </c>
      <c r="U6" s="3">
        <v>0.90175604820251498</v>
      </c>
      <c r="W6" t="s">
        <v>50</v>
      </c>
      <c r="X6" t="s">
        <v>54</v>
      </c>
      <c r="Y6" t="s">
        <v>52</v>
      </c>
      <c r="Z6" t="s">
        <v>53</v>
      </c>
      <c r="AA6" t="s">
        <v>53</v>
      </c>
      <c r="AC6" s="2">
        <v>0.128338695839078</v>
      </c>
      <c r="AD6" s="2">
        <v>0.60025089979171797</v>
      </c>
      <c r="AE6" s="2">
        <v>0.25874510407447798</v>
      </c>
      <c r="AF6" s="2">
        <v>0.314978748559952</v>
      </c>
      <c r="AG6" s="2">
        <v>1.05120384693146</v>
      </c>
      <c r="AH6" s="2">
        <v>-1.2251785993576101</v>
      </c>
      <c r="AI6" s="2">
        <v>1.3391470458593301E-16</v>
      </c>
      <c r="AJ6" s="2">
        <v>0.81029986309635305</v>
      </c>
      <c r="AK6" s="2">
        <v>0.78200743348242696</v>
      </c>
      <c r="AL6" s="2">
        <v>0.644113518339824</v>
      </c>
      <c r="AM6" s="2">
        <v>0.62822961807250999</v>
      </c>
      <c r="AN6" s="2">
        <v>0.53073662519455</v>
      </c>
      <c r="AO6" s="2">
        <v>0.71802425384521495</v>
      </c>
      <c r="AP6" s="2">
        <v>0.63634550571441695</v>
      </c>
    </row>
    <row r="7" spans="1:42" x14ac:dyDescent="0.3">
      <c r="A7" t="s">
        <v>48</v>
      </c>
      <c r="B7" s="3">
        <v>2020</v>
      </c>
      <c r="C7" s="3">
        <v>0.1074</v>
      </c>
      <c r="D7" s="3"/>
      <c r="E7" t="s">
        <v>49</v>
      </c>
      <c r="G7" s="3">
        <v>3182.59545898438</v>
      </c>
      <c r="H7" s="3">
        <v>4013.06079101563</v>
      </c>
      <c r="I7" s="3">
        <v>3396.52197265625</v>
      </c>
      <c r="J7" s="3">
        <v>2899.1240234375</v>
      </c>
      <c r="K7" s="3">
        <v>21618.939453125</v>
      </c>
      <c r="L7" s="3">
        <v>2.2218530648388001E-4</v>
      </c>
      <c r="M7" s="3"/>
      <c r="N7" s="3"/>
      <c r="O7" s="3">
        <v>3090.12670898438</v>
      </c>
      <c r="P7" s="3">
        <v>3958.87890625</v>
      </c>
      <c r="Q7" s="3"/>
      <c r="R7" s="3">
        <v>0.64510613679885898</v>
      </c>
      <c r="S7" s="3">
        <v>0.7328240275383</v>
      </c>
      <c r="T7" s="3">
        <v>0.73070544004440297</v>
      </c>
      <c r="U7" s="3">
        <v>0.85607135295867898</v>
      </c>
      <c r="W7" t="s">
        <v>50</v>
      </c>
      <c r="X7" t="s">
        <v>54</v>
      </c>
      <c r="Y7" t="s">
        <v>52</v>
      </c>
      <c r="Z7" t="s">
        <v>53</v>
      </c>
      <c r="AA7" t="s">
        <v>53</v>
      </c>
      <c r="AC7" s="2">
        <v>0.67309076833964099</v>
      </c>
      <c r="AD7" s="2">
        <v>0.70879477262497004</v>
      </c>
      <c r="AE7" s="2">
        <v>0.28645384311675998</v>
      </c>
      <c r="AF7" s="2">
        <v>0.38898351788520802</v>
      </c>
      <c r="AG7" s="2">
        <v>0.80953091382980402</v>
      </c>
      <c r="AH7" s="2">
        <v>-1.1937630176544201</v>
      </c>
      <c r="AI7" s="2">
        <v>-2.25097523953721E-10</v>
      </c>
      <c r="AJ7" s="2">
        <v>0.79015429991427599</v>
      </c>
      <c r="AK7" s="2">
        <v>0.72258634982638303</v>
      </c>
      <c r="AL7" s="2">
        <v>0.62835846660439199</v>
      </c>
      <c r="AM7" s="2">
        <v>0.56039184331893899</v>
      </c>
      <c r="AN7" s="2">
        <v>0.51019263267517101</v>
      </c>
      <c r="AO7" s="2">
        <v>0.71344411373138406</v>
      </c>
      <c r="AP7" s="2">
        <v>0.47074407339096103</v>
      </c>
    </row>
    <row r="8" spans="1:42" x14ac:dyDescent="0.3">
      <c r="A8" t="s">
        <v>55</v>
      </c>
      <c r="B8" s="3">
        <v>2015</v>
      </c>
      <c r="C8" s="3">
        <v>28.157798</v>
      </c>
      <c r="D8" s="3">
        <v>2100.36</v>
      </c>
      <c r="E8" t="s">
        <v>56</v>
      </c>
      <c r="G8" s="3">
        <v>161999.9375</v>
      </c>
      <c r="H8" s="3">
        <v>237960.671875</v>
      </c>
      <c r="I8" s="3">
        <v>230182.078125</v>
      </c>
      <c r="J8" s="3">
        <v>239876.625</v>
      </c>
      <c r="K8" s="3">
        <v>1308671.75</v>
      </c>
      <c r="L8" s="3">
        <v>2.1371288225054699E-2</v>
      </c>
      <c r="M8" s="3">
        <v>0.37530183792114302</v>
      </c>
      <c r="N8" s="3">
        <v>0.35917857289314298</v>
      </c>
      <c r="O8" s="3">
        <v>155849.171875</v>
      </c>
      <c r="P8" s="3">
        <v>208783.453125</v>
      </c>
      <c r="Q8" s="3">
        <v>1.2182209491729701</v>
      </c>
      <c r="R8" s="3">
        <v>0.35004830360412598</v>
      </c>
      <c r="S8" s="3">
        <v>0.49616739153862</v>
      </c>
      <c r="T8" s="3">
        <v>0.50479012727737405</v>
      </c>
      <c r="U8" s="3">
        <v>0.48438924551010099</v>
      </c>
      <c r="W8" t="s">
        <v>50</v>
      </c>
      <c r="X8" t="s">
        <v>51</v>
      </c>
      <c r="Y8" t="s">
        <v>52</v>
      </c>
      <c r="Z8" t="s">
        <v>53</v>
      </c>
      <c r="AA8" t="s">
        <v>53</v>
      </c>
      <c r="AC8" s="2">
        <v>0.319935708214868</v>
      </c>
      <c r="AD8" s="2">
        <v>0.45709863305091902</v>
      </c>
      <c r="AE8" s="2">
        <v>0.31666585803031899</v>
      </c>
      <c r="AF8" s="2">
        <v>0.21824826300144201</v>
      </c>
      <c r="AG8" s="2">
        <v>0.30944487452507002</v>
      </c>
      <c r="AH8" s="2">
        <v>-0.16115534305572499</v>
      </c>
      <c r="AI8" s="2">
        <v>-0.14030230045318601</v>
      </c>
      <c r="AJ8" s="2">
        <v>0.55893023633758498</v>
      </c>
      <c r="AK8" s="2">
        <v>0.523179733297224</v>
      </c>
      <c r="AL8" s="2">
        <v>0.36471707474571602</v>
      </c>
      <c r="AM8" s="2">
        <v>0.45703327655792197</v>
      </c>
      <c r="AN8" s="2">
        <v>0.55744194984436002</v>
      </c>
      <c r="AO8" s="2">
        <v>0.30037403106689498</v>
      </c>
      <c r="AP8" s="2">
        <v>0.47212260961532598</v>
      </c>
    </row>
    <row r="9" spans="1:42" x14ac:dyDescent="0.3">
      <c r="A9" t="s">
        <v>55</v>
      </c>
      <c r="B9" s="3">
        <v>2016</v>
      </c>
      <c r="C9" s="3">
        <v>29.183070000000001</v>
      </c>
      <c r="D9" s="3">
        <v>2100.35</v>
      </c>
      <c r="E9" t="s">
        <v>56</v>
      </c>
      <c r="G9" s="3">
        <v>157984</v>
      </c>
      <c r="H9" s="3">
        <v>213912.765625</v>
      </c>
      <c r="I9" s="3">
        <v>220253.4375</v>
      </c>
      <c r="J9" s="3">
        <v>225767.046875</v>
      </c>
      <c r="K9" s="3">
        <v>1275201.875</v>
      </c>
      <c r="L9" s="3">
        <v>1.9563365727662999E-2</v>
      </c>
      <c r="M9" s="3">
        <v>0.36074703931808499</v>
      </c>
      <c r="N9" s="3">
        <v>0.33046126365661599</v>
      </c>
      <c r="O9" s="3">
        <v>159093.109375</v>
      </c>
      <c r="P9" s="3">
        <v>198197.296875</v>
      </c>
      <c r="Q9" s="3">
        <v>1.1564459800720199</v>
      </c>
      <c r="R9" s="3">
        <v>0.34245735406875599</v>
      </c>
      <c r="S9" s="3">
        <v>0.44746372103691101</v>
      </c>
      <c r="T9" s="3">
        <v>0.45912483334541299</v>
      </c>
      <c r="U9" s="3">
        <v>0.44791227579116799</v>
      </c>
      <c r="W9" t="s">
        <v>50</v>
      </c>
      <c r="X9" t="s">
        <v>51</v>
      </c>
      <c r="Y9" t="s">
        <v>52</v>
      </c>
      <c r="Z9" t="s">
        <v>53</v>
      </c>
      <c r="AA9" t="s">
        <v>53</v>
      </c>
      <c r="AC9" s="2">
        <v>0.24509209914806299</v>
      </c>
      <c r="AD9" s="2">
        <v>0.49399149417877197</v>
      </c>
      <c r="AE9" s="2">
        <v>0.247727766633034</v>
      </c>
      <c r="AF9" s="2">
        <v>0.20577402412891399</v>
      </c>
      <c r="AG9" s="2">
        <v>0.27713179588317899</v>
      </c>
      <c r="AH9" s="2">
        <v>-0.11783895641565301</v>
      </c>
      <c r="AI9" s="2">
        <v>-0.106786154210567</v>
      </c>
      <c r="AJ9" s="2">
        <v>0.50799743313338397</v>
      </c>
      <c r="AK9" s="2">
        <v>0.49206440583701799</v>
      </c>
      <c r="AL9" s="2">
        <v>0.30214346311386098</v>
      </c>
      <c r="AM9" s="2">
        <v>0.448437660932541</v>
      </c>
      <c r="AN9" s="2">
        <v>0.53930348157882702</v>
      </c>
      <c r="AO9" s="2">
        <v>0.277471274137497</v>
      </c>
      <c r="AP9" s="2">
        <v>0.43994373083114602</v>
      </c>
    </row>
    <row r="10" spans="1:42" x14ac:dyDescent="0.3">
      <c r="A10" t="s">
        <v>55</v>
      </c>
      <c r="B10" s="3">
        <v>2017</v>
      </c>
      <c r="C10" s="3">
        <v>30.234839000000001</v>
      </c>
      <c r="D10" s="3">
        <v>2101.5</v>
      </c>
      <c r="E10" t="s">
        <v>56</v>
      </c>
      <c r="G10" s="3">
        <v>163518.375</v>
      </c>
      <c r="H10" s="3">
        <v>215643.4375</v>
      </c>
      <c r="I10" s="3">
        <v>228802.75</v>
      </c>
      <c r="J10" s="3">
        <v>238324.328125</v>
      </c>
      <c r="K10" s="3">
        <v>1534771.125</v>
      </c>
      <c r="L10" s="3">
        <v>2.2330773994326598E-2</v>
      </c>
      <c r="M10" s="3">
        <v>0.34203872084617598</v>
      </c>
      <c r="N10" s="3">
        <v>0.29804199934005698</v>
      </c>
      <c r="O10" s="3">
        <v>162898.4375</v>
      </c>
      <c r="P10" s="3">
        <v>188904.4375</v>
      </c>
      <c r="Q10" s="3">
        <v>1.1367621421814</v>
      </c>
      <c r="R10" s="3">
        <v>0.346645057201386</v>
      </c>
      <c r="S10" s="3">
        <v>0.52367937564849898</v>
      </c>
      <c r="T10" s="3">
        <v>0.53375172615051303</v>
      </c>
      <c r="U10" s="3">
        <v>0.51242715120315596</v>
      </c>
      <c r="W10" t="s">
        <v>51</v>
      </c>
      <c r="X10" t="s">
        <v>51</v>
      </c>
      <c r="Y10" t="s">
        <v>52</v>
      </c>
      <c r="Z10" t="s">
        <v>53</v>
      </c>
      <c r="AA10" t="s">
        <v>53</v>
      </c>
      <c r="AC10" s="2">
        <v>0.20745098732470199</v>
      </c>
      <c r="AD10" s="2">
        <v>0.46618998050689697</v>
      </c>
      <c r="AE10" s="2">
        <v>0.21871483325958299</v>
      </c>
      <c r="AF10" s="2">
        <v>0.219926998019218</v>
      </c>
      <c r="AG10" s="2">
        <v>0.31370806694030801</v>
      </c>
      <c r="AH10" s="2">
        <v>-0.11684999614954</v>
      </c>
      <c r="AI10" s="2">
        <v>-0.10168992727994899</v>
      </c>
      <c r="AJ10" s="2">
        <v>0.62853909708517797</v>
      </c>
      <c r="AK10" s="2">
        <v>0.56534908639100301</v>
      </c>
      <c r="AL10" s="2">
        <v>0.301403031278273</v>
      </c>
      <c r="AM10" s="2">
        <v>0.46686583757400502</v>
      </c>
      <c r="AN10" s="2">
        <v>0.55523568391799905</v>
      </c>
      <c r="AO10" s="2">
        <v>0.31530275940895103</v>
      </c>
      <c r="AP10" s="2">
        <v>0.445799291133881</v>
      </c>
    </row>
    <row r="11" spans="1:42" x14ac:dyDescent="0.3">
      <c r="A11" t="s">
        <v>55</v>
      </c>
      <c r="B11" s="3">
        <v>2018</v>
      </c>
      <c r="C11" s="3">
        <v>31.297155</v>
      </c>
      <c r="D11" s="3">
        <v>2102.4499999999998</v>
      </c>
      <c r="E11" t="s">
        <v>56</v>
      </c>
      <c r="G11" s="3">
        <v>163980.21875</v>
      </c>
      <c r="H11" s="3">
        <v>205352.828125</v>
      </c>
      <c r="I11" s="3">
        <v>242431.703125</v>
      </c>
      <c r="J11" s="3">
        <v>239628.796875</v>
      </c>
      <c r="K11" s="3">
        <v>1268128.625</v>
      </c>
      <c r="L11" s="3">
        <v>1.81872043758631E-2</v>
      </c>
      <c r="M11" s="3">
        <v>0.37376025319099399</v>
      </c>
      <c r="N11" s="3">
        <v>0.30831915140152</v>
      </c>
      <c r="O11" s="3">
        <v>157809.203125</v>
      </c>
      <c r="P11" s="3">
        <v>181925.796875</v>
      </c>
      <c r="Q11" s="3">
        <v>1.10563504695892</v>
      </c>
      <c r="R11" s="3">
        <v>0.33080524206161499</v>
      </c>
      <c r="S11" s="3">
        <v>0.413101315498352</v>
      </c>
      <c r="T11" s="3">
        <v>0.41806915402412398</v>
      </c>
      <c r="U11" s="3">
        <v>0.42295923829078702</v>
      </c>
      <c r="W11" t="s">
        <v>50</v>
      </c>
      <c r="X11" t="s">
        <v>51</v>
      </c>
      <c r="Y11" t="s">
        <v>52</v>
      </c>
      <c r="Z11" t="s">
        <v>53</v>
      </c>
      <c r="AA11" t="s">
        <v>53</v>
      </c>
      <c r="AC11" s="2">
        <v>0.19317024290923801</v>
      </c>
      <c r="AD11" s="2">
        <v>0.49710869789123502</v>
      </c>
      <c r="AE11" s="2">
        <v>0.17265290021896401</v>
      </c>
      <c r="AF11" s="2">
        <v>0.18720063567161599</v>
      </c>
      <c r="AG11" s="2">
        <v>0.36783882975578303</v>
      </c>
      <c r="AH11" s="2">
        <v>-0.120623610913754</v>
      </c>
      <c r="AI11" s="2">
        <v>-0.10417744517326399</v>
      </c>
      <c r="AJ11" s="2">
        <v>0.47954507421564901</v>
      </c>
      <c r="AK11" s="2">
        <v>0.43775904183754599</v>
      </c>
      <c r="AL11" s="2">
        <v>0.23666081260058799</v>
      </c>
      <c r="AM11" s="2">
        <v>0.47758623957634</v>
      </c>
      <c r="AN11" s="2">
        <v>0.55480158329009999</v>
      </c>
      <c r="AO11" s="2">
        <v>0.25130495429039001</v>
      </c>
      <c r="AP11" s="2">
        <v>0.44095045328140298</v>
      </c>
    </row>
    <row r="12" spans="1:42" x14ac:dyDescent="0.3">
      <c r="A12" t="s">
        <v>55</v>
      </c>
      <c r="B12" s="3">
        <v>2019</v>
      </c>
      <c r="C12" s="3">
        <v>32.375632000000003</v>
      </c>
      <c r="D12" s="3">
        <v>2103.92</v>
      </c>
      <c r="E12" t="s">
        <v>56</v>
      </c>
      <c r="G12" s="3">
        <v>152289.09375</v>
      </c>
      <c r="H12" s="3">
        <v>194875.984375</v>
      </c>
      <c r="I12" s="3">
        <v>255581.671875</v>
      </c>
      <c r="J12" s="3">
        <v>236096.609375</v>
      </c>
      <c r="K12" s="3">
        <v>1174152.875</v>
      </c>
      <c r="L12" s="3">
        <v>1.6360888257622701E-2</v>
      </c>
      <c r="M12" s="3">
        <v>0.37838008999824502</v>
      </c>
      <c r="N12" s="3">
        <v>0.30053663253784202</v>
      </c>
      <c r="O12" s="3">
        <v>155285.171875</v>
      </c>
      <c r="P12" s="3">
        <v>179277.890625</v>
      </c>
      <c r="Q12" s="3">
        <v>1.0791695117950399</v>
      </c>
      <c r="R12" s="3">
        <v>0.32351937890052801</v>
      </c>
      <c r="S12" s="3">
        <v>0.31955495476722701</v>
      </c>
      <c r="T12" s="3">
        <v>0.32528445124626199</v>
      </c>
      <c r="U12" s="3">
        <v>0.35213017463684099</v>
      </c>
      <c r="W12" t="s">
        <v>50</v>
      </c>
      <c r="X12" t="s">
        <v>54</v>
      </c>
      <c r="Y12" t="s">
        <v>52</v>
      </c>
      <c r="Z12" t="s">
        <v>53</v>
      </c>
      <c r="AA12" t="s">
        <v>53</v>
      </c>
      <c r="AC12" s="2">
        <v>0.18332453245441199</v>
      </c>
      <c r="AD12" s="2">
        <v>0.475599735975266</v>
      </c>
      <c r="AE12" s="2">
        <v>0.180379092693329</v>
      </c>
      <c r="AF12" s="2">
        <v>0.16942897439002999</v>
      </c>
      <c r="AG12" s="2">
        <v>0.36934426426887501</v>
      </c>
      <c r="AH12" s="2">
        <v>-0.12293855100870101</v>
      </c>
      <c r="AI12" s="2">
        <v>-7.1813546121120495E-2</v>
      </c>
      <c r="AJ12" s="2">
        <v>0.369728864276059</v>
      </c>
      <c r="AK12" s="2">
        <v>0.345772862228792</v>
      </c>
      <c r="AL12" s="2">
        <v>0.17871305523094799</v>
      </c>
      <c r="AM12" s="2">
        <v>0.39554712176322898</v>
      </c>
      <c r="AN12" s="2">
        <v>0.30232566595077498</v>
      </c>
      <c r="AO12" s="2">
        <v>0.20433863997459401</v>
      </c>
      <c r="AP12" s="2">
        <v>0.390982925891876</v>
      </c>
    </row>
    <row r="13" spans="1:42" x14ac:dyDescent="0.3">
      <c r="A13" t="s">
        <v>55</v>
      </c>
      <c r="B13" s="3">
        <v>2020</v>
      </c>
      <c r="C13" s="3">
        <v>33.451132000000001</v>
      </c>
      <c r="D13" s="3">
        <v>2015.3</v>
      </c>
      <c r="E13" t="s">
        <v>56</v>
      </c>
      <c r="G13" s="3">
        <v>145932.125</v>
      </c>
      <c r="H13" s="3">
        <v>173215.09375</v>
      </c>
      <c r="I13" s="3">
        <v>218663.296875</v>
      </c>
      <c r="J13" s="3">
        <v>211528.890625</v>
      </c>
      <c r="K13" s="3">
        <v>833200.75</v>
      </c>
      <c r="L13" s="3">
        <v>1.0847358033061E-2</v>
      </c>
      <c r="M13" s="3">
        <v>0.43028634786605802</v>
      </c>
      <c r="N13" s="3">
        <v>0.33801594376563998</v>
      </c>
      <c r="O13" s="3">
        <v>144771.421875</v>
      </c>
      <c r="P13" s="3">
        <v>167580.46875</v>
      </c>
      <c r="Q13" s="3">
        <v>1.0198765993118299</v>
      </c>
      <c r="R13" s="3">
        <v>0.28762924671173101</v>
      </c>
      <c r="S13" s="3">
        <v>0.24788358807563801</v>
      </c>
      <c r="T13" s="3">
        <v>0.25071004033088701</v>
      </c>
      <c r="U13" s="3">
        <v>0.25916594266891502</v>
      </c>
      <c r="W13" t="s">
        <v>50</v>
      </c>
      <c r="X13" t="s">
        <v>54</v>
      </c>
      <c r="Y13" t="s">
        <v>52</v>
      </c>
      <c r="Z13" t="s">
        <v>53</v>
      </c>
      <c r="AA13" t="s">
        <v>53</v>
      </c>
      <c r="AC13" s="2">
        <v>0.17283575530161899</v>
      </c>
      <c r="AD13" s="2">
        <v>0.55068534612655595</v>
      </c>
      <c r="AE13" s="2">
        <v>0.12897989153862</v>
      </c>
      <c r="AF13" s="2">
        <v>0.13920681178569799</v>
      </c>
      <c r="AG13" s="2">
        <v>0.35767751932144198</v>
      </c>
      <c r="AH13" s="2">
        <v>-0.103776104748249</v>
      </c>
      <c r="AI13" s="2">
        <v>-7.2773493826389299E-2</v>
      </c>
      <c r="AJ13" s="2">
        <v>0.27641340704953898</v>
      </c>
      <c r="AK13" s="2">
        <v>0.26582812873009598</v>
      </c>
      <c r="AL13" s="2">
        <v>0.13502305188578601</v>
      </c>
      <c r="AM13" s="2">
        <v>0.28146713972091703</v>
      </c>
      <c r="AN13" s="2">
        <v>0.26930630207061801</v>
      </c>
      <c r="AO13" s="2">
        <v>0.159269228577614</v>
      </c>
      <c r="AP13" s="2">
        <v>0.42751824855804399</v>
      </c>
    </row>
    <row r="14" spans="1:42" x14ac:dyDescent="0.3">
      <c r="A14" t="s">
        <v>57</v>
      </c>
      <c r="B14" s="3">
        <v>2015</v>
      </c>
      <c r="C14" s="3">
        <v>1.421E-2</v>
      </c>
      <c r="D14" s="3"/>
      <c r="E14" t="s">
        <v>58</v>
      </c>
      <c r="G14" s="3">
        <v>392.36557006835898</v>
      </c>
      <c r="H14" s="3">
        <v>500.57980346679699</v>
      </c>
      <c r="I14" s="3">
        <v>414.86538696289102</v>
      </c>
      <c r="J14" s="3">
        <v>227.59645080566401</v>
      </c>
      <c r="K14" s="3">
        <v>3065.72143554688</v>
      </c>
      <c r="L14" s="3"/>
      <c r="M14" s="3"/>
      <c r="N14" s="3"/>
      <c r="O14" s="3">
        <v>456.61096191406301</v>
      </c>
      <c r="P14" s="3">
        <v>601.294189453125</v>
      </c>
      <c r="Q14" s="3"/>
      <c r="R14" s="3"/>
      <c r="S14" s="3">
        <v>0.80375581979751598</v>
      </c>
      <c r="T14" s="3">
        <v>0.79625445604324296</v>
      </c>
      <c r="U14" s="3">
        <v>1.45142138004303</v>
      </c>
      <c r="W14" t="s">
        <v>50</v>
      </c>
      <c r="X14" t="s">
        <v>51</v>
      </c>
      <c r="Y14" t="s">
        <v>52</v>
      </c>
      <c r="Z14" t="s">
        <v>53</v>
      </c>
      <c r="AC14" s="2">
        <v>0.44860431823457297</v>
      </c>
      <c r="AD14" s="2">
        <v>1.31868052482605</v>
      </c>
      <c r="AE14" s="2">
        <v>0.47546541690826399</v>
      </c>
      <c r="AF14" s="2">
        <v>0.40527239441871599</v>
      </c>
      <c r="AG14" s="2">
        <v>1.55947053432465</v>
      </c>
      <c r="AH14" s="2">
        <v>-2.75888895988464</v>
      </c>
      <c r="AI14" s="2">
        <v>1.12118458961419E-9</v>
      </c>
      <c r="AJ14" s="2">
        <v>0.86597404481317797</v>
      </c>
      <c r="AK14" s="2">
        <v>0.76905570574850202</v>
      </c>
      <c r="AL14" s="2">
        <v>0.60130941764911106</v>
      </c>
      <c r="AM14" s="2">
        <v>0.58497887849807695</v>
      </c>
      <c r="AN14" s="2">
        <v>0.43935531377792397</v>
      </c>
      <c r="AO14" s="2">
        <v>0.55039811134338401</v>
      </c>
      <c r="AP14" s="2"/>
    </row>
    <row r="15" spans="1:42" x14ac:dyDescent="0.3">
      <c r="A15" t="s">
        <v>57</v>
      </c>
      <c r="B15" s="3">
        <v>2016</v>
      </c>
      <c r="C15" s="3">
        <v>1.4319999999999999E-2</v>
      </c>
      <c r="D15" s="3"/>
      <c r="E15" t="s">
        <v>58</v>
      </c>
      <c r="G15" s="3">
        <v>380.80239868164102</v>
      </c>
      <c r="H15" s="3">
        <v>461.85296630859398</v>
      </c>
      <c r="I15" s="3">
        <v>383.42172241210898</v>
      </c>
      <c r="J15" s="3">
        <v>200.67546081543</v>
      </c>
      <c r="K15" s="3">
        <v>2877.06469726563</v>
      </c>
      <c r="L15" s="3"/>
      <c r="M15" s="3"/>
      <c r="N15" s="3"/>
      <c r="O15" s="3">
        <v>455.62902832031301</v>
      </c>
      <c r="P15" s="3">
        <v>573.87457275390602</v>
      </c>
      <c r="Q15" s="3"/>
      <c r="R15" s="3"/>
      <c r="S15" s="3">
        <v>0.83327621221542403</v>
      </c>
      <c r="T15" s="3">
        <v>0.83053898811340299</v>
      </c>
      <c r="U15" s="3">
        <v>1.586874127388</v>
      </c>
      <c r="W15" t="s">
        <v>50</v>
      </c>
      <c r="X15" t="s">
        <v>51</v>
      </c>
      <c r="Y15" t="s">
        <v>52</v>
      </c>
      <c r="Z15" t="s">
        <v>53</v>
      </c>
      <c r="AC15" s="2">
        <v>0.37319303952986899</v>
      </c>
      <c r="AD15" s="2">
        <v>1.4624840021133401</v>
      </c>
      <c r="AE15" s="2">
        <v>0.40388876199722301</v>
      </c>
      <c r="AF15" s="2">
        <v>0.43511918187141402</v>
      </c>
      <c r="AG15" s="2">
        <v>1.7653940916061399</v>
      </c>
      <c r="AH15" s="2">
        <v>-3.0668861865997301</v>
      </c>
      <c r="AI15" s="2">
        <v>1.16305320929655E-9</v>
      </c>
      <c r="AJ15" s="2">
        <v>0.90537610752109898</v>
      </c>
      <c r="AK15" s="2">
        <v>0.81767882601022002</v>
      </c>
      <c r="AL15" s="2">
        <v>0.59094034657583305</v>
      </c>
      <c r="AM15" s="2">
        <v>0.58442884683608998</v>
      </c>
      <c r="AN15" s="2">
        <v>0.44225704669952398</v>
      </c>
      <c r="AO15" s="2">
        <v>0.59873455762863204</v>
      </c>
      <c r="AP15" s="2"/>
    </row>
    <row r="16" spans="1:42" x14ac:dyDescent="0.3">
      <c r="A16" t="s">
        <v>57</v>
      </c>
      <c r="B16" s="3">
        <v>2017</v>
      </c>
      <c r="C16" s="3">
        <v>1.4425E-2</v>
      </c>
      <c r="D16" s="3"/>
      <c r="E16" t="s">
        <v>58</v>
      </c>
      <c r="G16" s="3">
        <v>245.86431884765599</v>
      </c>
      <c r="H16" s="3">
        <v>318.96652221679699</v>
      </c>
      <c r="I16" s="3">
        <v>313.38195800781301</v>
      </c>
      <c r="J16" s="3">
        <v>160.17663574218801</v>
      </c>
      <c r="K16" s="3">
        <v>2415.42431640625</v>
      </c>
      <c r="L16" s="3"/>
      <c r="M16" s="3"/>
      <c r="N16" s="3"/>
      <c r="O16" s="3">
        <v>345.20300292968801</v>
      </c>
      <c r="P16" s="3">
        <v>457.968017578125</v>
      </c>
      <c r="Q16" s="3"/>
      <c r="R16" s="3"/>
      <c r="S16" s="3">
        <v>0.90671646595001198</v>
      </c>
      <c r="T16" s="3">
        <v>0.88992202281951904</v>
      </c>
      <c r="U16" s="3">
        <v>1.7411125898361199</v>
      </c>
      <c r="W16" t="s">
        <v>51</v>
      </c>
      <c r="X16" t="s">
        <v>51</v>
      </c>
      <c r="Y16" t="s">
        <v>52</v>
      </c>
      <c r="Z16" t="s">
        <v>53</v>
      </c>
      <c r="AC16" s="2">
        <v>0.31072690837018702</v>
      </c>
      <c r="AD16" s="2">
        <v>0.95849221944809004</v>
      </c>
      <c r="AE16" s="2">
        <v>0.456384927034378</v>
      </c>
      <c r="AF16" s="2">
        <v>0.57646518945694003</v>
      </c>
      <c r="AG16" s="2">
        <v>2.9187440872192401</v>
      </c>
      <c r="AH16" s="2">
        <v>-3.91008472442627</v>
      </c>
      <c r="AI16" s="2">
        <v>-1.7198080968228201E-6</v>
      </c>
      <c r="AJ16" s="2">
        <v>1.1031093020984699</v>
      </c>
      <c r="AK16" s="2">
        <v>0.83343743146153304</v>
      </c>
      <c r="AL16" s="2">
        <v>0.58017285891346504</v>
      </c>
      <c r="AM16" s="2">
        <v>0.60159707069396995</v>
      </c>
      <c r="AN16" s="2">
        <v>0.45700594782829301</v>
      </c>
      <c r="AO16" s="2">
        <v>0.66950333118438698</v>
      </c>
      <c r="AP16" s="2"/>
    </row>
    <row r="17" spans="1:42" x14ac:dyDescent="0.3">
      <c r="A17" t="s">
        <v>57</v>
      </c>
      <c r="B17" s="3">
        <v>2018</v>
      </c>
      <c r="C17" s="3">
        <v>1.4721E-2</v>
      </c>
      <c r="D17" s="3"/>
      <c r="E17" t="s">
        <v>58</v>
      </c>
      <c r="G17" s="3">
        <v>452.10546875</v>
      </c>
      <c r="H17" s="3">
        <v>637.84320068359398</v>
      </c>
      <c r="I17" s="3">
        <v>405.23190307617199</v>
      </c>
      <c r="J17" s="3">
        <v>150.71682739257801</v>
      </c>
      <c r="K17" s="3">
        <v>2865.67260742188</v>
      </c>
      <c r="L17" s="3"/>
      <c r="M17" s="3"/>
      <c r="N17" s="3"/>
      <c r="O17" s="3">
        <v>521.01086425781295</v>
      </c>
      <c r="P17" s="3">
        <v>764.86291503906295</v>
      </c>
      <c r="Q17" s="3"/>
      <c r="R17" s="3"/>
      <c r="S17" s="3">
        <v>0.78753870725631703</v>
      </c>
      <c r="T17" s="3">
        <v>0.78650969266891502</v>
      </c>
      <c r="U17" s="3">
        <v>2.1146869659423801</v>
      </c>
      <c r="W17" t="s">
        <v>50</v>
      </c>
      <c r="X17" t="s">
        <v>51</v>
      </c>
      <c r="Y17" t="s">
        <v>52</v>
      </c>
      <c r="Z17" t="s">
        <v>53</v>
      </c>
      <c r="AC17" s="2">
        <v>0.345019997860954</v>
      </c>
      <c r="AD17" s="2">
        <v>2.4429872035980198</v>
      </c>
      <c r="AE17" s="2">
        <v>1.2323621511459399</v>
      </c>
      <c r="AF17" s="2">
        <v>0.55671399831771895</v>
      </c>
      <c r="AG17" s="2">
        <v>2.4073121547699001</v>
      </c>
      <c r="AH17" s="2">
        <v>-5.6393718719482404</v>
      </c>
      <c r="AI17" s="2">
        <v>-3.6047088087798299E-6</v>
      </c>
      <c r="AJ17" s="2">
        <v>0.84096814615728099</v>
      </c>
      <c r="AK17" s="2">
        <v>0.78400488128576296</v>
      </c>
      <c r="AL17" s="2">
        <v>0.55307831398792495</v>
      </c>
      <c r="AM17" s="2">
        <v>0.60272610187530495</v>
      </c>
      <c r="AN17" s="2">
        <v>0.47253751754760698</v>
      </c>
      <c r="AO17" s="2">
        <v>0.63176727294921897</v>
      </c>
      <c r="AP17" s="2"/>
    </row>
    <row r="18" spans="1:42" x14ac:dyDescent="0.3">
      <c r="A18" t="s">
        <v>57</v>
      </c>
      <c r="B18" s="3">
        <v>2019</v>
      </c>
      <c r="C18" s="3">
        <v>1.4822999999999999E-2</v>
      </c>
      <c r="D18" s="3"/>
      <c r="E18" t="s">
        <v>58</v>
      </c>
      <c r="G18" s="3">
        <v>543.94049072265602</v>
      </c>
      <c r="H18" s="3">
        <v>642.95501708984398</v>
      </c>
      <c r="I18" s="3">
        <v>499.904052734375</v>
      </c>
      <c r="J18" s="3">
        <v>327.97082519531301</v>
      </c>
      <c r="K18" s="3">
        <v>3364.373046875</v>
      </c>
      <c r="L18" s="3"/>
      <c r="M18" s="3"/>
      <c r="N18" s="3"/>
      <c r="O18" s="3">
        <v>542.43841552734398</v>
      </c>
      <c r="P18" s="3">
        <v>666.15350341796898</v>
      </c>
      <c r="Q18" s="3"/>
      <c r="R18" s="3"/>
      <c r="S18" s="3">
        <v>0.76159405708312999</v>
      </c>
      <c r="T18" s="3">
        <v>0.75942987203598</v>
      </c>
      <c r="U18" s="3">
        <v>1.15754818916321</v>
      </c>
      <c r="W18" t="s">
        <v>50</v>
      </c>
      <c r="X18" t="s">
        <v>54</v>
      </c>
      <c r="Y18" t="s">
        <v>52</v>
      </c>
      <c r="Z18" t="s">
        <v>53</v>
      </c>
      <c r="AC18" s="2">
        <v>0.44176353809241897</v>
      </c>
      <c r="AD18" s="2">
        <v>1.2891868352889999</v>
      </c>
      <c r="AE18" s="2">
        <v>0.30190032720565801</v>
      </c>
      <c r="AF18" s="2">
        <v>0.36931577324867298</v>
      </c>
      <c r="AG18" s="2">
        <v>1.2374807596206701</v>
      </c>
      <c r="AH18" s="2">
        <v>-2.19788694381714</v>
      </c>
      <c r="AI18" s="2">
        <v>3.2447719604533602E-6</v>
      </c>
      <c r="AJ18" s="2">
        <v>0.83310445953908097</v>
      </c>
      <c r="AK18" s="2">
        <v>0.747540893397451</v>
      </c>
      <c r="AL18" s="2">
        <v>0.51196967118995795</v>
      </c>
      <c r="AM18" s="2">
        <v>0.66567581892013605</v>
      </c>
      <c r="AN18" s="2">
        <v>0.525507032871246</v>
      </c>
      <c r="AO18" s="2">
        <v>0.607047319412231</v>
      </c>
      <c r="AP18" s="2"/>
    </row>
    <row r="19" spans="1:42" x14ac:dyDescent="0.3">
      <c r="A19" t="s">
        <v>57</v>
      </c>
      <c r="B19" s="3">
        <v>2020</v>
      </c>
      <c r="C19" s="3">
        <v>1.4843E-2</v>
      </c>
      <c r="D19" s="3"/>
      <c r="E19" t="s">
        <v>58</v>
      </c>
      <c r="G19" s="3">
        <v>344.61343383789102</v>
      </c>
      <c r="H19" s="3">
        <v>444.17672729492199</v>
      </c>
      <c r="I19" s="3">
        <v>353.12875366210898</v>
      </c>
      <c r="J19" s="3">
        <v>238.60195922851599</v>
      </c>
      <c r="K19" s="3">
        <v>3547.96264648438</v>
      </c>
      <c r="L19" s="3"/>
      <c r="M19" s="3"/>
      <c r="N19" s="3"/>
      <c r="O19" s="3">
        <v>349.57336425781301</v>
      </c>
      <c r="P19" s="3">
        <v>461.93972778320301</v>
      </c>
      <c r="Q19" s="3"/>
      <c r="R19" s="3"/>
      <c r="S19" s="3">
        <v>0.75221031904220603</v>
      </c>
      <c r="T19" s="3">
        <v>0.74017113447189298</v>
      </c>
      <c r="U19" s="3">
        <v>1.09544670581818</v>
      </c>
      <c r="W19" t="s">
        <v>50</v>
      </c>
      <c r="X19" t="s">
        <v>54</v>
      </c>
      <c r="Y19" t="s">
        <v>52</v>
      </c>
      <c r="Z19" t="s">
        <v>53</v>
      </c>
      <c r="AC19" s="2">
        <v>0.48768789067277002</v>
      </c>
      <c r="AD19" s="2">
        <v>1.0749888420105</v>
      </c>
      <c r="AE19" s="2">
        <v>0.417277812957764</v>
      </c>
      <c r="AF19" s="2">
        <v>0.36931368708610501</v>
      </c>
      <c r="AG19" s="2">
        <v>1.2450864315032999</v>
      </c>
      <c r="AH19" s="2">
        <v>-2.1066665649414098</v>
      </c>
      <c r="AI19" s="2">
        <v>-4.1659910721136802E-7</v>
      </c>
      <c r="AJ19" s="2">
        <v>0.84127574552971796</v>
      </c>
      <c r="AK19" s="2">
        <v>0.69850042922075395</v>
      </c>
      <c r="AL19" s="2">
        <v>0.49296104984073702</v>
      </c>
      <c r="AM19" s="2">
        <v>0.64841949939727805</v>
      </c>
      <c r="AN19" s="2">
        <v>0.51730036735534701</v>
      </c>
      <c r="AO19" s="2">
        <v>0.56363701820373502</v>
      </c>
      <c r="AP19" s="2"/>
    </row>
    <row r="20" spans="1:42" x14ac:dyDescent="0.3">
      <c r="A20" t="s">
        <v>59</v>
      </c>
      <c r="B20" s="3">
        <v>2015</v>
      </c>
      <c r="C20" s="3">
        <v>2.8986320000000001</v>
      </c>
      <c r="D20" s="3">
        <v>1969.74</v>
      </c>
      <c r="E20" t="s">
        <v>60</v>
      </c>
      <c r="G20" s="3">
        <v>32709.958984375</v>
      </c>
      <c r="H20" s="3">
        <v>40862.2421875</v>
      </c>
      <c r="I20" s="3">
        <v>34739.609375</v>
      </c>
      <c r="J20" s="3">
        <v>36354.46875</v>
      </c>
      <c r="K20" s="3">
        <v>203614.4375</v>
      </c>
      <c r="L20" s="3">
        <v>1.2815283844247499E-3</v>
      </c>
      <c r="M20" s="3">
        <v>0.57081419229507502</v>
      </c>
      <c r="N20" s="3">
        <v>0.61897277832031306</v>
      </c>
      <c r="O20" s="3">
        <v>32933.8203125</v>
      </c>
      <c r="P20" s="3">
        <v>41406.01953125</v>
      </c>
      <c r="Q20" s="3">
        <v>1.0457237958908101</v>
      </c>
      <c r="R20" s="3">
        <v>0.86971473693847701</v>
      </c>
      <c r="S20" s="3">
        <v>0.319589704275131</v>
      </c>
      <c r="T20" s="3">
        <v>0.32777792215347301</v>
      </c>
      <c r="U20" s="3">
        <v>0.31321808695793202</v>
      </c>
      <c r="W20" t="s">
        <v>50</v>
      </c>
      <c r="X20" t="s">
        <v>51</v>
      </c>
      <c r="Y20" t="s">
        <v>52</v>
      </c>
      <c r="Z20" t="s">
        <v>53</v>
      </c>
      <c r="AA20" t="s">
        <v>61</v>
      </c>
      <c r="AC20" s="2">
        <v>0.453879168373787</v>
      </c>
      <c r="AD20" s="2">
        <v>0.70382553339004505</v>
      </c>
      <c r="AE20" s="2">
        <v>0.22424428164959001</v>
      </c>
      <c r="AF20" s="2">
        <v>0.19592517614364599</v>
      </c>
      <c r="AG20" s="2">
        <v>9.9904358386993394E-2</v>
      </c>
      <c r="AH20" s="2">
        <v>-0.25759589672088601</v>
      </c>
      <c r="AI20" s="2">
        <v>3.3696614205837298E-2</v>
      </c>
      <c r="AJ20" s="2">
        <v>0.35910964434835202</v>
      </c>
      <c r="AK20" s="2">
        <v>0.360632021746432</v>
      </c>
      <c r="AL20" s="2">
        <v>0.17762152124429301</v>
      </c>
      <c r="AM20" s="2">
        <v>0.53129762411117598</v>
      </c>
      <c r="AN20" s="2">
        <v>0.46132716536521901</v>
      </c>
      <c r="AO20" s="2">
        <v>0.230747506022453</v>
      </c>
      <c r="AP20" s="2">
        <v>0.15466557443141901</v>
      </c>
    </row>
    <row r="21" spans="1:42" x14ac:dyDescent="0.3">
      <c r="A21" t="s">
        <v>59</v>
      </c>
      <c r="B21" s="3">
        <v>2016</v>
      </c>
      <c r="C21" s="3">
        <v>2.8978670000000002</v>
      </c>
      <c r="D21" s="3">
        <v>2059.25</v>
      </c>
      <c r="E21" t="s">
        <v>60</v>
      </c>
      <c r="G21" s="3">
        <v>32833.23828125</v>
      </c>
      <c r="H21" s="3">
        <v>41061.4921875</v>
      </c>
      <c r="I21" s="3">
        <v>34959.5546875</v>
      </c>
      <c r="J21" s="3">
        <v>36543.0390625</v>
      </c>
      <c r="K21" s="3">
        <v>211923.6875</v>
      </c>
      <c r="L21" s="3">
        <v>1.00883364211768E-3</v>
      </c>
      <c r="M21" s="3">
        <v>0.56600618362426802</v>
      </c>
      <c r="N21" s="3">
        <v>0.61488384008407604</v>
      </c>
      <c r="O21" s="3">
        <v>33736.64453125</v>
      </c>
      <c r="P21" s="3">
        <v>42222.41015625</v>
      </c>
      <c r="Q21" s="3">
        <v>0.98269003629684504</v>
      </c>
      <c r="R21" s="3">
        <v>0.90033894777297996</v>
      </c>
      <c r="S21" s="3">
        <v>0.333188116550446</v>
      </c>
      <c r="T21" s="3">
        <v>0.33928373456001298</v>
      </c>
      <c r="U21" s="3">
        <v>0.32458186149597201</v>
      </c>
      <c r="W21" t="s">
        <v>50</v>
      </c>
      <c r="X21" t="s">
        <v>51</v>
      </c>
      <c r="Y21" t="s">
        <v>52</v>
      </c>
      <c r="Z21" t="s">
        <v>53</v>
      </c>
      <c r="AA21" t="s">
        <v>61</v>
      </c>
      <c r="AC21" s="2">
        <v>0.45353508821087202</v>
      </c>
      <c r="AD21" s="2">
        <v>0.69722759723663297</v>
      </c>
      <c r="AE21" s="2">
        <v>0.22516615688800801</v>
      </c>
      <c r="AF21" s="2">
        <v>0.201253682374954</v>
      </c>
      <c r="AG21" s="2">
        <v>0.10202116519212701</v>
      </c>
      <c r="AH21" s="2">
        <v>-0.27936330437660201</v>
      </c>
      <c r="AI21" s="2">
        <v>5.3694687783718102E-2</v>
      </c>
      <c r="AJ21" s="2">
        <v>0.37690020088628101</v>
      </c>
      <c r="AK21" s="2">
        <v>0.36360709901861799</v>
      </c>
      <c r="AL21" s="2">
        <v>0.181751025565976</v>
      </c>
      <c r="AM21" s="2">
        <v>0.52629595994949296</v>
      </c>
      <c r="AN21" s="2">
        <v>0.45737963914871199</v>
      </c>
      <c r="AO21" s="2">
        <v>0.232017606496811</v>
      </c>
      <c r="AP21" s="2">
        <v>0.15166945755481701</v>
      </c>
    </row>
    <row r="22" spans="1:42" x14ac:dyDescent="0.3">
      <c r="A22" t="s">
        <v>59</v>
      </c>
      <c r="B22" s="3">
        <v>2017</v>
      </c>
      <c r="C22" s="3">
        <v>2.8982420000000002</v>
      </c>
      <c r="D22" s="3">
        <v>2081.27</v>
      </c>
      <c r="E22" t="s">
        <v>60</v>
      </c>
      <c r="G22" s="3">
        <v>34106.0390625</v>
      </c>
      <c r="H22" s="3">
        <v>42635.41796875</v>
      </c>
      <c r="I22" s="3">
        <v>36704.57421875</v>
      </c>
      <c r="J22" s="3">
        <v>37818.0078125</v>
      </c>
      <c r="K22" s="3">
        <v>211866.796875</v>
      </c>
      <c r="L22" s="3">
        <v>8.9439179282635505E-4</v>
      </c>
      <c r="M22" s="3">
        <v>0.57515758275985696</v>
      </c>
      <c r="N22" s="3">
        <v>0.62444317340850797</v>
      </c>
      <c r="O22" s="3">
        <v>34588.98828125</v>
      </c>
      <c r="P22" s="3">
        <v>43455.82421875</v>
      </c>
      <c r="Q22" s="3">
        <v>0.97283768653869596</v>
      </c>
      <c r="R22" s="3">
        <v>0.91199517250061002</v>
      </c>
      <c r="S22" s="3">
        <v>0.34778997302055398</v>
      </c>
      <c r="T22" s="3">
        <v>0.354716867208481</v>
      </c>
      <c r="U22" s="3">
        <v>0.34427332878112799</v>
      </c>
      <c r="W22" t="s">
        <v>51</v>
      </c>
      <c r="X22" t="s">
        <v>51</v>
      </c>
      <c r="Y22" t="s">
        <v>52</v>
      </c>
      <c r="Z22" t="s">
        <v>53</v>
      </c>
      <c r="AA22" t="s">
        <v>61</v>
      </c>
      <c r="AC22" s="2">
        <v>0.44051427897087703</v>
      </c>
      <c r="AD22" s="2">
        <v>0.69735813140869096</v>
      </c>
      <c r="AE22" s="2">
        <v>0.225537493824959</v>
      </c>
      <c r="AF22" s="2">
        <v>0.20448842644691501</v>
      </c>
      <c r="AG22" s="2">
        <v>0.108465723693371</v>
      </c>
      <c r="AH22" s="2">
        <v>-0.304114639759064</v>
      </c>
      <c r="AI22" s="2">
        <v>6.8264834582805606E-2</v>
      </c>
      <c r="AJ22" s="2">
        <v>0.39300820850740698</v>
      </c>
      <c r="AK22" s="2">
        <v>0.38241509693023201</v>
      </c>
      <c r="AL22" s="2">
        <v>0.19358413484948001</v>
      </c>
      <c r="AM22" s="2">
        <v>0.56103485822677601</v>
      </c>
      <c r="AN22" s="2">
        <v>0.46029886603355402</v>
      </c>
      <c r="AO22" s="2">
        <v>0.25104415416717502</v>
      </c>
      <c r="AP22" s="2">
        <v>0.15983584523201</v>
      </c>
    </row>
    <row r="23" spans="1:42" x14ac:dyDescent="0.3">
      <c r="A23" t="s">
        <v>59</v>
      </c>
      <c r="B23" s="3">
        <v>2018</v>
      </c>
      <c r="C23" s="3">
        <v>2.894231</v>
      </c>
      <c r="D23" s="3">
        <v>2113.7600000000002</v>
      </c>
      <c r="E23" t="s">
        <v>60</v>
      </c>
      <c r="G23" s="3">
        <v>34678.33203125</v>
      </c>
      <c r="H23" s="3">
        <v>43431.19140625</v>
      </c>
      <c r="I23" s="3">
        <v>37996.09765625</v>
      </c>
      <c r="J23" s="3">
        <v>38011.47265625</v>
      </c>
      <c r="K23" s="3">
        <v>220434.625</v>
      </c>
      <c r="L23" s="3">
        <v>1.8301244126632801E-3</v>
      </c>
      <c r="M23" s="3">
        <v>0.45809701085090598</v>
      </c>
      <c r="N23" s="3">
        <v>0.50383758544921897</v>
      </c>
      <c r="O23" s="3">
        <v>35592.65234375</v>
      </c>
      <c r="P23" s="3">
        <v>44502.41796875</v>
      </c>
      <c r="Q23" s="3">
        <v>0.96068352460861195</v>
      </c>
      <c r="R23" s="3">
        <v>0.70129239559173595</v>
      </c>
      <c r="S23" s="3">
        <v>0.39507457613945002</v>
      </c>
      <c r="T23" s="3">
        <v>0.39889430999755898</v>
      </c>
      <c r="U23" s="3">
        <v>0.398732990026474</v>
      </c>
      <c r="W23" t="s">
        <v>50</v>
      </c>
      <c r="X23" t="s">
        <v>51</v>
      </c>
      <c r="Y23" t="s">
        <v>52</v>
      </c>
      <c r="Z23" t="s">
        <v>53</v>
      </c>
      <c r="AA23" t="s">
        <v>62</v>
      </c>
      <c r="AC23" s="2">
        <v>0.46370830048504302</v>
      </c>
      <c r="AD23" s="2">
        <v>0.70883351564407404</v>
      </c>
      <c r="AE23" s="2">
        <v>0.230268925428391</v>
      </c>
      <c r="AF23" s="2">
        <v>0.203478693962097</v>
      </c>
      <c r="AG23" s="2">
        <v>0.12954875826835599</v>
      </c>
      <c r="AH23" s="2">
        <v>-0.331339001655579</v>
      </c>
      <c r="AI23" s="2">
        <v>5.9209156781434999E-2</v>
      </c>
      <c r="AJ23" s="2">
        <v>0.44499591624976398</v>
      </c>
      <c r="AK23" s="2">
        <v>0.41402787054458301</v>
      </c>
      <c r="AL23" s="2">
        <v>0.22116986105096001</v>
      </c>
      <c r="AM23" s="2">
        <v>0.584009289741516</v>
      </c>
      <c r="AN23" s="2">
        <v>0.471729755401611</v>
      </c>
      <c r="AO23" s="2">
        <v>0.27439486980438199</v>
      </c>
      <c r="AP23" s="2">
        <v>0.29250156879425099</v>
      </c>
    </row>
    <row r="24" spans="1:42" x14ac:dyDescent="0.3">
      <c r="A24" t="s">
        <v>59</v>
      </c>
      <c r="B24" s="3">
        <v>2019</v>
      </c>
      <c r="C24" s="3">
        <v>2.8850099999999999</v>
      </c>
      <c r="D24" s="3">
        <v>2142.84</v>
      </c>
      <c r="E24" t="s">
        <v>60</v>
      </c>
      <c r="G24" s="3">
        <v>37379.43359375</v>
      </c>
      <c r="H24" s="3">
        <v>46194.79296875</v>
      </c>
      <c r="I24" s="3">
        <v>40394.2578125</v>
      </c>
      <c r="J24" s="3">
        <v>40734.84375</v>
      </c>
      <c r="K24" s="3">
        <v>231582.15625</v>
      </c>
      <c r="L24" s="3">
        <v>1.8546589417383101E-3</v>
      </c>
      <c r="M24" s="3">
        <v>0.46636927127838101</v>
      </c>
      <c r="N24" s="3">
        <v>0.50892901420593295</v>
      </c>
      <c r="O24" s="3">
        <v>36751.1171875</v>
      </c>
      <c r="P24" s="3">
        <v>45582.984375</v>
      </c>
      <c r="Q24" s="3">
        <v>0.94389986991882302</v>
      </c>
      <c r="R24" s="3">
        <v>0.70630347728729304</v>
      </c>
      <c r="S24" s="3">
        <v>0.37638700008392301</v>
      </c>
      <c r="T24" s="3">
        <v>0.38128739595413202</v>
      </c>
      <c r="U24" s="3">
        <v>0.37809944152831998</v>
      </c>
      <c r="W24" t="s">
        <v>50</v>
      </c>
      <c r="X24" t="s">
        <v>54</v>
      </c>
      <c r="Y24" t="s">
        <v>52</v>
      </c>
      <c r="Z24" t="s">
        <v>53</v>
      </c>
      <c r="AA24" t="s">
        <v>62</v>
      </c>
      <c r="AC24" s="2">
        <v>0.46545726926775899</v>
      </c>
      <c r="AD24" s="2">
        <v>0.71331429481506403</v>
      </c>
      <c r="AE24" s="2">
        <v>0.216408357024193</v>
      </c>
      <c r="AF24" s="2">
        <v>0.204313784837723</v>
      </c>
      <c r="AG24" s="2">
        <v>0.12574997544288599</v>
      </c>
      <c r="AH24" s="2">
        <v>-0.31778541207313499</v>
      </c>
      <c r="AI24" s="2">
        <v>5.79989664256573E-2</v>
      </c>
      <c r="AJ24" s="2">
        <v>0.42404922835222097</v>
      </c>
      <c r="AK24" s="2">
        <v>0.40206645950303199</v>
      </c>
      <c r="AL24" s="2">
        <v>0.20998531114201699</v>
      </c>
      <c r="AM24" s="2">
        <v>0.56568008661270097</v>
      </c>
      <c r="AN24" s="2">
        <v>0.46370282769203203</v>
      </c>
      <c r="AO24" s="2">
        <v>0.264565229415894</v>
      </c>
      <c r="AP24" s="2">
        <v>0.27741071581840498</v>
      </c>
    </row>
    <row r="25" spans="1:42" x14ac:dyDescent="0.3">
      <c r="A25" t="s">
        <v>59</v>
      </c>
      <c r="B25" s="3">
        <v>2020</v>
      </c>
      <c r="C25" s="3">
        <v>2.8719540000000001</v>
      </c>
      <c r="D25" s="3">
        <v>2042.15</v>
      </c>
      <c r="E25" t="s">
        <v>60</v>
      </c>
      <c r="G25" s="3">
        <v>36072.75390625</v>
      </c>
      <c r="H25" s="3">
        <v>44582.55078125</v>
      </c>
      <c r="I25" s="3">
        <v>38612.8359375</v>
      </c>
      <c r="J25" s="3">
        <v>39250.39453125</v>
      </c>
      <c r="K25" s="3">
        <v>235767.40625</v>
      </c>
      <c r="L25" s="3">
        <v>1.76147522870451E-3</v>
      </c>
      <c r="M25" s="3">
        <v>0.472896218299866</v>
      </c>
      <c r="N25" s="3">
        <v>0.51528835296630904</v>
      </c>
      <c r="O25" s="3">
        <v>35721.06640625</v>
      </c>
      <c r="P25" s="3">
        <v>44284.4765625</v>
      </c>
      <c r="Q25" s="3">
        <v>0.967126965522766</v>
      </c>
      <c r="R25" s="3">
        <v>0.70489013195037797</v>
      </c>
      <c r="S25" s="3">
        <v>0.38879296183586098</v>
      </c>
      <c r="T25" s="3">
        <v>0.392686367034912</v>
      </c>
      <c r="U25" s="3">
        <v>0.38630780577659601</v>
      </c>
      <c r="W25" t="s">
        <v>50</v>
      </c>
      <c r="X25" t="s">
        <v>54</v>
      </c>
      <c r="Y25" t="s">
        <v>52</v>
      </c>
      <c r="Z25" t="s">
        <v>53</v>
      </c>
      <c r="AA25" t="s">
        <v>53</v>
      </c>
      <c r="AC25" s="2">
        <v>0.49842746062751803</v>
      </c>
      <c r="AD25" s="2">
        <v>0.71112096309661899</v>
      </c>
      <c r="AE25" s="2">
        <v>0.216807931661606</v>
      </c>
      <c r="AF25" s="2">
        <v>0.20792081952095001</v>
      </c>
      <c r="AG25" s="2">
        <v>9.3571797013282804E-2</v>
      </c>
      <c r="AH25" s="2">
        <v>-0.26076179742813099</v>
      </c>
      <c r="AI25" s="2">
        <v>3.1340289860963801E-2</v>
      </c>
      <c r="AJ25" s="2">
        <v>0.43810445414621402</v>
      </c>
      <c r="AK25" s="2">
        <v>0.40919026240353301</v>
      </c>
      <c r="AL25" s="2">
        <v>0.22014010421014199</v>
      </c>
      <c r="AM25" s="2">
        <v>0.56217902898788497</v>
      </c>
      <c r="AN25" s="2">
        <v>0.47720170021057101</v>
      </c>
      <c r="AO25" s="2">
        <v>0.27013701200485202</v>
      </c>
      <c r="AP25" s="2">
        <v>0.30165436863899198</v>
      </c>
    </row>
    <row r="26" spans="1:42" x14ac:dyDescent="0.3">
      <c r="A26" t="s">
        <v>63</v>
      </c>
      <c r="B26" s="3">
        <v>2015</v>
      </c>
      <c r="C26" s="3">
        <v>8.674633</v>
      </c>
      <c r="D26" s="3">
        <v>2661.13</v>
      </c>
      <c r="E26" t="s">
        <v>64</v>
      </c>
      <c r="G26" s="3">
        <v>301829.9375</v>
      </c>
      <c r="H26" s="3">
        <v>514499.75</v>
      </c>
      <c r="I26" s="3">
        <v>678574.9375</v>
      </c>
      <c r="J26" s="3">
        <v>745924.0625</v>
      </c>
      <c r="K26" s="3">
        <v>4267525</v>
      </c>
      <c r="L26" s="3"/>
      <c r="M26" s="3"/>
      <c r="N26" s="3"/>
      <c r="O26" s="3">
        <v>257413.484375</v>
      </c>
      <c r="P26" s="3">
        <v>467805.125</v>
      </c>
      <c r="Q26" s="3"/>
      <c r="R26" s="3"/>
      <c r="S26" s="3">
        <v>0.65624332427978505</v>
      </c>
      <c r="T26" s="3">
        <v>0.54566633701324496</v>
      </c>
      <c r="U26" s="3">
        <v>0.49639832973480202</v>
      </c>
      <c r="W26" t="s">
        <v>50</v>
      </c>
      <c r="X26" t="s">
        <v>51</v>
      </c>
      <c r="Y26" t="s">
        <v>52</v>
      </c>
      <c r="Z26" t="s">
        <v>53</v>
      </c>
      <c r="AC26" s="2">
        <v>0.48503288597794197</v>
      </c>
      <c r="AD26" s="2">
        <v>0.310570508241653</v>
      </c>
      <c r="AE26" s="2">
        <v>0.28510919213295</v>
      </c>
      <c r="AF26" s="2">
        <v>9.4068475067615495E-2</v>
      </c>
      <c r="AG26" s="2">
        <v>0.78917431831359897</v>
      </c>
      <c r="AH26" s="2">
        <v>-0.68438106775283802</v>
      </c>
      <c r="AI26" s="2">
        <v>0.20545858144760101</v>
      </c>
      <c r="AJ26" s="2">
        <v>0.66287432625200404</v>
      </c>
      <c r="AK26" s="2">
        <v>0.38873071306012102</v>
      </c>
      <c r="AL26" s="2">
        <v>0.63435088920022698</v>
      </c>
      <c r="AM26" s="2">
        <v>0.51044219732284601</v>
      </c>
      <c r="AN26" s="2">
        <v>0.56224697828292902</v>
      </c>
      <c r="AO26" s="2">
        <v>0.24804732203483601</v>
      </c>
      <c r="AP26" s="2"/>
    </row>
    <row r="27" spans="1:42" x14ac:dyDescent="0.3">
      <c r="A27" t="s">
        <v>63</v>
      </c>
      <c r="B27" s="3">
        <v>2016</v>
      </c>
      <c r="C27" s="3">
        <v>9.0308729999999997</v>
      </c>
      <c r="D27" s="3">
        <v>2671.65</v>
      </c>
      <c r="E27" t="s">
        <v>64</v>
      </c>
      <c r="G27" s="3">
        <v>296153.875</v>
      </c>
      <c r="H27" s="3">
        <v>502406.8125</v>
      </c>
      <c r="I27" s="3">
        <v>664114.875</v>
      </c>
      <c r="J27" s="3">
        <v>712997.25</v>
      </c>
      <c r="K27" s="3">
        <v>4423458.5</v>
      </c>
      <c r="L27" s="3"/>
      <c r="M27" s="3"/>
      <c r="N27" s="3"/>
      <c r="O27" s="3">
        <v>264706.21875</v>
      </c>
      <c r="P27" s="3">
        <v>477193.90625</v>
      </c>
      <c r="Q27" s="3"/>
      <c r="R27" s="3"/>
      <c r="S27" s="3">
        <v>0.67347812652587902</v>
      </c>
      <c r="T27" s="3">
        <v>0.55601119995117199</v>
      </c>
      <c r="U27" s="3">
        <v>0.517891705036163</v>
      </c>
      <c r="W27" t="s">
        <v>50</v>
      </c>
      <c r="X27" t="s">
        <v>51</v>
      </c>
      <c r="Y27" t="s">
        <v>52</v>
      </c>
      <c r="Z27" t="s">
        <v>53</v>
      </c>
      <c r="AC27" s="2">
        <v>0.47422923737955802</v>
      </c>
      <c r="AD27" s="2">
        <v>0.32240971922874501</v>
      </c>
      <c r="AE27" s="2">
        <v>0.28927591443061801</v>
      </c>
      <c r="AF27" s="2">
        <v>9.2954963445663494E-2</v>
      </c>
      <c r="AG27" s="2">
        <v>0.80707246065139804</v>
      </c>
      <c r="AH27" s="2">
        <v>-0.68948566913604703</v>
      </c>
      <c r="AI27" s="2">
        <v>0.177772641181946</v>
      </c>
      <c r="AJ27" s="2">
        <v>0.67308907719615096</v>
      </c>
      <c r="AK27" s="2">
        <v>0.38734322869215498</v>
      </c>
      <c r="AL27" s="2">
        <v>0.67482739510300904</v>
      </c>
      <c r="AM27" s="2">
        <v>0.51273250579833995</v>
      </c>
      <c r="AN27" s="2">
        <v>0.55081009864807096</v>
      </c>
      <c r="AO27" s="2">
        <v>0.242654949426651</v>
      </c>
      <c r="AP27" s="2"/>
    </row>
    <row r="28" spans="1:42" x14ac:dyDescent="0.3">
      <c r="A28" t="s">
        <v>63</v>
      </c>
      <c r="B28" s="3">
        <v>2017</v>
      </c>
      <c r="C28" s="3">
        <v>9.2343270000000004</v>
      </c>
      <c r="D28" s="3">
        <v>2680.97</v>
      </c>
      <c r="E28" t="s">
        <v>64</v>
      </c>
      <c r="G28" s="3">
        <v>301245.65625</v>
      </c>
      <c r="H28" s="3">
        <v>509670.34375</v>
      </c>
      <c r="I28" s="3">
        <v>677643.25</v>
      </c>
      <c r="J28" s="3">
        <v>665583.125</v>
      </c>
      <c r="K28" s="3">
        <v>4332636</v>
      </c>
      <c r="L28" s="3"/>
      <c r="M28" s="3"/>
      <c r="N28" s="3"/>
      <c r="O28" s="3">
        <v>282405.625</v>
      </c>
      <c r="P28" s="3">
        <v>500271.3125</v>
      </c>
      <c r="Q28" s="3"/>
      <c r="R28" s="3"/>
      <c r="S28" s="3">
        <v>0.69912564754486095</v>
      </c>
      <c r="T28" s="3">
        <v>0.57628673315048196</v>
      </c>
      <c r="U28" s="3">
        <v>0.58672887086868297</v>
      </c>
      <c r="W28" t="s">
        <v>51</v>
      </c>
      <c r="X28" t="s">
        <v>51</v>
      </c>
      <c r="Y28" t="s">
        <v>52</v>
      </c>
      <c r="Z28" t="s">
        <v>53</v>
      </c>
      <c r="AC28" s="2">
        <v>0.44677401579758502</v>
      </c>
      <c r="AD28" s="2">
        <v>0.34894388914108299</v>
      </c>
      <c r="AE28" s="2">
        <v>0.31314596533775302</v>
      </c>
      <c r="AF28" s="2">
        <v>0.103660240769386</v>
      </c>
      <c r="AG28" s="2">
        <v>0.81978708505630504</v>
      </c>
      <c r="AH28" s="2">
        <v>-0.69034332036972101</v>
      </c>
      <c r="AI28" s="2">
        <v>0.104806132614613</v>
      </c>
      <c r="AJ28" s="2">
        <v>0.68745671269561504</v>
      </c>
      <c r="AK28" s="2">
        <v>0.39874208888486601</v>
      </c>
      <c r="AL28" s="2">
        <v>0.73840589342919305</v>
      </c>
      <c r="AM28" s="2">
        <v>0.57466650009155296</v>
      </c>
      <c r="AN28" s="2">
        <v>0.56082206964492798</v>
      </c>
      <c r="AO28" s="2">
        <v>0.24660262465477001</v>
      </c>
      <c r="AP28" s="2"/>
    </row>
    <row r="29" spans="1:42" x14ac:dyDescent="0.3">
      <c r="A29" t="s">
        <v>63</v>
      </c>
      <c r="B29" s="3">
        <v>2018</v>
      </c>
      <c r="C29" s="3">
        <v>9.3468699999999991</v>
      </c>
      <c r="D29" s="3">
        <v>2691.72</v>
      </c>
      <c r="E29" t="s">
        <v>64</v>
      </c>
      <c r="G29" s="3">
        <v>323638.125</v>
      </c>
      <c r="H29" s="3">
        <v>524562.9375</v>
      </c>
      <c r="I29" s="3">
        <v>726452.75</v>
      </c>
      <c r="J29" s="3">
        <v>715894.125</v>
      </c>
      <c r="K29" s="3">
        <v>4057753.25</v>
      </c>
      <c r="L29" s="3"/>
      <c r="M29" s="3"/>
      <c r="N29" s="3"/>
      <c r="O29" s="3">
        <v>285402.03125</v>
      </c>
      <c r="P29" s="3">
        <v>502843.28125</v>
      </c>
      <c r="Q29" s="3"/>
      <c r="R29" s="3"/>
      <c r="S29" s="3">
        <v>0.66475415229797397</v>
      </c>
      <c r="T29" s="3">
        <v>0.58785575628280595</v>
      </c>
      <c r="U29" s="3">
        <v>0.59652602672576904</v>
      </c>
      <c r="W29" t="s">
        <v>50</v>
      </c>
      <c r="X29" t="s">
        <v>51</v>
      </c>
      <c r="Y29" t="s">
        <v>52</v>
      </c>
      <c r="Z29" t="s">
        <v>53</v>
      </c>
      <c r="AC29" s="2">
        <v>0.44480801999259201</v>
      </c>
      <c r="AD29" s="2">
        <v>0.34736165404319802</v>
      </c>
      <c r="AE29" s="2">
        <v>0.28066274523735002</v>
      </c>
      <c r="AF29" s="2">
        <v>0.104713775217533</v>
      </c>
      <c r="AG29" s="2">
        <v>0.91801828145980802</v>
      </c>
      <c r="AH29" s="2">
        <v>-0.59319418668747004</v>
      </c>
      <c r="AI29" s="2">
        <v>-5.7562205940485001E-2</v>
      </c>
      <c r="AJ29" s="2">
        <v>0.650312802411394</v>
      </c>
      <c r="AK29" s="2">
        <v>0.463992269399362</v>
      </c>
      <c r="AL29" s="2">
        <v>0.71265972068860195</v>
      </c>
      <c r="AM29" s="2">
        <v>0.59024304151535001</v>
      </c>
      <c r="AN29" s="2">
        <v>0.57609272003173795</v>
      </c>
      <c r="AO29" s="2">
        <v>0.28728067874908497</v>
      </c>
      <c r="AP29" s="2"/>
    </row>
    <row r="30" spans="1:42" x14ac:dyDescent="0.3">
      <c r="A30" t="s">
        <v>63</v>
      </c>
      <c r="B30" s="3">
        <v>2019</v>
      </c>
      <c r="C30" s="3">
        <v>9.3778469999999992</v>
      </c>
      <c r="D30" s="3">
        <v>2706.89</v>
      </c>
      <c r="E30" t="s">
        <v>64</v>
      </c>
      <c r="G30" s="3">
        <v>350611.21875</v>
      </c>
      <c r="H30" s="3">
        <v>585491.1875</v>
      </c>
      <c r="I30" s="3">
        <v>766862.4375</v>
      </c>
      <c r="J30" s="3">
        <v>752255.9375</v>
      </c>
      <c r="K30" s="3">
        <v>4294786.5</v>
      </c>
      <c r="L30" s="3"/>
      <c r="M30" s="3"/>
      <c r="N30" s="3"/>
      <c r="O30" s="3">
        <v>304670</v>
      </c>
      <c r="P30" s="3">
        <v>531968.0625</v>
      </c>
      <c r="Q30" s="3"/>
      <c r="R30" s="3"/>
      <c r="S30" s="3">
        <v>0.62326449155807495</v>
      </c>
      <c r="T30" s="3">
        <v>0.54506480693817105</v>
      </c>
      <c r="U30" s="3">
        <v>0.55564820766448997</v>
      </c>
      <c r="W30" t="s">
        <v>50</v>
      </c>
      <c r="X30" t="s">
        <v>54</v>
      </c>
      <c r="Y30" t="s">
        <v>52</v>
      </c>
      <c r="Z30" t="s">
        <v>53</v>
      </c>
      <c r="AC30" s="2">
        <v>0.44624756270935401</v>
      </c>
      <c r="AD30" s="2">
        <v>0.35940378904342701</v>
      </c>
      <c r="AE30" s="2">
        <v>0.31223410367965698</v>
      </c>
      <c r="AF30" s="2">
        <v>0.106675885617733</v>
      </c>
      <c r="AG30" s="2">
        <v>0.876814484596252</v>
      </c>
      <c r="AH30" s="2">
        <v>-0.650066137313843</v>
      </c>
      <c r="AI30" s="2">
        <v>-5.0621568225324197E-3</v>
      </c>
      <c r="AJ30" s="2">
        <v>0.60592095223439801</v>
      </c>
      <c r="AK30" s="2">
        <v>0.42833416403645402</v>
      </c>
      <c r="AL30" s="2">
        <v>0.68169704304529</v>
      </c>
      <c r="AM30" s="2">
        <v>0.59032684564590499</v>
      </c>
      <c r="AN30" s="2">
        <v>0.58975154161453303</v>
      </c>
      <c r="AO30" s="2">
        <v>0.26580509543418901</v>
      </c>
      <c r="AP30" s="2"/>
    </row>
    <row r="31" spans="1:42" x14ac:dyDescent="0.3">
      <c r="A31" t="s">
        <v>63</v>
      </c>
      <c r="B31" s="3">
        <v>2020</v>
      </c>
      <c r="C31" s="3">
        <v>9.4485240000000008</v>
      </c>
      <c r="D31" s="3">
        <v>2578.15</v>
      </c>
      <c r="E31" t="s">
        <v>64</v>
      </c>
      <c r="G31" s="3">
        <v>343300.15625</v>
      </c>
      <c r="H31" s="3">
        <v>559090</v>
      </c>
      <c r="I31" s="3">
        <v>659146.6875</v>
      </c>
      <c r="J31" s="3">
        <v>715402.875</v>
      </c>
      <c r="K31" s="3">
        <v>5296067.5</v>
      </c>
      <c r="L31" s="3"/>
      <c r="M31" s="3"/>
      <c r="N31" s="3"/>
      <c r="O31" s="3">
        <v>300064.53125</v>
      </c>
      <c r="P31" s="3">
        <v>492080</v>
      </c>
      <c r="Q31" s="3"/>
      <c r="R31" s="3"/>
      <c r="S31" s="3">
        <v>0.62597084045410201</v>
      </c>
      <c r="T31" s="3">
        <v>0.530190110206604</v>
      </c>
      <c r="U31" s="3">
        <v>0.48849815130233798</v>
      </c>
      <c r="W31" t="s">
        <v>50</v>
      </c>
      <c r="X31" t="s">
        <v>54</v>
      </c>
      <c r="Y31" t="s">
        <v>52</v>
      </c>
      <c r="Z31" t="s">
        <v>53</v>
      </c>
      <c r="AC31" s="2">
        <v>0.44693758356118501</v>
      </c>
      <c r="AD31" s="2">
        <v>0.35611298680305498</v>
      </c>
      <c r="AE31" s="2">
        <v>0.30163401365280201</v>
      </c>
      <c r="AF31" s="2">
        <v>0.123756684362888</v>
      </c>
      <c r="AG31" s="2">
        <v>0.93779188394546498</v>
      </c>
      <c r="AH31" s="2">
        <v>-0.70870929956436202</v>
      </c>
      <c r="AI31" s="2">
        <v>-1.0586208663880801E-2</v>
      </c>
      <c r="AJ31" s="2">
        <v>0.63528247396536597</v>
      </c>
      <c r="AK31" s="2">
        <v>0.37781243147945298</v>
      </c>
      <c r="AL31" s="2">
        <v>0.59917629629656499</v>
      </c>
      <c r="AM31" s="2">
        <v>0.50212574005126998</v>
      </c>
      <c r="AN31" s="2">
        <v>0.55250495672225997</v>
      </c>
      <c r="AO31" s="2">
        <v>0.231402352452278</v>
      </c>
      <c r="AP31" s="2"/>
    </row>
    <row r="32" spans="1:42" x14ac:dyDescent="0.3">
      <c r="A32" t="s">
        <v>65</v>
      </c>
      <c r="B32" s="3">
        <v>2015</v>
      </c>
      <c r="C32" s="3">
        <v>43.477012000000002</v>
      </c>
      <c r="D32" s="3">
        <v>1703.47</v>
      </c>
      <c r="E32" t="s">
        <v>66</v>
      </c>
      <c r="G32" s="3">
        <v>856482.0625</v>
      </c>
      <c r="H32" s="3">
        <v>1003833.5</v>
      </c>
      <c r="I32" s="3">
        <v>993157.8125</v>
      </c>
      <c r="J32" s="3">
        <v>990410.875</v>
      </c>
      <c r="K32" s="3">
        <v>3512942.25</v>
      </c>
      <c r="L32" s="3">
        <v>3.2983798533678103E-2</v>
      </c>
      <c r="M32" s="3">
        <v>0.80210977792739901</v>
      </c>
      <c r="N32" s="3">
        <v>0.78431916236877397</v>
      </c>
      <c r="O32" s="3">
        <v>1076830.875</v>
      </c>
      <c r="P32" s="3">
        <v>1249257.625</v>
      </c>
      <c r="Q32" s="3">
        <v>1.1200236082077</v>
      </c>
      <c r="R32" s="3">
        <v>0.57141292095184304</v>
      </c>
      <c r="S32" s="3">
        <v>0.63252449035644498</v>
      </c>
      <c r="T32" s="3">
        <v>0.64934617280960105</v>
      </c>
      <c r="U32" s="3">
        <v>0.65114718675613403</v>
      </c>
      <c r="W32" t="s">
        <v>67</v>
      </c>
      <c r="X32" t="s">
        <v>51</v>
      </c>
      <c r="Y32" t="s">
        <v>52</v>
      </c>
      <c r="Z32" t="s">
        <v>53</v>
      </c>
      <c r="AA32" t="s">
        <v>53</v>
      </c>
      <c r="AC32" s="2">
        <v>0.66126569853104999</v>
      </c>
      <c r="AD32" s="2">
        <v>0.57202488183975198</v>
      </c>
      <c r="AE32" s="2">
        <v>0.148778095841408</v>
      </c>
      <c r="AF32" s="2">
        <v>0.292749643325806</v>
      </c>
      <c r="AG32" s="2">
        <v>9.9570170044899001E-2</v>
      </c>
      <c r="AH32" s="2">
        <v>-0.107674956321716</v>
      </c>
      <c r="AI32" s="2">
        <v>-5.4478184320032597E-3</v>
      </c>
      <c r="AJ32" s="2">
        <v>0.75021909889025995</v>
      </c>
      <c r="AK32" s="2">
        <v>0.74712214864382398</v>
      </c>
      <c r="AL32" s="2">
        <v>0.402552411215919</v>
      </c>
      <c r="AM32" s="2">
        <v>0.57581233978271495</v>
      </c>
      <c r="AN32" s="2">
        <v>0.56452983617782604</v>
      </c>
      <c r="AO32" s="2">
        <v>0.47153666615486101</v>
      </c>
      <c r="AP32" s="2">
        <v>1.11957955360413</v>
      </c>
    </row>
    <row r="33" spans="1:42" x14ac:dyDescent="0.3">
      <c r="A33" t="s">
        <v>65</v>
      </c>
      <c r="B33" s="3">
        <v>2016</v>
      </c>
      <c r="C33" s="3">
        <v>43.900312999999997</v>
      </c>
      <c r="D33" s="3">
        <v>1646.51</v>
      </c>
      <c r="E33" t="s">
        <v>66</v>
      </c>
      <c r="G33" s="3">
        <v>856016</v>
      </c>
      <c r="H33" s="3">
        <v>1004675.75</v>
      </c>
      <c r="I33" s="3">
        <v>994337.625</v>
      </c>
      <c r="J33" s="3">
        <v>992343.3125</v>
      </c>
      <c r="K33" s="3">
        <v>3481090.5</v>
      </c>
      <c r="L33" s="3">
        <v>3.17229889333248E-2</v>
      </c>
      <c r="M33" s="3">
        <v>0.82316398620605502</v>
      </c>
      <c r="N33" s="3">
        <v>0.80573499202728305</v>
      </c>
      <c r="O33" s="3">
        <v>1069016.625</v>
      </c>
      <c r="P33" s="3">
        <v>1230656.5</v>
      </c>
      <c r="Q33" s="3">
        <v>1.1064202785491899</v>
      </c>
      <c r="R33" s="3">
        <v>0.58497977256774902</v>
      </c>
      <c r="S33" s="3">
        <v>0.54303979873657204</v>
      </c>
      <c r="T33" s="3">
        <v>0.56070721149444602</v>
      </c>
      <c r="U33" s="3">
        <v>0.561834096908569</v>
      </c>
      <c r="W33" t="s">
        <v>67</v>
      </c>
      <c r="X33" t="s">
        <v>51</v>
      </c>
      <c r="Y33" t="s">
        <v>52</v>
      </c>
      <c r="Z33" t="s">
        <v>53</v>
      </c>
      <c r="AA33" t="s">
        <v>53</v>
      </c>
      <c r="AC33" s="2">
        <v>0.64197085514126395</v>
      </c>
      <c r="AD33" s="2">
        <v>0.56970250606536899</v>
      </c>
      <c r="AE33" s="2">
        <v>0.149806752800941</v>
      </c>
      <c r="AF33" s="2">
        <v>0.29291832447052002</v>
      </c>
      <c r="AG33" s="2">
        <v>0.102933771908283</v>
      </c>
      <c r="AH33" s="2">
        <v>-0.101433582603931</v>
      </c>
      <c r="AI33" s="2">
        <v>-1.39277838170528E-2</v>
      </c>
      <c r="AJ33" s="2">
        <v>0.64814176822881897</v>
      </c>
      <c r="AK33" s="2">
        <v>0.66244033915745903</v>
      </c>
      <c r="AL33" s="2">
        <v>0.33862491456128102</v>
      </c>
      <c r="AM33" s="2">
        <v>0.56663548946380604</v>
      </c>
      <c r="AN33" s="2">
        <v>0.55545902252197299</v>
      </c>
      <c r="AO33" s="2">
        <v>0.40308094024658198</v>
      </c>
      <c r="AP33" s="2">
        <v>0.94412279129028298</v>
      </c>
    </row>
    <row r="34" spans="1:42" x14ac:dyDescent="0.3">
      <c r="A34" t="s">
        <v>65</v>
      </c>
      <c r="B34" s="3">
        <v>2017</v>
      </c>
      <c r="C34" s="3">
        <v>44.288893999999999</v>
      </c>
      <c r="D34" s="3">
        <v>1648.81</v>
      </c>
      <c r="E34" t="s">
        <v>66</v>
      </c>
      <c r="G34" s="3">
        <v>981888.5</v>
      </c>
      <c r="H34" s="3">
        <v>1150152.75</v>
      </c>
      <c r="I34" s="3">
        <v>1120471.125</v>
      </c>
      <c r="J34" s="3">
        <v>1116606.625</v>
      </c>
      <c r="K34" s="3">
        <v>3665912.75</v>
      </c>
      <c r="L34" s="3">
        <v>3.2834984362125397E-2</v>
      </c>
      <c r="M34" s="3">
        <v>0.88469374179840099</v>
      </c>
      <c r="N34" s="3">
        <v>0.87757140398025502</v>
      </c>
      <c r="O34" s="3">
        <v>1110025</v>
      </c>
      <c r="P34" s="3">
        <v>1301974.125</v>
      </c>
      <c r="Q34" s="3">
        <v>1.10694360733032</v>
      </c>
      <c r="R34" s="3">
        <v>0.58480149507522605</v>
      </c>
      <c r="S34" s="3">
        <v>0.55348145961761497</v>
      </c>
      <c r="T34" s="3">
        <v>0.57442659139633201</v>
      </c>
      <c r="U34" s="3">
        <v>0.57641464471817005</v>
      </c>
      <c r="W34" t="s">
        <v>51</v>
      </c>
      <c r="X34" t="s">
        <v>51</v>
      </c>
      <c r="Y34" t="s">
        <v>52</v>
      </c>
      <c r="Z34" t="s">
        <v>53</v>
      </c>
      <c r="AA34" t="s">
        <v>53</v>
      </c>
      <c r="AC34" s="2">
        <v>0.66124428752930497</v>
      </c>
      <c r="AD34" s="2">
        <v>0.64904248714446999</v>
      </c>
      <c r="AE34" s="2">
        <v>0.15069253742694899</v>
      </c>
      <c r="AF34" s="2">
        <v>0.230307921767235</v>
      </c>
      <c r="AG34" s="2">
        <v>9.0484015643596705E-2</v>
      </c>
      <c r="AH34" s="2">
        <v>-0.107266493141651</v>
      </c>
      <c r="AI34" s="2">
        <v>-1.3260497711598899E-2</v>
      </c>
      <c r="AJ34" s="2">
        <v>0.59271415410911699</v>
      </c>
      <c r="AK34" s="2">
        <v>0.69664960778609597</v>
      </c>
      <c r="AL34" s="2">
        <v>0.44291782970726001</v>
      </c>
      <c r="AM34" s="2">
        <v>0.57786077260971103</v>
      </c>
      <c r="AN34" s="2">
        <v>0.558543860912323</v>
      </c>
      <c r="AO34" s="2">
        <v>0.43733319640159601</v>
      </c>
      <c r="AP34" s="2">
        <v>1.01542448997498</v>
      </c>
    </row>
    <row r="35" spans="1:42" x14ac:dyDescent="0.3">
      <c r="A35" t="s">
        <v>65</v>
      </c>
      <c r="B35" s="3">
        <v>2018</v>
      </c>
      <c r="C35" s="3">
        <v>44.654882000000001</v>
      </c>
      <c r="D35" s="3">
        <v>1638.44</v>
      </c>
      <c r="E35" t="s">
        <v>66</v>
      </c>
      <c r="G35" s="3">
        <v>1034199.4375</v>
      </c>
      <c r="H35" s="3">
        <v>1186254.625</v>
      </c>
      <c r="I35" s="3">
        <v>1164259.875</v>
      </c>
      <c r="J35" s="3">
        <v>1160582.125</v>
      </c>
      <c r="K35" s="3">
        <v>3878835.75</v>
      </c>
      <c r="L35" s="3">
        <v>3.3986914902925498E-2</v>
      </c>
      <c r="M35" s="3">
        <v>0.88697791099548295</v>
      </c>
      <c r="N35" s="3">
        <v>0.87269133329391502</v>
      </c>
      <c r="O35" s="3">
        <v>1085872.625</v>
      </c>
      <c r="P35" s="3">
        <v>1256070</v>
      </c>
      <c r="Q35" s="3">
        <v>1.06310987472534</v>
      </c>
      <c r="R35" s="3">
        <v>0.540641009807587</v>
      </c>
      <c r="S35" s="3">
        <v>0.432742089033127</v>
      </c>
      <c r="T35" s="3">
        <v>0.45077556371688798</v>
      </c>
      <c r="U35" s="3">
        <v>0.452204048633575</v>
      </c>
      <c r="W35" t="s">
        <v>50</v>
      </c>
      <c r="X35" t="s">
        <v>51</v>
      </c>
      <c r="Y35" t="s">
        <v>52</v>
      </c>
      <c r="Z35" t="s">
        <v>53</v>
      </c>
      <c r="AA35" t="s">
        <v>53</v>
      </c>
      <c r="AC35" s="2">
        <v>0.67027524800758798</v>
      </c>
      <c r="AD35" s="2">
        <v>0.66887336969375599</v>
      </c>
      <c r="AE35" s="2">
        <v>0.13101634383201599</v>
      </c>
      <c r="AF35" s="2">
        <v>0.22223067283630399</v>
      </c>
      <c r="AG35" s="2">
        <v>8.8707119226455702E-2</v>
      </c>
      <c r="AH35" s="2">
        <v>-9.9333867430687006E-2</v>
      </c>
      <c r="AI35" s="2">
        <v>-1.14936595782638E-2</v>
      </c>
      <c r="AJ35" s="2">
        <v>0.46966580435969502</v>
      </c>
      <c r="AK35" s="2">
        <v>0.573429672514429</v>
      </c>
      <c r="AL35" s="2">
        <v>0.32160855638476799</v>
      </c>
      <c r="AM35" s="2">
        <v>0.59793317317962702</v>
      </c>
      <c r="AN35" s="2">
        <v>0.56764453649520896</v>
      </c>
      <c r="AO35" s="2">
        <v>0.35660460591316201</v>
      </c>
      <c r="AP35" s="2">
        <v>0.83871895074844405</v>
      </c>
    </row>
    <row r="36" spans="1:42" x14ac:dyDescent="0.3">
      <c r="A36" t="s">
        <v>65</v>
      </c>
      <c r="B36" s="3">
        <v>2019</v>
      </c>
      <c r="C36" s="3">
        <v>44.973464999999997</v>
      </c>
      <c r="D36" s="3">
        <v>1612.12</v>
      </c>
      <c r="E36" t="s">
        <v>66</v>
      </c>
      <c r="G36" s="3">
        <v>965162.125</v>
      </c>
      <c r="H36" s="3">
        <v>1089028.75</v>
      </c>
      <c r="I36" s="3">
        <v>1125252.25</v>
      </c>
      <c r="J36" s="3">
        <v>1106826.125</v>
      </c>
      <c r="K36" s="3">
        <v>4035455</v>
      </c>
      <c r="L36" s="3">
        <v>3.4166362136602402E-2</v>
      </c>
      <c r="M36" s="3">
        <v>0.82013255357742298</v>
      </c>
      <c r="N36" s="3">
        <v>0.77650511264801003</v>
      </c>
      <c r="O36" s="3">
        <v>1018771.1875</v>
      </c>
      <c r="P36" s="3">
        <v>1149789.25</v>
      </c>
      <c r="Q36" s="3">
        <v>1.02767193317413</v>
      </c>
      <c r="R36" s="3">
        <v>0.53303313255310103</v>
      </c>
      <c r="S36" s="3">
        <v>0.38305974006652799</v>
      </c>
      <c r="T36" s="3">
        <v>0.39791494607925398</v>
      </c>
      <c r="U36" s="3">
        <v>0.40453928709030201</v>
      </c>
      <c r="W36" t="s">
        <v>50</v>
      </c>
      <c r="X36" t="s">
        <v>54</v>
      </c>
      <c r="Y36" t="s">
        <v>52</v>
      </c>
      <c r="Z36" t="s">
        <v>53</v>
      </c>
      <c r="AA36" t="s">
        <v>53</v>
      </c>
      <c r="AC36" s="2">
        <v>0.666402967184899</v>
      </c>
      <c r="AD36" s="2">
        <v>0.64411306381225597</v>
      </c>
      <c r="AE36" s="2">
        <v>0.11191157251596499</v>
      </c>
      <c r="AF36" s="2">
        <v>0.22789575159549699</v>
      </c>
      <c r="AG36" s="2">
        <v>0.102657653391361</v>
      </c>
      <c r="AH36" s="2">
        <v>-8.3059921860694899E-2</v>
      </c>
      <c r="AI36" s="2">
        <v>-3.5180828999727999E-3</v>
      </c>
      <c r="AJ36" s="2">
        <v>0.41531853407587999</v>
      </c>
      <c r="AK36" s="2">
        <v>0.51366590950653801</v>
      </c>
      <c r="AL36" s="2">
        <v>0.29188510947221302</v>
      </c>
      <c r="AM36" s="2">
        <v>0.57306581735610995</v>
      </c>
      <c r="AN36" s="2">
        <v>0.53435754776000999</v>
      </c>
      <c r="AO36" s="2">
        <v>0.31710183620452898</v>
      </c>
      <c r="AP36" s="2">
        <v>0.69605541229248102</v>
      </c>
    </row>
    <row r="37" spans="1:42" x14ac:dyDescent="0.3">
      <c r="A37" t="s">
        <v>65</v>
      </c>
      <c r="B37" s="3">
        <v>2020</v>
      </c>
      <c r="C37" s="3">
        <v>45.191965000000003</v>
      </c>
      <c r="D37" s="3">
        <v>1528.56</v>
      </c>
      <c r="E37" t="s">
        <v>66</v>
      </c>
      <c r="G37" s="3">
        <v>906039.75</v>
      </c>
      <c r="H37" s="3">
        <v>1021121.625</v>
      </c>
      <c r="I37" s="3">
        <v>1052780</v>
      </c>
      <c r="J37" s="3">
        <v>1036080.4375</v>
      </c>
      <c r="K37" s="3">
        <v>4382449.5</v>
      </c>
      <c r="L37" s="3">
        <v>3.4554477781057399E-2</v>
      </c>
      <c r="M37" s="3">
        <v>0.80493891239166304</v>
      </c>
      <c r="N37" s="3">
        <v>0.76104485988616899</v>
      </c>
      <c r="O37" s="3">
        <v>914742.9375</v>
      </c>
      <c r="P37" s="3">
        <v>1038720.4375</v>
      </c>
      <c r="Q37" s="3">
        <v>0.99876350164413497</v>
      </c>
      <c r="R37" s="3">
        <v>0.55504137277603205</v>
      </c>
      <c r="S37" s="3">
        <v>0.35156923532486001</v>
      </c>
      <c r="T37" s="3">
        <v>0.36640179157257102</v>
      </c>
      <c r="U37" s="3">
        <v>0.372307509183884</v>
      </c>
      <c r="W37" t="s">
        <v>50</v>
      </c>
      <c r="X37" t="s">
        <v>54</v>
      </c>
      <c r="Y37" t="s">
        <v>52</v>
      </c>
      <c r="Z37" t="s">
        <v>53</v>
      </c>
      <c r="AA37" t="s">
        <v>53</v>
      </c>
      <c r="AC37" s="2">
        <v>0.65604007287569199</v>
      </c>
      <c r="AD37" s="2">
        <v>0.63054805994033802</v>
      </c>
      <c r="AE37" s="2">
        <v>0.11107425391674</v>
      </c>
      <c r="AF37" s="2">
        <v>0.24393972754478499</v>
      </c>
      <c r="AG37" s="2">
        <v>9.0038076043128995E-2</v>
      </c>
      <c r="AH37" s="2">
        <v>-7.2404414415359497E-2</v>
      </c>
      <c r="AI37" s="2">
        <v>-3.1957491301000101E-3</v>
      </c>
      <c r="AJ37" s="2">
        <v>0.38795383344482398</v>
      </c>
      <c r="AK37" s="2">
        <v>0.48317862574013198</v>
      </c>
      <c r="AL37" s="2">
        <v>0.25752045189551598</v>
      </c>
      <c r="AM37" s="2">
        <v>0.55706280469894398</v>
      </c>
      <c r="AN37" s="2">
        <v>0.52167105674743697</v>
      </c>
      <c r="AO37" s="2">
        <v>0.29202243685722401</v>
      </c>
      <c r="AP37" s="2">
        <v>0.58984172344207797</v>
      </c>
    </row>
    <row r="38" spans="1:42" x14ac:dyDescent="0.3">
      <c r="A38" t="s">
        <v>68</v>
      </c>
      <c r="B38" s="3">
        <v>2015</v>
      </c>
      <c r="C38" s="3">
        <v>2.9211770000000001</v>
      </c>
      <c r="D38" s="3">
        <v>1868.85</v>
      </c>
      <c r="E38" t="s">
        <v>69</v>
      </c>
      <c r="G38" s="3">
        <v>33434.8828125</v>
      </c>
      <c r="H38" s="3">
        <v>37129.34765625</v>
      </c>
      <c r="I38" s="3">
        <v>33222.99609375</v>
      </c>
      <c r="J38" s="3">
        <v>34416.9609375</v>
      </c>
      <c r="K38" s="3">
        <v>93613.265625</v>
      </c>
      <c r="L38" s="3">
        <v>9.2647818382829395E-4</v>
      </c>
      <c r="M38" s="3">
        <v>0.63778060674667403</v>
      </c>
      <c r="N38" s="3">
        <v>0.66378676891326904</v>
      </c>
      <c r="O38" s="3">
        <v>36979.7421875</v>
      </c>
      <c r="P38" s="3">
        <v>43461.51953125</v>
      </c>
      <c r="Q38" s="3">
        <v>0.92769187688827504</v>
      </c>
      <c r="R38" s="3">
        <v>0.57366436719894398</v>
      </c>
      <c r="S38" s="3">
        <v>0.28731769323348999</v>
      </c>
      <c r="T38" s="3">
        <v>0.31765156984329201</v>
      </c>
      <c r="U38" s="3">
        <v>0.30663189291954002</v>
      </c>
      <c r="W38" t="s">
        <v>50</v>
      </c>
      <c r="X38" t="s">
        <v>51</v>
      </c>
      <c r="Y38" t="s">
        <v>52</v>
      </c>
      <c r="Z38" t="s">
        <v>53</v>
      </c>
      <c r="AA38" t="s">
        <v>53</v>
      </c>
      <c r="AC38" s="2">
        <v>0.56740049123327296</v>
      </c>
      <c r="AD38" s="2">
        <v>0.72941017150878895</v>
      </c>
      <c r="AE38" s="2">
        <v>0.10734432190656699</v>
      </c>
      <c r="AF38" s="2">
        <v>0.24205517768859899</v>
      </c>
      <c r="AG38" s="2">
        <v>7.5392112135887202E-2</v>
      </c>
      <c r="AH38" s="2">
        <v>-0.20474861562252</v>
      </c>
      <c r="AI38" s="2">
        <v>5.0546925514936503E-2</v>
      </c>
      <c r="AJ38" s="2">
        <v>0.32754524680976299</v>
      </c>
      <c r="AK38" s="2">
        <v>0.59217305481651805</v>
      </c>
      <c r="AL38" s="2">
        <v>0.166095761330247</v>
      </c>
      <c r="AM38" s="2">
        <v>0.57140666246414196</v>
      </c>
      <c r="AN38" s="2">
        <v>0.46218895912170399</v>
      </c>
      <c r="AO38" s="2">
        <v>0.42383936047553999</v>
      </c>
      <c r="AP38" s="2">
        <v>0.64882606267929099</v>
      </c>
    </row>
    <row r="39" spans="1:42" x14ac:dyDescent="0.3">
      <c r="A39" t="s">
        <v>68</v>
      </c>
      <c r="B39" s="3">
        <v>2016</v>
      </c>
      <c r="C39" s="3">
        <v>2.918793</v>
      </c>
      <c r="D39" s="3">
        <v>1857.71</v>
      </c>
      <c r="E39" t="s">
        <v>69</v>
      </c>
      <c r="G39" s="3">
        <v>34953.94140625</v>
      </c>
      <c r="H39" s="3">
        <v>38378.3671875</v>
      </c>
      <c r="I39" s="3">
        <v>35610.265625</v>
      </c>
      <c r="J39" s="3">
        <v>37252.51953125</v>
      </c>
      <c r="K39" s="3">
        <v>95791.75</v>
      </c>
      <c r="L39" s="3">
        <v>9.3957502394914605E-4</v>
      </c>
      <c r="M39" s="3">
        <v>0.70407032966613803</v>
      </c>
      <c r="N39" s="3">
        <v>0.70127588510513295</v>
      </c>
      <c r="O39" s="3">
        <v>36199.109375</v>
      </c>
      <c r="P39" s="3">
        <v>42024.546875</v>
      </c>
      <c r="Q39" s="3">
        <v>0.953782558441162</v>
      </c>
      <c r="R39" s="3">
        <v>0.56517243385314897</v>
      </c>
      <c r="S39" s="3">
        <v>0.27081298828125</v>
      </c>
      <c r="T39" s="3">
        <v>0.29615440964698803</v>
      </c>
      <c r="U39" s="3">
        <v>0.28309857845306402</v>
      </c>
      <c r="W39" t="s">
        <v>50</v>
      </c>
      <c r="X39" t="s">
        <v>51</v>
      </c>
      <c r="Y39" t="s">
        <v>52</v>
      </c>
      <c r="Z39" t="s">
        <v>53</v>
      </c>
      <c r="AA39" t="s">
        <v>53</v>
      </c>
      <c r="AC39" s="2">
        <v>0.56618643240234501</v>
      </c>
      <c r="AD39" s="2">
        <v>0.69992703199386597</v>
      </c>
      <c r="AE39" s="2">
        <v>9.1924622654914898E-2</v>
      </c>
      <c r="AF39" s="2">
        <v>0.23837032914161699</v>
      </c>
      <c r="AG39" s="2">
        <v>8.6889699101448101E-2</v>
      </c>
      <c r="AH39" s="2">
        <v>-0.173140078783035</v>
      </c>
      <c r="AI39" s="2">
        <v>5.6028384715318701E-2</v>
      </c>
      <c r="AJ39" s="2">
        <v>0.30862443135005302</v>
      </c>
      <c r="AK39" s="2">
        <v>0.55482035247820605</v>
      </c>
      <c r="AL39" s="2">
        <v>0.15978723231484099</v>
      </c>
      <c r="AM39" s="2">
        <v>0.55850100517273005</v>
      </c>
      <c r="AN39" s="2">
        <v>0.49899309873580899</v>
      </c>
      <c r="AO39" s="2">
        <v>0.39974570274353</v>
      </c>
      <c r="AP39" s="2">
        <v>0.63174563646316495</v>
      </c>
    </row>
    <row r="40" spans="1:42" x14ac:dyDescent="0.3">
      <c r="A40" t="s">
        <v>68</v>
      </c>
      <c r="B40" s="3">
        <v>2017</v>
      </c>
      <c r="C40" s="3">
        <v>2.9149630000000002</v>
      </c>
      <c r="D40" s="3">
        <v>1862.92</v>
      </c>
      <c r="E40" t="s">
        <v>69</v>
      </c>
      <c r="G40" s="3">
        <v>41024.1484375</v>
      </c>
      <c r="H40" s="3">
        <v>44961.5859375</v>
      </c>
      <c r="I40" s="3">
        <v>40589.93359375</v>
      </c>
      <c r="J40" s="3">
        <v>42776.3359375</v>
      </c>
      <c r="K40" s="3">
        <v>99837.7734375</v>
      </c>
      <c r="L40" s="3">
        <v>9.7978790290653706E-4</v>
      </c>
      <c r="M40" s="3">
        <v>0.79629063606262196</v>
      </c>
      <c r="N40" s="3">
        <v>0.80601596832275402</v>
      </c>
      <c r="O40" s="3">
        <v>40392.84765625</v>
      </c>
      <c r="P40" s="3">
        <v>46799.17578125</v>
      </c>
      <c r="Q40" s="3">
        <v>1.0272476673126201</v>
      </c>
      <c r="R40" s="3">
        <v>0.54875409603118896</v>
      </c>
      <c r="S40" s="3">
        <v>0.25949206948280301</v>
      </c>
      <c r="T40" s="3">
        <v>0.283997982740402</v>
      </c>
      <c r="U40" s="3">
        <v>0.26948213577270502</v>
      </c>
      <c r="W40" t="s">
        <v>51</v>
      </c>
      <c r="X40" t="s">
        <v>51</v>
      </c>
      <c r="Y40" t="s">
        <v>52</v>
      </c>
      <c r="Z40" t="s">
        <v>53</v>
      </c>
      <c r="AA40" t="s">
        <v>53</v>
      </c>
      <c r="AC40" s="2">
        <v>0.56215733669499202</v>
      </c>
      <c r="AD40" s="2">
        <v>0.72986590862274203</v>
      </c>
      <c r="AE40" s="2">
        <v>9.2047102749347701E-2</v>
      </c>
      <c r="AF40" s="2">
        <v>0.229172468185425</v>
      </c>
      <c r="AG40" s="2">
        <v>8.6796537041664096E-2</v>
      </c>
      <c r="AH40" s="2">
        <v>-0.181859731674194</v>
      </c>
      <c r="AI40" s="2">
        <v>4.3977763503789902E-2</v>
      </c>
      <c r="AJ40" s="2">
        <v>0.29548790194649499</v>
      </c>
      <c r="AK40" s="2">
        <v>0.53932498647028204</v>
      </c>
      <c r="AL40" s="2">
        <v>0.14485290701436099</v>
      </c>
      <c r="AM40" s="2">
        <v>0.57771521806716897</v>
      </c>
      <c r="AN40" s="2">
        <v>0.50048953294753995</v>
      </c>
      <c r="AO40" s="2">
        <v>0.39615991711616499</v>
      </c>
      <c r="AP40" s="2">
        <v>0.66238152980804399</v>
      </c>
    </row>
    <row r="41" spans="1:42" x14ac:dyDescent="0.3">
      <c r="A41" t="s">
        <v>68</v>
      </c>
      <c r="B41" s="3">
        <v>2018</v>
      </c>
      <c r="C41" s="3">
        <v>2.9099650000000001</v>
      </c>
      <c r="D41" s="3">
        <v>1999.09</v>
      </c>
      <c r="E41" t="s">
        <v>69</v>
      </c>
      <c r="G41" s="3">
        <v>40616.0625</v>
      </c>
      <c r="H41" s="3">
        <v>46943.87109375</v>
      </c>
      <c r="I41" s="3">
        <v>41292.09375</v>
      </c>
      <c r="J41" s="3">
        <v>44192.7578125</v>
      </c>
      <c r="K41" s="3">
        <v>129905.4375</v>
      </c>
      <c r="L41" s="3">
        <v>1.24634359963238E-3</v>
      </c>
      <c r="M41" s="3">
        <v>0.68511587381362904</v>
      </c>
      <c r="N41" s="3">
        <v>0.70054811239242598</v>
      </c>
      <c r="O41" s="3">
        <v>41903.1640625</v>
      </c>
      <c r="P41" s="3">
        <v>50890.08984375</v>
      </c>
      <c r="Q41" s="3">
        <v>1.0039374828338601</v>
      </c>
      <c r="R41" s="3">
        <v>0.53120744228363004</v>
      </c>
      <c r="S41" s="3">
        <v>0.28000134229660001</v>
      </c>
      <c r="T41" s="3">
        <v>0.30170279741287198</v>
      </c>
      <c r="U41" s="3">
        <v>0.28190007805824302</v>
      </c>
      <c r="W41" t="s">
        <v>50</v>
      </c>
      <c r="X41" t="s">
        <v>51</v>
      </c>
      <c r="Y41" t="s">
        <v>52</v>
      </c>
      <c r="Z41" t="s">
        <v>53</v>
      </c>
      <c r="AA41" t="s">
        <v>53</v>
      </c>
      <c r="AC41" s="2">
        <v>0.57659201553704698</v>
      </c>
      <c r="AD41" s="2">
        <v>0.74104696512222301</v>
      </c>
      <c r="AE41" s="2">
        <v>0.14318658411502799</v>
      </c>
      <c r="AF41" s="2">
        <v>0.17801912128925301</v>
      </c>
      <c r="AG41" s="2">
        <v>9.0955480933189406E-2</v>
      </c>
      <c r="AH41" s="2">
        <v>-0.214322820305824</v>
      </c>
      <c r="AI41" s="2">
        <v>6.1114657670259503E-2</v>
      </c>
      <c r="AJ41" s="2">
        <v>0.30356881748498699</v>
      </c>
      <c r="AK41" s="2">
        <v>0.44099717908820002</v>
      </c>
      <c r="AL41" s="2">
        <v>0.18189611560952301</v>
      </c>
      <c r="AM41" s="2">
        <v>0.59295189380645796</v>
      </c>
      <c r="AN41" s="2">
        <v>0.51205474138259899</v>
      </c>
      <c r="AO41" s="2">
        <v>0.303934156894684</v>
      </c>
      <c r="AP41" s="2">
        <v>0.554057598114014</v>
      </c>
    </row>
    <row r="42" spans="1:42" x14ac:dyDescent="0.3">
      <c r="A42" t="s">
        <v>68</v>
      </c>
      <c r="B42" s="3">
        <v>2019</v>
      </c>
      <c r="C42" s="3">
        <v>2.903972</v>
      </c>
      <c r="D42" s="3">
        <v>1991.75</v>
      </c>
      <c r="E42" t="s">
        <v>69</v>
      </c>
      <c r="G42" s="3">
        <v>48316.83203125</v>
      </c>
      <c r="H42" s="3">
        <v>54661.15234375</v>
      </c>
      <c r="I42" s="3">
        <v>48196.73828125</v>
      </c>
      <c r="J42" s="3">
        <v>51704.39453125</v>
      </c>
      <c r="K42" s="3">
        <v>164010.59375</v>
      </c>
      <c r="L42" s="3">
        <v>1.52025907300413E-3</v>
      </c>
      <c r="M42" s="3">
        <v>0.70872741937637296</v>
      </c>
      <c r="N42" s="3">
        <v>0.72099238634109497</v>
      </c>
      <c r="O42" s="3">
        <v>46806.8828125</v>
      </c>
      <c r="P42" s="3">
        <v>54276.2890625</v>
      </c>
      <c r="Q42" s="3">
        <v>1.05110347270966</v>
      </c>
      <c r="R42" s="3">
        <v>0.504585981369019</v>
      </c>
      <c r="S42" s="3">
        <v>0.27061101794242898</v>
      </c>
      <c r="T42" s="3">
        <v>0.28257703781127902</v>
      </c>
      <c r="U42" s="3">
        <v>0.263406813144684</v>
      </c>
      <c r="W42" t="s">
        <v>50</v>
      </c>
      <c r="X42" t="s">
        <v>54</v>
      </c>
      <c r="Y42" t="s">
        <v>52</v>
      </c>
      <c r="Z42" t="s">
        <v>53</v>
      </c>
      <c r="AA42" t="s">
        <v>53</v>
      </c>
      <c r="AC42" s="2">
        <v>0.58217447838674796</v>
      </c>
      <c r="AD42" s="2">
        <v>0.734821557998657</v>
      </c>
      <c r="AE42" s="2">
        <v>0.122703671455383</v>
      </c>
      <c r="AF42" s="2">
        <v>0.199660539627075</v>
      </c>
      <c r="AG42" s="2">
        <v>8.7322212755680098E-2</v>
      </c>
      <c r="AH42" s="2">
        <v>-0.190390080213547</v>
      </c>
      <c r="AI42" s="2">
        <v>4.5882064849138302E-2</v>
      </c>
      <c r="AJ42" s="2">
        <v>0.299100145393844</v>
      </c>
      <c r="AK42" s="2">
        <v>0.373707273799049</v>
      </c>
      <c r="AL42" s="2">
        <v>0.16576089441111599</v>
      </c>
      <c r="AM42" s="2">
        <v>0.58031070232391402</v>
      </c>
      <c r="AN42" s="2">
        <v>0.51520144939422596</v>
      </c>
      <c r="AO42" s="2">
        <v>0.24307157099247001</v>
      </c>
      <c r="AP42" s="2">
        <v>0.50480252504348799</v>
      </c>
    </row>
    <row r="43" spans="1:42" x14ac:dyDescent="0.3">
      <c r="A43" t="s">
        <v>68</v>
      </c>
      <c r="B43" s="3">
        <v>2020</v>
      </c>
      <c r="C43" s="3">
        <v>2.890892</v>
      </c>
      <c r="D43" s="3">
        <v>1861.06</v>
      </c>
      <c r="E43" t="s">
        <v>69</v>
      </c>
      <c r="G43" s="3">
        <v>44214.63671875</v>
      </c>
      <c r="H43" s="3">
        <v>51285.95703125</v>
      </c>
      <c r="I43" s="3">
        <v>46641.05078125</v>
      </c>
      <c r="J43" s="3">
        <v>49202.49609375</v>
      </c>
      <c r="K43" s="3">
        <v>201069.03125</v>
      </c>
      <c r="L43" s="3">
        <v>1.75569369457662E-3</v>
      </c>
      <c r="M43" s="3">
        <v>0.64308273792266901</v>
      </c>
      <c r="N43" s="3">
        <v>0.64304596185684204</v>
      </c>
      <c r="O43" s="3">
        <v>41715.9921875</v>
      </c>
      <c r="P43" s="3">
        <v>49267.203125</v>
      </c>
      <c r="Q43" s="3">
        <v>1.00862908363342</v>
      </c>
      <c r="R43" s="3">
        <v>0.51909464597702004</v>
      </c>
      <c r="S43" s="3">
        <v>0.25816839933395402</v>
      </c>
      <c r="T43" s="3">
        <v>0.27104231715202298</v>
      </c>
      <c r="U43" s="3">
        <v>0.25693207979202298</v>
      </c>
      <c r="W43" t="s">
        <v>50</v>
      </c>
      <c r="X43" t="s">
        <v>54</v>
      </c>
      <c r="Y43" t="s">
        <v>52</v>
      </c>
      <c r="Z43" t="s">
        <v>53</v>
      </c>
      <c r="AA43" t="s">
        <v>53</v>
      </c>
      <c r="AC43" s="2">
        <v>0.58758248032331095</v>
      </c>
      <c r="AD43" s="2">
        <v>0.66898363828659102</v>
      </c>
      <c r="AE43" s="2">
        <v>0.14371870458126099</v>
      </c>
      <c r="AF43" s="2">
        <v>0.22964222729206099</v>
      </c>
      <c r="AG43" s="2">
        <v>6.0664288699626902E-2</v>
      </c>
      <c r="AH43" s="2">
        <v>-0.135061904788017</v>
      </c>
      <c r="AI43" s="2">
        <v>3.20530198514462E-2</v>
      </c>
      <c r="AJ43" s="2">
        <v>0.28930098915997798</v>
      </c>
      <c r="AK43" s="2">
        <v>0.35153873496704802</v>
      </c>
      <c r="AL43" s="2">
        <v>0.16747432996057299</v>
      </c>
      <c r="AM43" s="2">
        <v>0.58649623394012496</v>
      </c>
      <c r="AN43" s="2">
        <v>0.51385521888732899</v>
      </c>
      <c r="AO43" s="2">
        <v>0.21336592733859999</v>
      </c>
      <c r="AP43" s="2">
        <v>0.41118875145912198</v>
      </c>
    </row>
    <row r="44" spans="1:42" x14ac:dyDescent="0.3">
      <c r="A44" t="s">
        <v>70</v>
      </c>
      <c r="B44" s="3">
        <v>2015</v>
      </c>
      <c r="C44" s="3">
        <v>8.9409000000000002E-2</v>
      </c>
      <c r="D44" s="3"/>
      <c r="E44" t="s">
        <v>58</v>
      </c>
      <c r="G44" s="3">
        <v>1659.92651367188</v>
      </c>
      <c r="H44" s="3">
        <v>2143.32934570313</v>
      </c>
      <c r="I44" s="3">
        <v>2040.89599609375</v>
      </c>
      <c r="J44" s="3">
        <v>1651.05627441406</v>
      </c>
      <c r="K44" s="3">
        <v>11706.568359375</v>
      </c>
      <c r="L44" s="3"/>
      <c r="M44" s="3"/>
      <c r="N44" s="3"/>
      <c r="O44" s="3">
        <v>1192.21496582031</v>
      </c>
      <c r="P44" s="3">
        <v>1755.44201660156</v>
      </c>
      <c r="Q44" s="3"/>
      <c r="R44" s="3"/>
      <c r="S44" s="3">
        <v>0.70581454038619995</v>
      </c>
      <c r="T44" s="3">
        <v>0.70448356866836603</v>
      </c>
      <c r="U44" s="3">
        <v>0.87082308530807495</v>
      </c>
      <c r="W44" t="s">
        <v>50</v>
      </c>
      <c r="X44" t="s">
        <v>51</v>
      </c>
      <c r="Y44" t="s">
        <v>52</v>
      </c>
      <c r="Z44" t="s">
        <v>53</v>
      </c>
      <c r="AC44" s="2">
        <v>0.55907435642550796</v>
      </c>
      <c r="AD44" s="2">
        <v>0.70806241035461404</v>
      </c>
      <c r="AE44" s="2">
        <v>0.29278394579887401</v>
      </c>
      <c r="AF44" s="2">
        <v>0.29731002449989302</v>
      </c>
      <c r="AG44" s="2">
        <v>2.6260573416948301E-2</v>
      </c>
      <c r="AH44" s="2">
        <v>-0.57961565256118797</v>
      </c>
      <c r="AI44" s="2">
        <v>0.25519865751266502</v>
      </c>
      <c r="AJ44" s="2">
        <v>0.80550336881011497</v>
      </c>
      <c r="AK44" s="2">
        <v>0.69991336078919697</v>
      </c>
      <c r="AL44" s="2">
        <v>0.46839935122447801</v>
      </c>
      <c r="AM44" s="2">
        <v>0.60071337223053001</v>
      </c>
      <c r="AN44" s="2">
        <v>0.48603734374046298</v>
      </c>
      <c r="AO44" s="2">
        <v>0.46434217691421498</v>
      </c>
      <c r="AP44" s="2"/>
    </row>
    <row r="45" spans="1:42" x14ac:dyDescent="0.3">
      <c r="A45" t="s">
        <v>70</v>
      </c>
      <c r="B45" s="3">
        <v>2016</v>
      </c>
      <c r="C45" s="3">
        <v>8.9968999999999993E-2</v>
      </c>
      <c r="D45" s="3"/>
      <c r="E45" t="s">
        <v>58</v>
      </c>
      <c r="G45" s="3">
        <v>1588.69641113281</v>
      </c>
      <c r="H45" s="3">
        <v>2109.85888671875</v>
      </c>
      <c r="I45" s="3">
        <v>2016.72082519531</v>
      </c>
      <c r="J45" s="3">
        <v>1529.091796875</v>
      </c>
      <c r="K45" s="3">
        <v>12643.11328125</v>
      </c>
      <c r="L45" s="3"/>
      <c r="M45" s="3"/>
      <c r="N45" s="3"/>
      <c r="O45" s="3">
        <v>1284.740234375</v>
      </c>
      <c r="P45" s="3">
        <v>1871.5146484375</v>
      </c>
      <c r="Q45" s="3"/>
      <c r="R45" s="3"/>
      <c r="S45" s="3">
        <v>0.73095113039016701</v>
      </c>
      <c r="T45" s="3">
        <v>0.73863947391509999</v>
      </c>
      <c r="U45" s="3">
        <v>0.97419238090515103</v>
      </c>
      <c r="W45" t="s">
        <v>50</v>
      </c>
      <c r="X45" t="s">
        <v>51</v>
      </c>
      <c r="Y45" t="s">
        <v>52</v>
      </c>
      <c r="Z45" t="s">
        <v>53</v>
      </c>
      <c r="AC45" s="2">
        <v>0.53966423842556799</v>
      </c>
      <c r="AD45" s="2">
        <v>0.72130548954009999</v>
      </c>
      <c r="AE45" s="2">
        <v>0.340831339359283</v>
      </c>
      <c r="AF45" s="2">
        <v>0.31767490506172202</v>
      </c>
      <c r="AG45" s="2">
        <v>6.1947748064994798E-2</v>
      </c>
      <c r="AH45" s="2">
        <v>-0.68389129638671897</v>
      </c>
      <c r="AI45" s="2">
        <v>0.24213182926178001</v>
      </c>
      <c r="AJ45" s="2">
        <v>0.84434034291682303</v>
      </c>
      <c r="AK45" s="2">
        <v>0.76207628726003396</v>
      </c>
      <c r="AL45" s="2">
        <v>0.473492199274193</v>
      </c>
      <c r="AM45" s="2">
        <v>0.644434213638306</v>
      </c>
      <c r="AN45" s="2">
        <v>0.46907335519790699</v>
      </c>
      <c r="AO45" s="2">
        <v>0.50606805086135898</v>
      </c>
      <c r="AP45" s="2"/>
    </row>
    <row r="46" spans="1:42" x14ac:dyDescent="0.3">
      <c r="A46" t="s">
        <v>70</v>
      </c>
      <c r="B46" s="3">
        <v>2017</v>
      </c>
      <c r="C46" s="3">
        <v>9.0468000000000007E-2</v>
      </c>
      <c r="D46" s="3"/>
      <c r="E46" t="s">
        <v>58</v>
      </c>
      <c r="G46" s="3">
        <v>1466.23461914063</v>
      </c>
      <c r="H46" s="3">
        <v>2057.3955078125</v>
      </c>
      <c r="I46" s="3">
        <v>1970.15869140625</v>
      </c>
      <c r="J46" s="3">
        <v>1275.00854492188</v>
      </c>
      <c r="K46" s="3">
        <v>14248.64453125</v>
      </c>
      <c r="L46" s="3"/>
      <c r="M46" s="3"/>
      <c r="N46" s="3"/>
      <c r="O46" s="3">
        <v>1454.22924804688</v>
      </c>
      <c r="P46" s="3">
        <v>2062.69091796875</v>
      </c>
      <c r="Q46" s="3"/>
      <c r="R46" s="3"/>
      <c r="S46" s="3">
        <v>0.76126229763030995</v>
      </c>
      <c r="T46" s="3">
        <v>0.77715110778808605</v>
      </c>
      <c r="U46" s="3">
        <v>1.2008634805679299</v>
      </c>
      <c r="W46" t="s">
        <v>51</v>
      </c>
      <c r="X46" t="s">
        <v>51</v>
      </c>
      <c r="Y46" t="s">
        <v>52</v>
      </c>
      <c r="Z46" t="s">
        <v>62</v>
      </c>
      <c r="AC46" s="2">
        <v>0.51877595957638101</v>
      </c>
      <c r="AD46" s="2">
        <v>0.75969856977462802</v>
      </c>
      <c r="AE46" s="2">
        <v>0.46365252137184099</v>
      </c>
      <c r="AF46" s="2">
        <v>0.39028167724609403</v>
      </c>
      <c r="AG46" s="2">
        <v>7.53757208585739E-2</v>
      </c>
      <c r="AH46" s="2">
        <v>-1.0153285264968901</v>
      </c>
      <c r="AI46" s="2">
        <v>0.32632011175155601</v>
      </c>
      <c r="AJ46" s="2">
        <v>0.90709023845919201</v>
      </c>
      <c r="AK46" s="2">
        <v>0.81655958734026202</v>
      </c>
      <c r="AL46" s="2">
        <v>0.47740250604394102</v>
      </c>
      <c r="AM46" s="2">
        <v>0.64919418096542403</v>
      </c>
      <c r="AN46" s="2">
        <v>0.48651489615440402</v>
      </c>
      <c r="AO46" s="2">
        <v>0.54864037036895796</v>
      </c>
      <c r="AP46" s="2"/>
    </row>
    <row r="47" spans="1:42" x14ac:dyDescent="0.3">
      <c r="A47" t="s">
        <v>70</v>
      </c>
      <c r="B47" s="3">
        <v>2018</v>
      </c>
      <c r="C47" s="3">
        <v>9.0926000000000007E-2</v>
      </c>
      <c r="D47" s="3"/>
      <c r="E47" t="s">
        <v>58</v>
      </c>
      <c r="G47" s="3">
        <v>1563.25415039063</v>
      </c>
      <c r="H47" s="3">
        <v>2358.11694335938</v>
      </c>
      <c r="I47" s="3">
        <v>2265.35766601563</v>
      </c>
      <c r="J47" s="3">
        <v>1774.08825683594</v>
      </c>
      <c r="K47" s="3">
        <v>11961.609375</v>
      </c>
      <c r="L47" s="3"/>
      <c r="M47" s="3"/>
      <c r="N47" s="3"/>
      <c r="O47" s="3">
        <v>1428.88696289063</v>
      </c>
      <c r="P47" s="3">
        <v>2437.82446289063</v>
      </c>
      <c r="Q47" s="3"/>
      <c r="R47" s="3"/>
      <c r="S47" s="3">
        <v>0.71833169460296598</v>
      </c>
      <c r="T47" s="3">
        <v>0.73343008756637595</v>
      </c>
      <c r="U47" s="3">
        <v>0.93652695417404197</v>
      </c>
      <c r="W47" t="s">
        <v>50</v>
      </c>
      <c r="X47" t="s">
        <v>51</v>
      </c>
      <c r="Y47" t="s">
        <v>52</v>
      </c>
      <c r="Z47" t="s">
        <v>62</v>
      </c>
      <c r="AC47" s="2">
        <v>0.48449969052233599</v>
      </c>
      <c r="AD47" s="2">
        <v>0.57511150836944602</v>
      </c>
      <c r="AE47" s="2">
        <v>0.44804018735885598</v>
      </c>
      <c r="AF47" s="2">
        <v>0.30604764819145203</v>
      </c>
      <c r="AG47" s="2">
        <v>2.1419404074549699E-2</v>
      </c>
      <c r="AH47" s="2">
        <v>-0.63667768239974998</v>
      </c>
      <c r="AI47" s="2">
        <v>0.28605896234512301</v>
      </c>
      <c r="AJ47" s="2">
        <v>0.85550905413275102</v>
      </c>
      <c r="AK47" s="2">
        <v>0.76312417795895104</v>
      </c>
      <c r="AL47" s="2">
        <v>0.46055387620670601</v>
      </c>
      <c r="AM47" s="2">
        <v>0.68002998828887895</v>
      </c>
      <c r="AN47" s="2">
        <v>0.50389015674591098</v>
      </c>
      <c r="AO47" s="2">
        <v>0.513907790184021</v>
      </c>
      <c r="AP47" s="2"/>
    </row>
    <row r="48" spans="1:42" x14ac:dyDescent="0.3">
      <c r="A48" t="s">
        <v>70</v>
      </c>
      <c r="B48" s="3">
        <v>2019</v>
      </c>
      <c r="C48" s="3">
        <v>9.1364000000000001E-2</v>
      </c>
      <c r="D48" s="3"/>
      <c r="E48" t="s">
        <v>58</v>
      </c>
      <c r="G48" s="3">
        <v>1557.97436523438</v>
      </c>
      <c r="H48" s="3">
        <v>2540.1767578125</v>
      </c>
      <c r="I48" s="3">
        <v>2446.48657226563</v>
      </c>
      <c r="J48" s="3">
        <v>1957.57434082031</v>
      </c>
      <c r="K48" s="3">
        <v>16001.7060546875</v>
      </c>
      <c r="L48" s="3"/>
      <c r="M48" s="3"/>
      <c r="N48" s="3"/>
      <c r="O48" s="3">
        <v>1388.12243652344</v>
      </c>
      <c r="P48" s="3">
        <v>2378.3251953125</v>
      </c>
      <c r="Q48" s="3"/>
      <c r="R48" s="3"/>
      <c r="S48" s="3">
        <v>0.69556456804275502</v>
      </c>
      <c r="T48" s="3">
        <v>0.70516842603683505</v>
      </c>
      <c r="U48" s="3">
        <v>0.88128709793090798</v>
      </c>
      <c r="W48" t="s">
        <v>50</v>
      </c>
      <c r="X48" t="s">
        <v>54</v>
      </c>
      <c r="Y48" t="s">
        <v>52</v>
      </c>
      <c r="Z48" t="s">
        <v>62</v>
      </c>
      <c r="AC48" s="2">
        <v>0.51733077672771199</v>
      </c>
      <c r="AD48" s="2">
        <v>0.49932411313056901</v>
      </c>
      <c r="AE48" s="2">
        <v>0.50174468755722101</v>
      </c>
      <c r="AF48" s="2">
        <v>0.29654571413993802</v>
      </c>
      <c r="AG48" s="2">
        <v>3.23028564453125E-2</v>
      </c>
      <c r="AH48" s="2">
        <v>-0.59937977790832497</v>
      </c>
      <c r="AI48" s="2">
        <v>0.26946246623992898</v>
      </c>
      <c r="AJ48" s="2">
        <v>0.847804719603936</v>
      </c>
      <c r="AK48" s="2">
        <v>0.72040214386686396</v>
      </c>
      <c r="AL48" s="2">
        <v>0.43922233220788098</v>
      </c>
      <c r="AM48" s="2">
        <v>0.59144425392150901</v>
      </c>
      <c r="AN48" s="2">
        <v>0.484381914138794</v>
      </c>
      <c r="AO48" s="2">
        <v>0.48555186390876798</v>
      </c>
      <c r="AP48" s="2"/>
    </row>
    <row r="49" spans="1:42" x14ac:dyDescent="0.3">
      <c r="A49" t="s">
        <v>70</v>
      </c>
      <c r="B49" s="3">
        <v>2020</v>
      </c>
      <c r="C49" s="3">
        <v>9.1845999999999997E-2</v>
      </c>
      <c r="D49" s="3"/>
      <c r="E49" t="s">
        <v>58</v>
      </c>
      <c r="G49" s="3">
        <v>1240.84338378906</v>
      </c>
      <c r="H49" s="3">
        <v>2144.75634765625</v>
      </c>
      <c r="I49" s="3">
        <v>2070.1728515625</v>
      </c>
      <c r="J49" s="3">
        <v>1960.15344238281</v>
      </c>
      <c r="K49" s="3">
        <v>18591</v>
      </c>
      <c r="L49" s="3"/>
      <c r="M49" s="3"/>
      <c r="N49" s="3"/>
      <c r="O49" s="3">
        <v>1418.61157226563</v>
      </c>
      <c r="P49" s="3">
        <v>2245.892578125</v>
      </c>
      <c r="Q49" s="3"/>
      <c r="R49" s="3"/>
      <c r="S49" s="3">
        <v>0.68251347541809104</v>
      </c>
      <c r="T49" s="3">
        <v>0.681460380554199</v>
      </c>
      <c r="U49" s="3">
        <v>0.71970933675766002</v>
      </c>
      <c r="W49" t="s">
        <v>50</v>
      </c>
      <c r="X49" t="s">
        <v>54</v>
      </c>
      <c r="Y49" t="s">
        <v>52</v>
      </c>
      <c r="Z49" t="s">
        <v>62</v>
      </c>
      <c r="AC49" s="2">
        <v>0.52098155063629004</v>
      </c>
      <c r="AD49" s="2">
        <v>0.39252775907516502</v>
      </c>
      <c r="AE49" s="2">
        <v>0.46114394068718001</v>
      </c>
      <c r="AF49" s="2">
        <v>0.24050600826740301</v>
      </c>
      <c r="AG49" s="2">
        <v>1.58446747809649E-2</v>
      </c>
      <c r="AH49" s="2">
        <v>-0.372275710105896</v>
      </c>
      <c r="AI49" s="2">
        <v>0.26225328445434598</v>
      </c>
      <c r="AJ49" s="2">
        <v>0.83275497292358402</v>
      </c>
      <c r="AK49" s="2">
        <v>0.68001475171275405</v>
      </c>
      <c r="AL49" s="2">
        <v>0.43730555973490898</v>
      </c>
      <c r="AM49" s="2">
        <v>0.95739036798477195</v>
      </c>
      <c r="AN49" s="2">
        <v>0.61740565299987804</v>
      </c>
      <c r="AO49" s="2">
        <v>0.45139220356941201</v>
      </c>
      <c r="AP49" s="2"/>
    </row>
    <row r="50" spans="1:42" x14ac:dyDescent="0.3">
      <c r="A50" t="s">
        <v>71</v>
      </c>
      <c r="B50" s="3">
        <v>2015</v>
      </c>
      <c r="C50" s="3">
        <v>23.948001999999999</v>
      </c>
      <c r="D50" s="3">
        <v>1649.81</v>
      </c>
      <c r="E50" t="s">
        <v>72</v>
      </c>
      <c r="G50" s="3">
        <v>942014.8125</v>
      </c>
      <c r="H50" s="3">
        <v>1274767.375</v>
      </c>
      <c r="I50" s="3">
        <v>1244688.375</v>
      </c>
      <c r="J50" s="3">
        <v>1255661.25</v>
      </c>
      <c r="K50" s="3">
        <v>6631231.5</v>
      </c>
      <c r="L50" s="3">
        <v>8.5223026573658003E-2</v>
      </c>
      <c r="M50" s="3">
        <v>0.81624919176101696</v>
      </c>
      <c r="N50" s="3">
        <v>0.79945445060730003</v>
      </c>
      <c r="O50" s="3">
        <v>971628.5</v>
      </c>
      <c r="P50" s="3">
        <v>1312904.625</v>
      </c>
      <c r="Q50" s="3">
        <v>0.98146957159042403</v>
      </c>
      <c r="R50" s="3">
        <v>0.60457843542098999</v>
      </c>
      <c r="S50" s="3">
        <v>1.0176753997802701</v>
      </c>
      <c r="T50" s="3">
        <v>1.00067687034607</v>
      </c>
      <c r="U50" s="3">
        <v>0.991932213306427</v>
      </c>
      <c r="W50" t="s">
        <v>50</v>
      </c>
      <c r="X50" t="s">
        <v>51</v>
      </c>
      <c r="Y50" t="s">
        <v>52</v>
      </c>
      <c r="Z50" t="s">
        <v>53</v>
      </c>
      <c r="AA50" t="s">
        <v>53</v>
      </c>
      <c r="AC50" s="2">
        <v>0.81339997322809199</v>
      </c>
      <c r="AD50" s="2">
        <v>0.57533520460128795</v>
      </c>
      <c r="AE50" s="2">
        <v>0.26500180363655101</v>
      </c>
      <c r="AF50" s="2">
        <v>0.174878910183907</v>
      </c>
      <c r="AG50" s="2">
        <v>0.27485540509223899</v>
      </c>
      <c r="AH50" s="2">
        <v>-0.275798380374908</v>
      </c>
      <c r="AI50" s="2">
        <v>-1.4272951520979399E-2</v>
      </c>
      <c r="AJ50" s="2">
        <v>0.98264437703034901</v>
      </c>
      <c r="AK50" s="2">
        <v>0.95255473775225097</v>
      </c>
      <c r="AL50" s="2">
        <v>1.1329239218654701</v>
      </c>
      <c r="AM50" s="2">
        <v>0.54412710666656505</v>
      </c>
      <c r="AN50" s="2">
        <v>0.577847540378571</v>
      </c>
      <c r="AO50" s="2">
        <v>0.84900611639022805</v>
      </c>
      <c r="AP50" s="2">
        <v>0.77211123704910301</v>
      </c>
    </row>
    <row r="51" spans="1:42" x14ac:dyDescent="0.3">
      <c r="A51" t="s">
        <v>71</v>
      </c>
      <c r="B51" s="3">
        <v>2016</v>
      </c>
      <c r="C51" s="3">
        <v>24.329962999999999</v>
      </c>
      <c r="D51" s="3">
        <v>1643.82</v>
      </c>
      <c r="E51" t="s">
        <v>72</v>
      </c>
      <c r="G51" s="3">
        <v>981798.5</v>
      </c>
      <c r="H51" s="3">
        <v>1313528.75</v>
      </c>
      <c r="I51" s="3">
        <v>1317608.375</v>
      </c>
      <c r="J51" s="3">
        <v>1341528</v>
      </c>
      <c r="K51" s="3">
        <v>6798418.5</v>
      </c>
      <c r="L51" s="3">
        <v>8.4594182670116397E-2</v>
      </c>
      <c r="M51" s="3">
        <v>0.84697252511978205</v>
      </c>
      <c r="N51" s="3">
        <v>0.80177205801010099</v>
      </c>
      <c r="O51" s="3">
        <v>1001615.625</v>
      </c>
      <c r="P51" s="3">
        <v>1344286.25</v>
      </c>
      <c r="Q51" s="3">
        <v>0.98335731029510498</v>
      </c>
      <c r="R51" s="3">
        <v>0.58496272563934304</v>
      </c>
      <c r="S51" s="3">
        <v>1.0049577951431301</v>
      </c>
      <c r="T51" s="3">
        <v>0.99164432287216198</v>
      </c>
      <c r="U51" s="3">
        <v>0.9739630818367</v>
      </c>
      <c r="W51" t="s">
        <v>50</v>
      </c>
      <c r="X51" t="s">
        <v>51</v>
      </c>
      <c r="Y51" t="s">
        <v>52</v>
      </c>
      <c r="Z51" t="s">
        <v>53</v>
      </c>
      <c r="AA51" t="s">
        <v>53</v>
      </c>
      <c r="AC51" s="2">
        <v>0.81518545322552505</v>
      </c>
      <c r="AD51" s="2">
        <v>0.55785709619522095</v>
      </c>
      <c r="AE51" s="2">
        <v>0.24727796018123599</v>
      </c>
      <c r="AF51" s="2">
        <v>0.173993825912476</v>
      </c>
      <c r="AG51" s="2">
        <v>0.26480001211166398</v>
      </c>
      <c r="AH51" s="2">
        <v>-0.24685360491275801</v>
      </c>
      <c r="AI51" s="2">
        <v>2.9247333295643299E-3</v>
      </c>
      <c r="AJ51" s="2">
        <v>0.97012365449040405</v>
      </c>
      <c r="AK51" s="2">
        <v>0.95224126946211496</v>
      </c>
      <c r="AL51" s="2">
        <v>1.1166426230989599</v>
      </c>
      <c r="AM51" s="2">
        <v>0.53381317853927601</v>
      </c>
      <c r="AN51" s="2">
        <v>0.57194530963897705</v>
      </c>
      <c r="AO51" s="2">
        <v>0.84555965662002597</v>
      </c>
      <c r="AP51" s="2">
        <v>0.82975935935974099</v>
      </c>
    </row>
    <row r="52" spans="1:42" x14ac:dyDescent="0.3">
      <c r="A52" t="s">
        <v>71</v>
      </c>
      <c r="B52" s="3">
        <v>2017</v>
      </c>
      <c r="C52" s="3">
        <v>24.731038000000002</v>
      </c>
      <c r="D52" s="3">
        <v>1641.6</v>
      </c>
      <c r="E52" t="s">
        <v>72</v>
      </c>
      <c r="G52" s="3">
        <v>1001537.75</v>
      </c>
      <c r="H52" s="3">
        <v>1336602.375</v>
      </c>
      <c r="I52" s="3">
        <v>1337297.125</v>
      </c>
      <c r="J52" s="3">
        <v>1392908.875</v>
      </c>
      <c r="K52" s="3">
        <v>6561996.5</v>
      </c>
      <c r="L52" s="3">
        <v>8.2055591046810206E-2</v>
      </c>
      <c r="M52" s="3">
        <v>0.86668384075164795</v>
      </c>
      <c r="N52" s="3">
        <v>0.80089294910430897</v>
      </c>
      <c r="O52" s="3">
        <v>1031835.9375</v>
      </c>
      <c r="P52" s="3">
        <v>1392356.25</v>
      </c>
      <c r="Q52" s="3">
        <v>0.99152821302413896</v>
      </c>
      <c r="R52" s="3">
        <v>0.58268862962722801</v>
      </c>
      <c r="S52" s="3">
        <v>1.06146895885468</v>
      </c>
      <c r="T52" s="3">
        <v>1.0557043552398699</v>
      </c>
      <c r="U52" s="3">
        <v>1.0135555267334</v>
      </c>
      <c r="W52" t="s">
        <v>51</v>
      </c>
      <c r="X52" t="s">
        <v>51</v>
      </c>
      <c r="Y52" t="s">
        <v>52</v>
      </c>
      <c r="Z52" t="s">
        <v>53</v>
      </c>
      <c r="AA52" t="s">
        <v>53</v>
      </c>
      <c r="AC52" s="2">
        <v>0.80951547849908001</v>
      </c>
      <c r="AD52" s="2">
        <v>0.54258269071579002</v>
      </c>
      <c r="AE52" s="2">
        <v>0.24055027961730999</v>
      </c>
      <c r="AF52" s="2">
        <v>0.17644336819648701</v>
      </c>
      <c r="AG52" s="2">
        <v>0.30473497509956399</v>
      </c>
      <c r="AH52" s="2">
        <v>-0.26384627819061302</v>
      </c>
      <c r="AI52" s="2">
        <v>-4.65040182461962E-4</v>
      </c>
      <c r="AJ52" s="2">
        <v>1.03273142755213</v>
      </c>
      <c r="AK52" s="2">
        <v>1.03847339358459</v>
      </c>
      <c r="AL52" s="2">
        <v>1.14984018123563</v>
      </c>
      <c r="AM52" s="2">
        <v>0.54226696491241499</v>
      </c>
      <c r="AN52" s="2">
        <v>0.62252080440521196</v>
      </c>
      <c r="AO52" s="2">
        <v>0.94834572076797496</v>
      </c>
      <c r="AP52" s="2">
        <v>0.89580959081649802</v>
      </c>
    </row>
    <row r="53" spans="1:42" x14ac:dyDescent="0.3">
      <c r="A53" t="s">
        <v>71</v>
      </c>
      <c r="B53" s="3">
        <v>2018</v>
      </c>
      <c r="C53" s="3">
        <v>25.119706000000001</v>
      </c>
      <c r="D53" s="3">
        <v>1633.87</v>
      </c>
      <c r="E53" t="s">
        <v>72</v>
      </c>
      <c r="G53" s="3">
        <v>1028686</v>
      </c>
      <c r="H53" s="3">
        <v>1362767.375</v>
      </c>
      <c r="I53" s="3">
        <v>1392451.75</v>
      </c>
      <c r="J53" s="3">
        <v>1465572.75</v>
      </c>
      <c r="K53" s="3">
        <v>6776144.5</v>
      </c>
      <c r="L53" s="3">
        <v>8.2737460732459994E-2</v>
      </c>
      <c r="M53" s="3">
        <v>0.87486368417739901</v>
      </c>
      <c r="N53" s="3">
        <v>0.78307026624679599</v>
      </c>
      <c r="O53" s="3">
        <v>1058136.5</v>
      </c>
      <c r="P53" s="3">
        <v>1411672.625</v>
      </c>
      <c r="Q53" s="3">
        <v>0.98653304576873802</v>
      </c>
      <c r="R53" s="3">
        <v>0.57493418455123901</v>
      </c>
      <c r="S53" s="3">
        <v>1.053382396698</v>
      </c>
      <c r="T53" s="3">
        <v>1.0448815822601301</v>
      </c>
      <c r="U53" s="3">
        <v>0.99274992942810103</v>
      </c>
      <c r="W53" t="s">
        <v>50</v>
      </c>
      <c r="X53" t="s">
        <v>51</v>
      </c>
      <c r="Y53" t="s">
        <v>52</v>
      </c>
      <c r="Z53" t="s">
        <v>53</v>
      </c>
      <c r="AA53" t="s">
        <v>53</v>
      </c>
      <c r="AC53" s="2">
        <v>0.82601642387428298</v>
      </c>
      <c r="AD53" s="2">
        <v>0.51847761869430498</v>
      </c>
      <c r="AE53" s="2">
        <v>0.22795280814170801</v>
      </c>
      <c r="AF53" s="2">
        <v>0.18342272937297799</v>
      </c>
      <c r="AG53" s="2">
        <v>0.30981960892677302</v>
      </c>
      <c r="AH53" s="2">
        <v>-0.249153211712837</v>
      </c>
      <c r="AI53" s="2">
        <v>9.4804866239428503E-3</v>
      </c>
      <c r="AJ53" s="2">
        <v>1.03598105256743</v>
      </c>
      <c r="AK53" s="2">
        <v>1.01870640365999</v>
      </c>
      <c r="AL53" s="2">
        <v>1.1025704273347301</v>
      </c>
      <c r="AM53" s="2">
        <v>0.55665820837020896</v>
      </c>
      <c r="AN53" s="2">
        <v>0.64503246545791604</v>
      </c>
      <c r="AO53" s="2">
        <v>0.94029867649078402</v>
      </c>
      <c r="AP53" s="2">
        <v>0.88382625579833995</v>
      </c>
    </row>
    <row r="54" spans="1:42" x14ac:dyDescent="0.3">
      <c r="A54" t="s">
        <v>71</v>
      </c>
      <c r="B54" s="3">
        <v>2019</v>
      </c>
      <c r="C54" s="3">
        <v>25.482714000000001</v>
      </c>
      <c r="D54" s="3">
        <v>1632.29</v>
      </c>
      <c r="E54" t="s">
        <v>72</v>
      </c>
      <c r="G54" s="3">
        <v>1028259.75</v>
      </c>
      <c r="H54" s="3">
        <v>1366341.375</v>
      </c>
      <c r="I54" s="3">
        <v>1414270.625</v>
      </c>
      <c r="J54" s="3">
        <v>1502756.5</v>
      </c>
      <c r="K54" s="3">
        <v>7240472</v>
      </c>
      <c r="L54" s="3">
        <v>8.6551137268543202E-2</v>
      </c>
      <c r="M54" s="3">
        <v>0.84856665134429898</v>
      </c>
      <c r="N54" s="3">
        <v>0.74243193864822399</v>
      </c>
      <c r="O54" s="3">
        <v>1054360.375</v>
      </c>
      <c r="P54" s="3">
        <v>1394982.375</v>
      </c>
      <c r="Q54" s="3">
        <v>0.96304589509964</v>
      </c>
      <c r="R54" s="3">
        <v>0.56904065608978305</v>
      </c>
      <c r="S54" s="3">
        <v>0.99385100603103604</v>
      </c>
      <c r="T54" s="3">
        <v>0.97405940294265803</v>
      </c>
      <c r="U54" s="3">
        <v>0.91670435667037997</v>
      </c>
      <c r="W54" t="s">
        <v>50</v>
      </c>
      <c r="X54" t="s">
        <v>54</v>
      </c>
      <c r="Y54" t="s">
        <v>52</v>
      </c>
      <c r="Z54" t="s">
        <v>53</v>
      </c>
      <c r="AA54" t="s">
        <v>53</v>
      </c>
      <c r="AC54" s="2">
        <v>0.837819019242944</v>
      </c>
      <c r="AD54" s="2">
        <v>0.491202622652054</v>
      </c>
      <c r="AE54" s="2">
        <v>0.22497431933879899</v>
      </c>
      <c r="AF54" s="2">
        <v>0.19304643571376801</v>
      </c>
      <c r="AG54" s="2">
        <v>0.33120137453079201</v>
      </c>
      <c r="AH54" s="2">
        <v>-0.24172404408454901</v>
      </c>
      <c r="AI54" s="2">
        <v>1.2993192067369799E-3</v>
      </c>
      <c r="AJ54" s="2">
        <v>0.97583354207526596</v>
      </c>
      <c r="AK54" s="2">
        <v>0.91386427917768698</v>
      </c>
      <c r="AL54" s="2">
        <v>1.0396960371461501</v>
      </c>
      <c r="AM54" s="2">
        <v>0.53519982099533103</v>
      </c>
      <c r="AN54" s="2">
        <v>0.60971659421920799</v>
      </c>
      <c r="AO54" s="2">
        <v>0.84506702423095703</v>
      </c>
      <c r="AP54" s="2">
        <v>0.78018540143966697</v>
      </c>
    </row>
    <row r="55" spans="1:42" x14ac:dyDescent="0.3">
      <c r="A55" t="s">
        <v>71</v>
      </c>
      <c r="B55" s="3">
        <v>2020</v>
      </c>
      <c r="C55" s="3">
        <v>25.743791000000002</v>
      </c>
      <c r="D55" s="3">
        <v>1601.09</v>
      </c>
      <c r="E55" t="s">
        <v>72</v>
      </c>
      <c r="G55" s="3">
        <v>1079860.875</v>
      </c>
      <c r="H55" s="3">
        <v>1441982.25</v>
      </c>
      <c r="I55" s="3">
        <v>1499112.125</v>
      </c>
      <c r="J55" s="3">
        <v>1539556.25</v>
      </c>
      <c r="K55" s="3">
        <v>7483181.5</v>
      </c>
      <c r="L55" s="3">
        <v>8.6129657924175304E-2</v>
      </c>
      <c r="M55" s="3">
        <v>0.85635036230087302</v>
      </c>
      <c r="N55" s="3">
        <v>0.769448101520538</v>
      </c>
      <c r="O55" s="3">
        <v>1081549.25</v>
      </c>
      <c r="P55" s="3">
        <v>1446493.375</v>
      </c>
      <c r="Q55" s="3">
        <v>0.98176902532577504</v>
      </c>
      <c r="R55" s="3">
        <v>0.56035065650939897</v>
      </c>
      <c r="S55" s="3">
        <v>0.97372639179229703</v>
      </c>
      <c r="T55" s="3">
        <v>0.95752924680709794</v>
      </c>
      <c r="U55" s="3">
        <v>0.93237495422363303</v>
      </c>
      <c r="W55" t="s">
        <v>50</v>
      </c>
      <c r="X55" t="s">
        <v>54</v>
      </c>
      <c r="Y55" t="s">
        <v>52</v>
      </c>
      <c r="Z55" t="s">
        <v>53</v>
      </c>
      <c r="AA55" t="s">
        <v>53</v>
      </c>
      <c r="AC55" s="2">
        <v>0.83607674748264804</v>
      </c>
      <c r="AD55" s="2">
        <v>0.49359482526779203</v>
      </c>
      <c r="AE55" s="2">
        <v>0.2352115213871</v>
      </c>
      <c r="AF55" s="2">
        <v>0.207815632224083</v>
      </c>
      <c r="AG55" s="2">
        <v>0.28606545925140398</v>
      </c>
      <c r="AH55" s="2">
        <v>-0.22542728483676899</v>
      </c>
      <c r="AI55" s="2">
        <v>2.7398820966482202E-3</v>
      </c>
      <c r="AJ55" s="2">
        <v>0.96013572991911</v>
      </c>
      <c r="AK55" s="2">
        <v>0.909228851244817</v>
      </c>
      <c r="AL55" s="2">
        <v>1.0060062848573701</v>
      </c>
      <c r="AM55" s="2">
        <v>0.57856106758117698</v>
      </c>
      <c r="AN55" s="2">
        <v>0.58790081739425704</v>
      </c>
      <c r="AO55" s="2">
        <v>0.82852154970169101</v>
      </c>
      <c r="AP55" s="2">
        <v>0.87009137868881203</v>
      </c>
    </row>
    <row r="56" spans="1:42" x14ac:dyDescent="0.3">
      <c r="A56" t="s">
        <v>73</v>
      </c>
      <c r="B56" s="3">
        <v>2015</v>
      </c>
      <c r="C56" s="3">
        <v>8.6440389999999994</v>
      </c>
      <c r="D56" s="3">
        <v>1494.83</v>
      </c>
      <c r="E56" t="s">
        <v>74</v>
      </c>
      <c r="G56" s="3">
        <v>327440.59375</v>
      </c>
      <c r="H56" s="3">
        <v>466121.03125</v>
      </c>
      <c r="I56" s="3">
        <v>483747.25</v>
      </c>
      <c r="J56" s="3">
        <v>462733.875</v>
      </c>
      <c r="K56" s="3">
        <v>2748437</v>
      </c>
      <c r="L56" s="3">
        <v>3.4259963780641597E-2</v>
      </c>
      <c r="M56" s="3">
        <v>0.86744785308837902</v>
      </c>
      <c r="N56" s="3">
        <v>0.84299129247665405</v>
      </c>
      <c r="O56" s="3">
        <v>367660.03125</v>
      </c>
      <c r="P56" s="3">
        <v>522294.875</v>
      </c>
      <c r="Q56" s="3">
        <v>1.01672267913818</v>
      </c>
      <c r="R56" s="3">
        <v>0.60215091705322299</v>
      </c>
      <c r="S56" s="3">
        <v>0.83856284618377697</v>
      </c>
      <c r="T56" s="3">
        <v>0.784595847129822</v>
      </c>
      <c r="U56" s="3">
        <v>0.82022547721862804</v>
      </c>
      <c r="W56" t="s">
        <v>50</v>
      </c>
      <c r="X56" t="s">
        <v>51</v>
      </c>
      <c r="Y56" t="s">
        <v>52</v>
      </c>
      <c r="Z56" t="s">
        <v>53</v>
      </c>
      <c r="AA56" t="s">
        <v>53</v>
      </c>
      <c r="AC56" s="2">
        <v>0.82904475537951405</v>
      </c>
      <c r="AD56" s="2">
        <v>0.53050857782363903</v>
      </c>
      <c r="AE56" s="2">
        <v>0.29969802498817399</v>
      </c>
      <c r="AF56" s="2">
        <v>0.17711326479911799</v>
      </c>
      <c r="AG56" s="2">
        <v>0.52609562873840299</v>
      </c>
      <c r="AH56" s="2">
        <v>-0.57683968544006403</v>
      </c>
      <c r="AI56" s="2">
        <v>4.3424185365438503E-2</v>
      </c>
      <c r="AJ56" s="2">
        <v>0.80731164433987501</v>
      </c>
      <c r="AK56" s="2">
        <v>0.65717343144803597</v>
      </c>
      <c r="AL56" s="2">
        <v>0.93216987920819305</v>
      </c>
      <c r="AM56" s="2">
        <v>0.59675753116607699</v>
      </c>
      <c r="AN56" s="2">
        <v>0.55419671535491899</v>
      </c>
      <c r="AO56" s="2">
        <v>0.56674635410308805</v>
      </c>
      <c r="AP56" s="2">
        <v>0.58886808156967196</v>
      </c>
    </row>
    <row r="57" spans="1:42" x14ac:dyDescent="0.3">
      <c r="A57" t="s">
        <v>73</v>
      </c>
      <c r="B57" s="3">
        <v>2016</v>
      </c>
      <c r="C57" s="3">
        <v>8.7379149999999992</v>
      </c>
      <c r="D57" s="3">
        <v>1507.17</v>
      </c>
      <c r="E57" t="s">
        <v>74</v>
      </c>
      <c r="G57" s="3">
        <v>337251.28125</v>
      </c>
      <c r="H57" s="3">
        <v>483999.21875</v>
      </c>
      <c r="I57" s="3">
        <v>502768.3125</v>
      </c>
      <c r="J57" s="3">
        <v>474155.46875</v>
      </c>
      <c r="K57" s="3">
        <v>2798657.25</v>
      </c>
      <c r="L57" s="3">
        <v>3.4367110580205897E-2</v>
      </c>
      <c r="M57" s="3">
        <v>0.86782413721084595</v>
      </c>
      <c r="N57" s="3">
        <v>0.85644102096557595</v>
      </c>
      <c r="O57" s="3">
        <v>373931.15625</v>
      </c>
      <c r="P57" s="3">
        <v>534915.375</v>
      </c>
      <c r="Q57" s="3">
        <v>1.0150630474090601</v>
      </c>
      <c r="R57" s="3">
        <v>0.60006684064865101</v>
      </c>
      <c r="S57" s="3">
        <v>0.83826398849487305</v>
      </c>
      <c r="T57" s="3">
        <v>0.783039331436157</v>
      </c>
      <c r="U57" s="3">
        <v>0.830291748046875</v>
      </c>
      <c r="W57" t="s">
        <v>50</v>
      </c>
      <c r="X57" t="s">
        <v>51</v>
      </c>
      <c r="Y57" t="s">
        <v>52</v>
      </c>
      <c r="Z57" t="s">
        <v>53</v>
      </c>
      <c r="AA57" t="s">
        <v>53</v>
      </c>
      <c r="AC57" s="2">
        <v>0.82861476338965301</v>
      </c>
      <c r="AD57" s="2">
        <v>0.52865481376648005</v>
      </c>
      <c r="AE57" s="2">
        <v>0.30949330329894997</v>
      </c>
      <c r="AF57" s="2">
        <v>0.18261247873306299</v>
      </c>
      <c r="AG57" s="2">
        <v>0.52162671089172397</v>
      </c>
      <c r="AH57" s="2">
        <v>-0.59314572811126698</v>
      </c>
      <c r="AI57" s="2">
        <v>5.0758462399244302E-2</v>
      </c>
      <c r="AJ57" s="2">
        <v>0.81407737465804797</v>
      </c>
      <c r="AK57" s="2">
        <v>0.65612363968814302</v>
      </c>
      <c r="AL57" s="2">
        <v>0.90828324091018198</v>
      </c>
      <c r="AM57" s="2">
        <v>0.58504724502563499</v>
      </c>
      <c r="AN57" s="2">
        <v>0.53329980373382602</v>
      </c>
      <c r="AO57" s="2">
        <v>0.56615006923675504</v>
      </c>
      <c r="AP57" s="2">
        <v>0.59300607442855802</v>
      </c>
    </row>
    <row r="58" spans="1:42" x14ac:dyDescent="0.3">
      <c r="A58" t="s">
        <v>73</v>
      </c>
      <c r="B58" s="3">
        <v>2017</v>
      </c>
      <c r="C58" s="3">
        <v>8.7987780000000004</v>
      </c>
      <c r="D58" s="3">
        <v>1497.42</v>
      </c>
      <c r="E58" t="s">
        <v>74</v>
      </c>
      <c r="G58" s="3">
        <v>345110.3125</v>
      </c>
      <c r="H58" s="3">
        <v>501126.25</v>
      </c>
      <c r="I58" s="3">
        <v>517303</v>
      </c>
      <c r="J58" s="3">
        <v>492915.28125</v>
      </c>
      <c r="K58" s="3">
        <v>2891243</v>
      </c>
      <c r="L58" s="3">
        <v>3.5422872751951197E-2</v>
      </c>
      <c r="M58" s="3">
        <v>0.86794853210449197</v>
      </c>
      <c r="N58" s="3">
        <v>0.84977400302886996</v>
      </c>
      <c r="O58" s="3">
        <v>379643</v>
      </c>
      <c r="P58" s="3">
        <v>546656.75</v>
      </c>
      <c r="Q58" s="3">
        <v>1.01973009109497</v>
      </c>
      <c r="R58" s="3">
        <v>0.60042476654052701</v>
      </c>
      <c r="S58" s="3">
        <v>0.86439120769500699</v>
      </c>
      <c r="T58" s="3">
        <v>0.80209499597549405</v>
      </c>
      <c r="U58" s="3">
        <v>0.84177988767623901</v>
      </c>
      <c r="W58" t="s">
        <v>51</v>
      </c>
      <c r="X58" t="s">
        <v>51</v>
      </c>
      <c r="Y58" t="s">
        <v>52</v>
      </c>
      <c r="Z58" t="s">
        <v>53</v>
      </c>
      <c r="AA58" t="s">
        <v>53</v>
      </c>
      <c r="AC58" s="2">
        <v>0.82525076505606898</v>
      </c>
      <c r="AD58" s="2">
        <v>0.51619672775268599</v>
      </c>
      <c r="AE58" s="2">
        <v>0.31651669740676902</v>
      </c>
      <c r="AF58" s="2">
        <v>0.18394452333450301</v>
      </c>
      <c r="AG58" s="2">
        <v>0.53409987688064597</v>
      </c>
      <c r="AH58" s="2">
        <v>-0.59770423173904397</v>
      </c>
      <c r="AI58" s="2">
        <v>4.69464659690857E-2</v>
      </c>
      <c r="AJ58" s="2">
        <v>0.849658343295153</v>
      </c>
      <c r="AK58" s="2">
        <v>0.66429441922894195</v>
      </c>
      <c r="AL58" s="2">
        <v>0.90573556685991596</v>
      </c>
      <c r="AM58" s="2">
        <v>0.60764020681381203</v>
      </c>
      <c r="AN58" s="2">
        <v>0.56505459547042902</v>
      </c>
      <c r="AO58" s="2">
        <v>0.580205857753754</v>
      </c>
      <c r="AP58" s="2">
        <v>0.58395451307296797</v>
      </c>
    </row>
    <row r="59" spans="1:42" x14ac:dyDescent="0.3">
      <c r="A59" t="s">
        <v>73</v>
      </c>
      <c r="B59" s="3">
        <v>2018</v>
      </c>
      <c r="C59" s="3">
        <v>8.8416499999999996</v>
      </c>
      <c r="D59" s="3">
        <v>1501.39</v>
      </c>
      <c r="E59" t="s">
        <v>74</v>
      </c>
      <c r="G59" s="3">
        <v>349305.15625</v>
      </c>
      <c r="H59" s="3">
        <v>520990.59375</v>
      </c>
      <c r="I59" s="3">
        <v>537292.0625</v>
      </c>
      <c r="J59" s="3">
        <v>515895.59375</v>
      </c>
      <c r="K59" s="3">
        <v>3018957.25</v>
      </c>
      <c r="L59" s="3">
        <v>3.64570394158363E-2</v>
      </c>
      <c r="M59" s="3">
        <v>0.87005996704101596</v>
      </c>
      <c r="N59" s="3">
        <v>0.84579110145568903</v>
      </c>
      <c r="O59" s="3">
        <v>383004.46875</v>
      </c>
      <c r="P59" s="3">
        <v>559047.0625</v>
      </c>
      <c r="Q59" s="3">
        <v>1.0200266838073699</v>
      </c>
      <c r="R59" s="3">
        <v>0.59983992576599099</v>
      </c>
      <c r="S59" s="3">
        <v>0.92079931497573897</v>
      </c>
      <c r="T59" s="3">
        <v>0.84233945608139005</v>
      </c>
      <c r="U59" s="3">
        <v>0.877274990081787</v>
      </c>
      <c r="W59" t="s">
        <v>50</v>
      </c>
      <c r="X59" t="s">
        <v>51</v>
      </c>
      <c r="Y59" t="s">
        <v>52</v>
      </c>
      <c r="Z59" t="s">
        <v>53</v>
      </c>
      <c r="AA59" t="s">
        <v>53</v>
      </c>
      <c r="AC59" s="2">
        <v>0.82797987718613197</v>
      </c>
      <c r="AD59" s="2">
        <v>0.49941897392272999</v>
      </c>
      <c r="AE59" s="2">
        <v>0.33279109001159701</v>
      </c>
      <c r="AF59" s="2">
        <v>0.17766596376895899</v>
      </c>
      <c r="AG59" s="2">
        <v>0.54637914896011397</v>
      </c>
      <c r="AH59" s="2">
        <v>-0.60251057147979703</v>
      </c>
      <c r="AI59" s="2">
        <v>4.6255368739366497E-2</v>
      </c>
      <c r="AJ59" s="2">
        <v>0.90364744423044296</v>
      </c>
      <c r="AK59" s="2">
        <v>0.68270789710330904</v>
      </c>
      <c r="AL59" s="2">
        <v>0.96901314790904602</v>
      </c>
      <c r="AM59" s="2">
        <v>0.62791043519973799</v>
      </c>
      <c r="AN59" s="2">
        <v>0.59258598089218095</v>
      </c>
      <c r="AO59" s="2">
        <v>0.60523664951324496</v>
      </c>
      <c r="AP59" s="2">
        <v>0.58737522363662698</v>
      </c>
    </row>
    <row r="60" spans="1:42" x14ac:dyDescent="0.3">
      <c r="A60" t="s">
        <v>73</v>
      </c>
      <c r="B60" s="3">
        <v>2019</v>
      </c>
      <c r="C60" s="3">
        <v>8.8808760000000007</v>
      </c>
      <c r="D60" s="3">
        <v>1508.85</v>
      </c>
      <c r="E60" t="s">
        <v>74</v>
      </c>
      <c r="G60" s="3">
        <v>369511.625</v>
      </c>
      <c r="H60" s="3">
        <v>545893.4375</v>
      </c>
      <c r="I60" s="3">
        <v>567032.375</v>
      </c>
      <c r="J60" s="3">
        <v>549661.875</v>
      </c>
      <c r="K60" s="3">
        <v>3128627.25</v>
      </c>
      <c r="L60" s="3">
        <v>3.6928940564393997E-2</v>
      </c>
      <c r="M60" s="3">
        <v>0.89938807487487804</v>
      </c>
      <c r="N60" s="3">
        <v>0.85952728986740101</v>
      </c>
      <c r="O60" s="3">
        <v>386246.3125</v>
      </c>
      <c r="P60" s="3">
        <v>561638.0625</v>
      </c>
      <c r="Q60" s="3">
        <v>1.0150965452194201</v>
      </c>
      <c r="R60" s="3">
        <v>0.60484242439269997</v>
      </c>
      <c r="S60" s="3">
        <v>0.84833174943923995</v>
      </c>
      <c r="T60" s="3">
        <v>0.78123158216476396</v>
      </c>
      <c r="U60" s="3">
        <v>0.80592012405395497</v>
      </c>
      <c r="W60" t="s">
        <v>50</v>
      </c>
      <c r="X60" t="s">
        <v>54</v>
      </c>
      <c r="Y60" t="s">
        <v>52</v>
      </c>
      <c r="Z60" t="s">
        <v>53</v>
      </c>
      <c r="AA60" t="s">
        <v>53</v>
      </c>
      <c r="AC60" s="2">
        <v>0.83718038288800201</v>
      </c>
      <c r="AD60" s="2">
        <v>0.49290847778320301</v>
      </c>
      <c r="AE60" s="2">
        <v>0.32089143991470298</v>
      </c>
      <c r="AF60" s="2">
        <v>0.179344117641449</v>
      </c>
      <c r="AG60" s="2">
        <v>0.53163540363311801</v>
      </c>
      <c r="AH60" s="2">
        <v>-0.57349103689193703</v>
      </c>
      <c r="AI60" s="2">
        <v>4.8711635172367103E-2</v>
      </c>
      <c r="AJ60" s="2">
        <v>0.834584484391801</v>
      </c>
      <c r="AK60" s="2">
        <v>0.64065986256507401</v>
      </c>
      <c r="AL60" s="2">
        <v>0.88611476109238996</v>
      </c>
      <c r="AM60" s="2">
        <v>0.58699667453765902</v>
      </c>
      <c r="AN60" s="2">
        <v>0.56022000312805198</v>
      </c>
      <c r="AO60" s="2">
        <v>0.57411748170852706</v>
      </c>
      <c r="AP60" s="2">
        <v>0.53914737701416005</v>
      </c>
    </row>
    <row r="61" spans="1:42" x14ac:dyDescent="0.3">
      <c r="A61" t="s">
        <v>73</v>
      </c>
      <c r="B61" s="3">
        <v>2020</v>
      </c>
      <c r="C61" s="3">
        <v>8.921405</v>
      </c>
      <c r="D61" s="3">
        <v>1398.75</v>
      </c>
      <c r="E61" t="s">
        <v>74</v>
      </c>
      <c r="G61" s="3">
        <v>357606.03125</v>
      </c>
      <c r="H61" s="3">
        <v>524850.25</v>
      </c>
      <c r="I61" s="3">
        <v>543589.3125</v>
      </c>
      <c r="J61" s="3">
        <v>527528</v>
      </c>
      <c r="K61" s="3">
        <v>3189829</v>
      </c>
      <c r="L61" s="3">
        <v>3.6463726311922101E-2</v>
      </c>
      <c r="M61" s="3">
        <v>0.88866293430328402</v>
      </c>
      <c r="N61" s="3">
        <v>0.84818482398986805</v>
      </c>
      <c r="O61" s="3">
        <v>364351.5</v>
      </c>
      <c r="P61" s="3">
        <v>530152.5625</v>
      </c>
      <c r="Q61" s="3">
        <v>0.99616605043411299</v>
      </c>
      <c r="R61" s="3">
        <v>0.59801024198532104</v>
      </c>
      <c r="S61" s="3">
        <v>0.861244857311249</v>
      </c>
      <c r="T61" s="3">
        <v>0.79912829399108898</v>
      </c>
      <c r="U61" s="3">
        <v>0.82345890998840299</v>
      </c>
      <c r="W61" t="s">
        <v>50</v>
      </c>
      <c r="X61" t="s">
        <v>54</v>
      </c>
      <c r="Y61" t="s">
        <v>52</v>
      </c>
      <c r="Z61" t="s">
        <v>53</v>
      </c>
      <c r="AA61" t="s">
        <v>53</v>
      </c>
      <c r="AC61" s="2">
        <v>0.83818009193459198</v>
      </c>
      <c r="AD61" s="2">
        <v>0.48886358737945601</v>
      </c>
      <c r="AE61" s="2">
        <v>0.31703385710716298</v>
      </c>
      <c r="AF61" s="2">
        <v>0.189026534557343</v>
      </c>
      <c r="AG61" s="2">
        <v>0.49321192502975503</v>
      </c>
      <c r="AH61" s="2">
        <v>-0.5326789021492</v>
      </c>
      <c r="AI61" s="2">
        <v>4.4542916119098698E-2</v>
      </c>
      <c r="AJ61" s="2">
        <v>0.83531158304744102</v>
      </c>
      <c r="AK61" s="2">
        <v>0.66630898239710501</v>
      </c>
      <c r="AL61" s="2">
        <v>0.92831386060524002</v>
      </c>
      <c r="AM61" s="2">
        <v>0.59753996133804299</v>
      </c>
      <c r="AN61" s="2">
        <v>0.56883454322814897</v>
      </c>
      <c r="AO61" s="2">
        <v>0.59665805101394698</v>
      </c>
      <c r="AP61" s="2">
        <v>0.56867784261703502</v>
      </c>
    </row>
    <row r="62" spans="1:42" x14ac:dyDescent="0.3">
      <c r="A62" t="s">
        <v>75</v>
      </c>
      <c r="B62" s="3">
        <v>2015</v>
      </c>
      <c r="C62" s="3">
        <v>9.7528500000000005</v>
      </c>
      <c r="D62" s="3">
        <v>1795.69</v>
      </c>
      <c r="E62" t="s">
        <v>76</v>
      </c>
      <c r="G62" s="3">
        <v>135530.4375</v>
      </c>
      <c r="H62" s="3">
        <v>161789.015625</v>
      </c>
      <c r="I62" s="3">
        <v>166772.25</v>
      </c>
      <c r="J62" s="3">
        <v>165730.15625</v>
      </c>
      <c r="K62" s="3">
        <v>213452.890625</v>
      </c>
      <c r="L62" s="3">
        <v>4.1579403914511204E-3</v>
      </c>
      <c r="M62" s="3"/>
      <c r="N62" s="3"/>
      <c r="O62" s="3">
        <v>132196.15625</v>
      </c>
      <c r="P62" s="3">
        <v>178592.15625</v>
      </c>
      <c r="Q62" s="3"/>
      <c r="R62" s="3">
        <v>0.28925910592079201</v>
      </c>
      <c r="S62" s="3">
        <v>0.270602166652679</v>
      </c>
      <c r="T62" s="3">
        <v>0.31825587153434798</v>
      </c>
      <c r="U62" s="3">
        <v>0.320257037878037</v>
      </c>
      <c r="W62" t="s">
        <v>50</v>
      </c>
      <c r="X62" t="s">
        <v>51</v>
      </c>
      <c r="Y62" t="s">
        <v>52</v>
      </c>
      <c r="Z62" t="s">
        <v>53</v>
      </c>
      <c r="AA62" t="s">
        <v>53</v>
      </c>
      <c r="AC62" s="2">
        <v>0.52124729530262603</v>
      </c>
      <c r="AD62" s="2">
        <v>0.60253298282623302</v>
      </c>
      <c r="AE62" s="2">
        <v>0.158441781997681</v>
      </c>
      <c r="AF62" s="2">
        <v>0.215244740247726</v>
      </c>
      <c r="AG62" s="2">
        <v>0.15479093790054299</v>
      </c>
      <c r="AH62" s="2">
        <v>-9.6228949725627899E-2</v>
      </c>
      <c r="AI62" s="2">
        <v>-3.4781467169523198E-2</v>
      </c>
      <c r="AJ62" s="2">
        <v>0.30131820744897497</v>
      </c>
      <c r="AK62" s="2">
        <v>0.56421462298813696</v>
      </c>
      <c r="AL62" s="2">
        <v>0.184618929091103</v>
      </c>
      <c r="AM62" s="2">
        <v>0.49296513199806202</v>
      </c>
      <c r="AN62" s="2">
        <v>0.57776892185211204</v>
      </c>
      <c r="AO62" s="2">
        <v>0.40654909610748302</v>
      </c>
      <c r="AP62" s="2">
        <v>1.2121467590332</v>
      </c>
    </row>
    <row r="63" spans="1:42" x14ac:dyDescent="0.3">
      <c r="A63" t="s">
        <v>75</v>
      </c>
      <c r="B63" s="3">
        <v>2016</v>
      </c>
      <c r="C63" s="3">
        <v>9.8684279999999998</v>
      </c>
      <c r="D63" s="3">
        <v>1804.82</v>
      </c>
      <c r="E63" t="s">
        <v>76</v>
      </c>
      <c r="G63" s="3">
        <v>137466.1875</v>
      </c>
      <c r="H63" s="3">
        <v>158797.515625</v>
      </c>
      <c r="I63" s="3">
        <v>163334.9375</v>
      </c>
      <c r="J63" s="3">
        <v>157630.515625</v>
      </c>
      <c r="K63" s="3">
        <v>225470.6875</v>
      </c>
      <c r="L63" s="3">
        <v>4.02460619807243E-3</v>
      </c>
      <c r="M63" s="3"/>
      <c r="N63" s="3"/>
      <c r="O63" s="3">
        <v>135659.9375</v>
      </c>
      <c r="P63" s="3">
        <v>171652.171875</v>
      </c>
      <c r="Q63" s="3"/>
      <c r="R63" s="3">
        <v>0.27254760265350297</v>
      </c>
      <c r="S63" s="3">
        <v>0.19706848263740501</v>
      </c>
      <c r="T63" s="3">
        <v>0.231836557388306</v>
      </c>
      <c r="U63" s="3">
        <v>0.24022635817527799</v>
      </c>
      <c r="W63" t="s">
        <v>50</v>
      </c>
      <c r="X63" t="s">
        <v>51</v>
      </c>
      <c r="Y63" t="s">
        <v>52</v>
      </c>
      <c r="Z63" t="s">
        <v>53</v>
      </c>
      <c r="AA63" t="s">
        <v>53</v>
      </c>
      <c r="AC63" s="2">
        <v>0.49964612819280801</v>
      </c>
      <c r="AD63" s="2">
        <v>0.62188333272934004</v>
      </c>
      <c r="AE63" s="2">
        <v>0.13532491028308899</v>
      </c>
      <c r="AF63" s="2">
        <v>0.25019517540931702</v>
      </c>
      <c r="AG63" s="2">
        <v>0.19458876550197601</v>
      </c>
      <c r="AH63" s="2">
        <v>-0.100152038037777</v>
      </c>
      <c r="AI63" s="2">
        <v>-0.10184013098478301</v>
      </c>
      <c r="AJ63" s="2">
        <v>0.22678399013553799</v>
      </c>
      <c r="AK63" s="2">
        <v>0.45589348175123001</v>
      </c>
      <c r="AL63" s="2">
        <v>0.123207810732469</v>
      </c>
      <c r="AM63" s="2">
        <v>0.436239123344421</v>
      </c>
      <c r="AN63" s="2">
        <v>0.53667515516281095</v>
      </c>
      <c r="AO63" s="2">
        <v>0.32296928763389599</v>
      </c>
      <c r="AP63" s="2">
        <v>0.88594228029251099</v>
      </c>
    </row>
    <row r="64" spans="1:42" x14ac:dyDescent="0.3">
      <c r="A64" t="s">
        <v>75</v>
      </c>
      <c r="B64" s="3">
        <v>2017</v>
      </c>
      <c r="C64" s="3">
        <v>9.9685100000000002</v>
      </c>
      <c r="D64" s="3">
        <v>1808.36</v>
      </c>
      <c r="E64" t="s">
        <v>76</v>
      </c>
      <c r="G64" s="3">
        <v>133109.390625</v>
      </c>
      <c r="H64" s="3">
        <v>153849.609375</v>
      </c>
      <c r="I64" s="3">
        <v>164886.125</v>
      </c>
      <c r="J64" s="3">
        <v>155265.59375</v>
      </c>
      <c r="K64" s="3">
        <v>241139.5625</v>
      </c>
      <c r="L64" s="3">
        <v>3.9850021712482002E-3</v>
      </c>
      <c r="M64" s="3"/>
      <c r="N64" s="3"/>
      <c r="O64" s="3">
        <v>136946.671875</v>
      </c>
      <c r="P64" s="3">
        <v>172395.234375</v>
      </c>
      <c r="Q64" s="3"/>
      <c r="R64" s="3">
        <v>0.25454056262969998</v>
      </c>
      <c r="S64" s="3">
        <v>0.211618527770042</v>
      </c>
      <c r="T64" s="3">
        <v>0.24784760177135501</v>
      </c>
      <c r="U64" s="3">
        <v>0.26320469379425099</v>
      </c>
      <c r="W64" t="s">
        <v>51</v>
      </c>
      <c r="X64" t="s">
        <v>51</v>
      </c>
      <c r="Y64" t="s">
        <v>52</v>
      </c>
      <c r="Z64" t="s">
        <v>53</v>
      </c>
      <c r="AA64" t="s">
        <v>53</v>
      </c>
      <c r="AC64" s="2">
        <v>0.47290802622932199</v>
      </c>
      <c r="AD64" s="2">
        <v>0.61700731515884399</v>
      </c>
      <c r="AE64" s="2">
        <v>0.133578985929489</v>
      </c>
      <c r="AF64" s="2">
        <v>0.240293949842453</v>
      </c>
      <c r="AG64" s="2">
        <v>0.207897514104843</v>
      </c>
      <c r="AH64" s="2">
        <v>-0.10572276264429099</v>
      </c>
      <c r="AI64" s="2">
        <v>-9.3055061995983096E-2</v>
      </c>
      <c r="AJ64" s="2">
        <v>0.24565360855240201</v>
      </c>
      <c r="AK64" s="2">
        <v>0.48036355749084297</v>
      </c>
      <c r="AL64" s="2">
        <v>0.124225995516105</v>
      </c>
      <c r="AM64" s="2">
        <v>0.47417399287223799</v>
      </c>
      <c r="AN64" s="2">
        <v>0.534129858016968</v>
      </c>
      <c r="AO64" s="2">
        <v>0.33229741454124501</v>
      </c>
      <c r="AP64" s="2">
        <v>0.95380091667175304</v>
      </c>
    </row>
    <row r="65" spans="1:42" x14ac:dyDescent="0.3">
      <c r="A65" t="s">
        <v>75</v>
      </c>
      <c r="B65" s="3">
        <v>2018</v>
      </c>
      <c r="C65" s="3">
        <v>10.039783999999999</v>
      </c>
      <c r="D65" s="3">
        <v>1804.05</v>
      </c>
      <c r="E65" t="s">
        <v>76</v>
      </c>
      <c r="G65" s="3">
        <v>127515.3046875</v>
      </c>
      <c r="H65" s="3">
        <v>149023.140625</v>
      </c>
      <c r="I65" s="3">
        <v>175866.421875</v>
      </c>
      <c r="J65" s="3">
        <v>165136.40625</v>
      </c>
      <c r="K65" s="3">
        <v>298562.0625</v>
      </c>
      <c r="L65" s="3">
        <v>4.71774488687515E-3</v>
      </c>
      <c r="M65" s="3"/>
      <c r="N65" s="3"/>
      <c r="O65" s="3">
        <v>141279.671875</v>
      </c>
      <c r="P65" s="3">
        <v>174551.21875</v>
      </c>
      <c r="Q65" s="3"/>
      <c r="R65" s="3">
        <v>0.25548049807548501</v>
      </c>
      <c r="S65" s="3">
        <v>0.23870073258876801</v>
      </c>
      <c r="T65" s="3">
        <v>0.26788789033889798</v>
      </c>
      <c r="U65" s="3">
        <v>0.28529432415962203</v>
      </c>
      <c r="W65" t="s">
        <v>50</v>
      </c>
      <c r="X65" t="s">
        <v>51</v>
      </c>
      <c r="Y65" t="s">
        <v>52</v>
      </c>
      <c r="Z65" t="s">
        <v>53</v>
      </c>
      <c r="AA65" t="s">
        <v>53</v>
      </c>
      <c r="AC65" s="2">
        <v>0.44563445156499798</v>
      </c>
      <c r="AD65" s="2">
        <v>0.61169457435607899</v>
      </c>
      <c r="AE65" s="2">
        <v>0.130242839455605</v>
      </c>
      <c r="AF65" s="2">
        <v>0.160487085580826</v>
      </c>
      <c r="AG65" s="2">
        <v>0.24270184338092801</v>
      </c>
      <c r="AH65" s="2">
        <v>-0.12734457850456199</v>
      </c>
      <c r="AI65" s="2">
        <v>-1.7781756818294501E-2</v>
      </c>
      <c r="AJ65" s="2">
        <v>0.252511801725401</v>
      </c>
      <c r="AK65" s="2">
        <v>0.44093210898922902</v>
      </c>
      <c r="AL65" s="2">
        <v>0.18605999384379801</v>
      </c>
      <c r="AM65" s="2">
        <v>0.48626744747161899</v>
      </c>
      <c r="AN65" s="2">
        <v>0.544971942901611</v>
      </c>
      <c r="AO65" s="2">
        <v>0.29539668560028098</v>
      </c>
      <c r="AP65" s="2">
        <v>0.87911015748977706</v>
      </c>
    </row>
    <row r="66" spans="1:42" x14ac:dyDescent="0.3">
      <c r="A66" t="s">
        <v>75</v>
      </c>
      <c r="B66" s="3">
        <v>2019</v>
      </c>
      <c r="C66" s="3">
        <v>10.110474999999999</v>
      </c>
      <c r="D66" s="3">
        <v>1796.38</v>
      </c>
      <c r="E66" t="s">
        <v>76</v>
      </c>
      <c r="G66" s="3">
        <v>140239.9375</v>
      </c>
      <c r="H66" s="3">
        <v>164704.265625</v>
      </c>
      <c r="I66" s="3">
        <v>185190.078125</v>
      </c>
      <c r="J66" s="3">
        <v>178794.984375</v>
      </c>
      <c r="K66" s="3">
        <v>360851.9375</v>
      </c>
      <c r="L66" s="3">
        <v>5.70898922160268E-3</v>
      </c>
      <c r="M66" s="3"/>
      <c r="N66" s="3"/>
      <c r="O66" s="3">
        <v>148709.046875</v>
      </c>
      <c r="P66" s="3">
        <v>182013.140625</v>
      </c>
      <c r="Q66" s="3"/>
      <c r="R66" s="3">
        <v>0.327482730150223</v>
      </c>
      <c r="S66" s="3">
        <v>0.23575352132320401</v>
      </c>
      <c r="T66" s="3">
        <v>0.26013398170471203</v>
      </c>
      <c r="U66" s="3">
        <v>0.26943838596344</v>
      </c>
      <c r="W66" t="s">
        <v>50</v>
      </c>
      <c r="X66" t="s">
        <v>54</v>
      </c>
      <c r="Y66" t="s">
        <v>52</v>
      </c>
      <c r="Z66" t="s">
        <v>53</v>
      </c>
      <c r="AA66" t="s">
        <v>53</v>
      </c>
      <c r="AC66" s="2">
        <v>0.45491400557155198</v>
      </c>
      <c r="AD66" s="2">
        <v>0.60786509513855003</v>
      </c>
      <c r="AE66" s="2">
        <v>0.136828944087029</v>
      </c>
      <c r="AF66" s="2">
        <v>0.17649659514427199</v>
      </c>
      <c r="AG66" s="2">
        <v>0.22866998612880701</v>
      </c>
      <c r="AH66" s="2">
        <v>-0.136217325925827</v>
      </c>
      <c r="AI66" s="2">
        <v>-1.3643228448927401E-2</v>
      </c>
      <c r="AJ66" s="2">
        <v>0.25490052934958501</v>
      </c>
      <c r="AK66" s="2">
        <v>0.39989317252567003</v>
      </c>
      <c r="AL66" s="2">
        <v>0.169810083193875</v>
      </c>
      <c r="AM66" s="2">
        <v>0.48026308417320301</v>
      </c>
      <c r="AN66" s="2">
        <v>0.560430407524109</v>
      </c>
      <c r="AO66" s="2">
        <v>0.26247951388359098</v>
      </c>
      <c r="AP66" s="2">
        <v>0.645469009876251</v>
      </c>
    </row>
    <row r="67" spans="1:42" x14ac:dyDescent="0.3">
      <c r="A67" t="s">
        <v>75</v>
      </c>
      <c r="B67" s="3">
        <v>2020</v>
      </c>
      <c r="C67" s="3">
        <v>10.18173</v>
      </c>
      <c r="D67" s="3">
        <v>1740.47</v>
      </c>
      <c r="E67" t="s">
        <v>76</v>
      </c>
      <c r="G67" s="3">
        <v>135003.921875</v>
      </c>
      <c r="H67" s="3">
        <v>162646.265625</v>
      </c>
      <c r="I67" s="3">
        <v>161402.25</v>
      </c>
      <c r="J67" s="3">
        <v>172398.4375</v>
      </c>
      <c r="K67" s="3">
        <v>429795.40625</v>
      </c>
      <c r="L67" s="3">
        <v>6.5931254066526898E-3</v>
      </c>
      <c r="M67" s="3"/>
      <c r="N67" s="3"/>
      <c r="O67" s="3">
        <v>138940.65625</v>
      </c>
      <c r="P67" s="3">
        <v>169746.4375</v>
      </c>
      <c r="Q67" s="3"/>
      <c r="R67" s="3">
        <v>0.392302095890045</v>
      </c>
      <c r="S67" s="3">
        <v>0.243832558393478</v>
      </c>
      <c r="T67" s="3">
        <v>0.26451301574706998</v>
      </c>
      <c r="U67" s="3">
        <v>0.24764145910739899</v>
      </c>
      <c r="W67" t="s">
        <v>50</v>
      </c>
      <c r="X67" t="s">
        <v>54</v>
      </c>
      <c r="Y67" t="s">
        <v>52</v>
      </c>
      <c r="Z67" t="s">
        <v>53</v>
      </c>
      <c r="AA67" t="s">
        <v>53</v>
      </c>
      <c r="AC67" s="2">
        <v>0.45216719277491801</v>
      </c>
      <c r="AD67" s="2">
        <v>0.59453701972961404</v>
      </c>
      <c r="AE67" s="2">
        <v>0.16033990681171401</v>
      </c>
      <c r="AF67" s="2">
        <v>0.18855549395084401</v>
      </c>
      <c r="AG67" s="2">
        <v>0.19523867964744601</v>
      </c>
      <c r="AH67" s="2">
        <v>-0.115398481488228</v>
      </c>
      <c r="AI67" s="2">
        <v>-2.32725795358419E-2</v>
      </c>
      <c r="AJ67" s="2">
        <v>0.25360680290080201</v>
      </c>
      <c r="AK67" s="2">
        <v>0.36551544682225701</v>
      </c>
      <c r="AL67" s="2">
        <v>0.21301327228817499</v>
      </c>
      <c r="AM67" s="2">
        <v>0.37547332048416099</v>
      </c>
      <c r="AN67" s="2">
        <v>0.601848244667053</v>
      </c>
      <c r="AO67" s="2">
        <v>0.23181672394275701</v>
      </c>
      <c r="AP67" s="2">
        <v>0.467280924320221</v>
      </c>
    </row>
    <row r="68" spans="1:42" x14ac:dyDescent="0.3">
      <c r="A68" t="s">
        <v>77</v>
      </c>
      <c r="B68" s="3">
        <v>2015</v>
      </c>
      <c r="C68" s="3">
        <v>11.04758</v>
      </c>
      <c r="D68" s="3"/>
      <c r="E68" t="s">
        <v>78</v>
      </c>
      <c r="G68" s="3">
        <v>10010.3779296875</v>
      </c>
      <c r="H68" s="3">
        <v>10782.3876953125</v>
      </c>
      <c r="I68" s="3">
        <v>8798.3056640625</v>
      </c>
      <c r="J68" s="3">
        <v>9567.3466796875</v>
      </c>
      <c r="K68" s="3">
        <v>15089.345703125</v>
      </c>
      <c r="L68" s="3">
        <v>2.8396409470588001E-4</v>
      </c>
      <c r="M68" s="3">
        <v>0.21397925913333901</v>
      </c>
      <c r="N68" s="3">
        <v>0.23265248537063599</v>
      </c>
      <c r="O68" s="3">
        <v>10695.0546875</v>
      </c>
      <c r="P68" s="3">
        <v>11755.412109375</v>
      </c>
      <c r="Q68" s="3">
        <v>1.0152904987335201</v>
      </c>
      <c r="R68" s="3">
        <v>0.60621750354766901</v>
      </c>
      <c r="S68" s="3">
        <v>0.30595922470092801</v>
      </c>
      <c r="T68" s="3">
        <v>0.31944012641906699</v>
      </c>
      <c r="U68" s="3">
        <v>0.29376292228698703</v>
      </c>
      <c r="W68" t="s">
        <v>50</v>
      </c>
      <c r="X68" t="s">
        <v>51</v>
      </c>
      <c r="Y68" t="s">
        <v>52</v>
      </c>
      <c r="Z68" t="s">
        <v>53</v>
      </c>
      <c r="AA68" t="s">
        <v>79</v>
      </c>
      <c r="AC68" s="2">
        <v>0.316013550003307</v>
      </c>
      <c r="AD68" s="2">
        <v>0.84453600645065297</v>
      </c>
      <c r="AE68" s="2">
        <v>8.0692119896411896E-2</v>
      </c>
      <c r="AF68" s="2">
        <v>0.20177058875560799</v>
      </c>
      <c r="AG68" s="2">
        <v>3.2547026872634902E-2</v>
      </c>
      <c r="AH68" s="2">
        <v>-0.15954479575157199</v>
      </c>
      <c r="AI68" s="2">
        <v>-9.0541368535923496E-7</v>
      </c>
      <c r="AJ68" s="2">
        <v>0.31492582753502502</v>
      </c>
      <c r="AK68" s="2">
        <v>0.49424219529857899</v>
      </c>
      <c r="AL68" s="2">
        <v>0.26842839152326398</v>
      </c>
      <c r="AM68" s="2">
        <v>0.56882178783416804</v>
      </c>
      <c r="AN68" s="2">
        <v>0.53125441074371305</v>
      </c>
      <c r="AO68" s="2">
        <v>0.31363582611084001</v>
      </c>
      <c r="AP68" s="2">
        <v>0.52071899175643899</v>
      </c>
    </row>
    <row r="69" spans="1:42" x14ac:dyDescent="0.3">
      <c r="A69" t="s">
        <v>77</v>
      </c>
      <c r="B69" s="3">
        <v>2016</v>
      </c>
      <c r="C69" s="3">
        <v>11.239451000000001</v>
      </c>
      <c r="D69" s="3"/>
      <c r="E69" t="s">
        <v>78</v>
      </c>
      <c r="G69" s="3">
        <v>10212.6806640625</v>
      </c>
      <c r="H69" s="3">
        <v>11088.021484375</v>
      </c>
      <c r="I69" s="3">
        <v>9353.169921875</v>
      </c>
      <c r="J69" s="3">
        <v>10087.3486328125</v>
      </c>
      <c r="K69" s="3">
        <v>17413.9375</v>
      </c>
      <c r="L69" s="3">
        <v>3.0125060584396102E-4</v>
      </c>
      <c r="M69" s="3">
        <v>0.21565654873848</v>
      </c>
      <c r="N69" s="3">
        <v>0.22918260097503701</v>
      </c>
      <c r="O69" s="3">
        <v>10711.662109375</v>
      </c>
      <c r="P69" s="3">
        <v>11898.0390625</v>
      </c>
      <c r="Q69" s="3">
        <v>1.0224294662475599</v>
      </c>
      <c r="R69" s="3">
        <v>0.60621750354766901</v>
      </c>
      <c r="S69" s="3">
        <v>0.298355102539063</v>
      </c>
      <c r="T69" s="3">
        <v>0.31327205896377602</v>
      </c>
      <c r="U69" s="3">
        <v>0.29047146439552302</v>
      </c>
      <c r="W69" t="s">
        <v>50</v>
      </c>
      <c r="X69" t="s">
        <v>51</v>
      </c>
      <c r="Y69" t="s">
        <v>52</v>
      </c>
      <c r="Z69" t="s">
        <v>53</v>
      </c>
      <c r="AA69" t="s">
        <v>53</v>
      </c>
      <c r="AC69" s="2">
        <v>0.32457425678405599</v>
      </c>
      <c r="AD69" s="2">
        <v>0.80961042642593395</v>
      </c>
      <c r="AE69" s="2">
        <v>8.6776100099086803E-2</v>
      </c>
      <c r="AF69" s="2">
        <v>0.20281420648098</v>
      </c>
      <c r="AG69" s="2">
        <v>3.4829568117857E-2</v>
      </c>
      <c r="AH69" s="2">
        <v>-0.13402993977069899</v>
      </c>
      <c r="AI69" s="2">
        <v>-4.1252425830862199E-7</v>
      </c>
      <c r="AJ69" s="2">
        <v>0.30776155101497499</v>
      </c>
      <c r="AK69" s="2">
        <v>0.48730973360721802</v>
      </c>
      <c r="AL69" s="2">
        <v>0.26080560194746</v>
      </c>
      <c r="AM69" s="2">
        <v>0.55977362394332897</v>
      </c>
      <c r="AN69" s="2">
        <v>0.54744464159011796</v>
      </c>
      <c r="AO69" s="2">
        <v>0.30256137251853898</v>
      </c>
      <c r="AP69" s="2">
        <v>0.495760887861252</v>
      </c>
    </row>
    <row r="70" spans="1:42" x14ac:dyDescent="0.3">
      <c r="A70" t="s">
        <v>77</v>
      </c>
      <c r="B70" s="3">
        <v>2017</v>
      </c>
      <c r="C70" s="3">
        <v>11.506762</v>
      </c>
      <c r="D70" s="3"/>
      <c r="E70" t="s">
        <v>78</v>
      </c>
      <c r="G70" s="3">
        <v>10710.7626953125</v>
      </c>
      <c r="H70" s="3">
        <v>11693.1884765625</v>
      </c>
      <c r="I70" s="3">
        <v>9857.041015625</v>
      </c>
      <c r="J70" s="3">
        <v>10382.8779296875</v>
      </c>
      <c r="K70" s="3">
        <v>19482.380859375</v>
      </c>
      <c r="L70" s="3">
        <v>3.1433551339432603E-4</v>
      </c>
      <c r="M70" s="3">
        <v>0.21207369863987</v>
      </c>
      <c r="N70" s="3">
        <v>0.23000445961952201</v>
      </c>
      <c r="O70" s="3">
        <v>11250.6083984375</v>
      </c>
      <c r="P70" s="3">
        <v>12491.1455078125</v>
      </c>
      <c r="Q70" s="3">
        <v>1.02747702598572</v>
      </c>
      <c r="R70" s="3">
        <v>0.60621750354766901</v>
      </c>
      <c r="S70" s="3">
        <v>0.31977388262748702</v>
      </c>
      <c r="T70" s="3">
        <v>0.334565609693527</v>
      </c>
      <c r="U70" s="3">
        <v>0.31762164831161499</v>
      </c>
      <c r="W70" t="s">
        <v>51</v>
      </c>
      <c r="X70" t="s">
        <v>51</v>
      </c>
      <c r="Y70" t="s">
        <v>52</v>
      </c>
      <c r="Z70" t="s">
        <v>53</v>
      </c>
      <c r="AA70" t="s">
        <v>53</v>
      </c>
      <c r="AC70" s="2">
        <v>0.32634970391770302</v>
      </c>
      <c r="AD70" s="2">
        <v>0.82225823402404796</v>
      </c>
      <c r="AE70" s="2">
        <v>9.4619780778884902E-2</v>
      </c>
      <c r="AF70" s="2">
        <v>0.20932112634182001</v>
      </c>
      <c r="AG70" s="2">
        <v>4.6801894903182997E-2</v>
      </c>
      <c r="AH70" s="2">
        <v>-0.17300102114677399</v>
      </c>
      <c r="AI70" s="2">
        <v>0</v>
      </c>
      <c r="AJ70" s="2">
        <v>0.33094899155090801</v>
      </c>
      <c r="AK70" s="2">
        <v>0.495830276028982</v>
      </c>
      <c r="AL70" s="2">
        <v>0.27587572448652897</v>
      </c>
      <c r="AM70" s="2">
        <v>0.55787324905395497</v>
      </c>
      <c r="AN70" s="2">
        <v>0.49291837215423601</v>
      </c>
      <c r="AO70" s="2">
        <v>0.30655533075332603</v>
      </c>
      <c r="AP70" s="2">
        <v>0.515447318553925</v>
      </c>
    </row>
    <row r="71" spans="1:42" x14ac:dyDescent="0.3">
      <c r="A71" t="s">
        <v>77</v>
      </c>
      <c r="B71" s="3">
        <v>2018</v>
      </c>
      <c r="C71" s="3">
        <v>11.859446</v>
      </c>
      <c r="D71" s="3"/>
      <c r="E71" t="s">
        <v>78</v>
      </c>
      <c r="G71" s="3">
        <v>11146.1240234375</v>
      </c>
      <c r="H71" s="3">
        <v>12193.775390625</v>
      </c>
      <c r="I71" s="3">
        <v>10319.638671875</v>
      </c>
      <c r="J71" s="3">
        <v>10830.439453125</v>
      </c>
      <c r="K71" s="3">
        <v>21347.556640625</v>
      </c>
      <c r="L71" s="3">
        <v>3.2339381868951001E-4</v>
      </c>
      <c r="M71" s="3">
        <v>0.20940417051315299</v>
      </c>
      <c r="N71" s="3">
        <v>0.22694639861583699</v>
      </c>
      <c r="O71" s="3">
        <v>11805.1162109375</v>
      </c>
      <c r="P71" s="3">
        <v>13112.068359375</v>
      </c>
      <c r="Q71" s="3">
        <v>1.0277855396270801</v>
      </c>
      <c r="R71" s="3">
        <v>0.60621750354766901</v>
      </c>
      <c r="S71" s="3">
        <v>0.30758151412010198</v>
      </c>
      <c r="T71" s="3">
        <v>0.321456909179688</v>
      </c>
      <c r="U71" s="3">
        <v>0.30629596114158603</v>
      </c>
      <c r="W71" t="s">
        <v>50</v>
      </c>
      <c r="X71" t="s">
        <v>51</v>
      </c>
      <c r="Y71" t="s">
        <v>52</v>
      </c>
      <c r="Z71" t="s">
        <v>53</v>
      </c>
      <c r="AA71" t="s">
        <v>53</v>
      </c>
      <c r="AC71" s="2">
        <v>0.32339145571352002</v>
      </c>
      <c r="AD71" s="2">
        <v>0.80607837438583396</v>
      </c>
      <c r="AE71" s="2">
        <v>9.6732094883918804E-2</v>
      </c>
      <c r="AF71" s="2">
        <v>0.22306951880455</v>
      </c>
      <c r="AG71" s="2">
        <v>4.8424202948808698E-2</v>
      </c>
      <c r="AH71" s="2">
        <v>-0.17430417239665999</v>
      </c>
      <c r="AI71" s="2">
        <v>0</v>
      </c>
      <c r="AJ71" s="2">
        <v>0.32116036415472199</v>
      </c>
      <c r="AK71" s="2">
        <v>0.46907943511057498</v>
      </c>
      <c r="AL71" s="2">
        <v>0.25851334286263</v>
      </c>
      <c r="AM71" s="2">
        <v>0.57740879058837902</v>
      </c>
      <c r="AN71" s="2">
        <v>0.47954410314559898</v>
      </c>
      <c r="AO71" s="2">
        <v>0.286055117845535</v>
      </c>
      <c r="AP71" s="2">
        <v>0.47761470079422003</v>
      </c>
    </row>
    <row r="72" spans="1:42" x14ac:dyDescent="0.3">
      <c r="A72" t="s">
        <v>77</v>
      </c>
      <c r="B72" s="3">
        <v>2019</v>
      </c>
      <c r="C72" s="3">
        <v>12.255336</v>
      </c>
      <c r="D72" s="3"/>
      <c r="E72" t="s">
        <v>78</v>
      </c>
      <c r="G72" s="3">
        <v>12551.3203125</v>
      </c>
      <c r="H72" s="3">
        <v>13612.0576171875</v>
      </c>
      <c r="I72" s="3">
        <v>11224.38671875</v>
      </c>
      <c r="J72" s="3">
        <v>12256.3935546875</v>
      </c>
      <c r="K72" s="3">
        <v>22611.150390625</v>
      </c>
      <c r="L72" s="3">
        <v>3.1633579055778698E-4</v>
      </c>
      <c r="M72" s="3">
        <v>0.22857892513275099</v>
      </c>
      <c r="N72" s="3">
        <v>0.24428543448448201</v>
      </c>
      <c r="O72" s="3">
        <v>12286.462890625</v>
      </c>
      <c r="P72" s="3">
        <v>13582.7998046875</v>
      </c>
      <c r="Q72" s="3">
        <v>1.0294398069381701</v>
      </c>
      <c r="R72" s="3">
        <v>0.60621750354766901</v>
      </c>
      <c r="S72" s="3">
        <v>0.28855782747268699</v>
      </c>
      <c r="T72" s="3">
        <v>0.30010849237442</v>
      </c>
      <c r="U72" s="3">
        <v>0.27483886480331399</v>
      </c>
      <c r="W72" t="s">
        <v>50</v>
      </c>
      <c r="X72" t="s">
        <v>54</v>
      </c>
      <c r="Y72" t="s">
        <v>52</v>
      </c>
      <c r="Z72" t="s">
        <v>53</v>
      </c>
      <c r="AA72" t="s">
        <v>53</v>
      </c>
      <c r="AC72" s="2">
        <v>0.32250127361188702</v>
      </c>
      <c r="AD72" s="2">
        <v>0.793601334095001</v>
      </c>
      <c r="AE72" s="2">
        <v>8.6545616388320895E-2</v>
      </c>
      <c r="AF72" s="2">
        <v>0.230461731553078</v>
      </c>
      <c r="AG72" s="2">
        <v>4.4574275612831102E-2</v>
      </c>
      <c r="AH72" s="2">
        <v>-0.15518298745155301</v>
      </c>
      <c r="AI72" s="2">
        <v>-1.3499862882573299E-16</v>
      </c>
      <c r="AJ72" s="2">
        <v>0.30197958807105801</v>
      </c>
      <c r="AK72" s="2">
        <v>0.43678342317991797</v>
      </c>
      <c r="AL72" s="2">
        <v>0.24233957638377901</v>
      </c>
      <c r="AM72" s="2">
        <v>0.54755502939224199</v>
      </c>
      <c r="AN72" s="2">
        <v>0.534021615982056</v>
      </c>
      <c r="AO72" s="2">
        <v>0.26223674416542098</v>
      </c>
      <c r="AP72" s="2">
        <v>0.47694173455238298</v>
      </c>
    </row>
    <row r="73" spans="1:42" x14ac:dyDescent="0.3">
      <c r="A73" t="s">
        <v>77</v>
      </c>
      <c r="B73" s="3">
        <v>2020</v>
      </c>
      <c r="C73" s="3">
        <v>12.617036000000001</v>
      </c>
      <c r="D73" s="3"/>
      <c r="E73" t="s">
        <v>78</v>
      </c>
      <c r="G73" s="3">
        <v>12770.296875</v>
      </c>
      <c r="H73" s="3">
        <v>13637.7646484375</v>
      </c>
      <c r="I73" s="3">
        <v>11461.8486328125</v>
      </c>
      <c r="J73" s="3">
        <v>12322.888671875</v>
      </c>
      <c r="K73" s="3">
        <v>23292.8984375</v>
      </c>
      <c r="L73" s="3">
        <v>2.9361798078753098E-4</v>
      </c>
      <c r="M73" s="3">
        <v>0.22875301539897899</v>
      </c>
      <c r="N73" s="3">
        <v>0.24286274611949901</v>
      </c>
      <c r="O73" s="3">
        <v>12765.63671875</v>
      </c>
      <c r="P73" s="3">
        <v>13791.1875</v>
      </c>
      <c r="Q73" s="3">
        <v>1.01162385940552</v>
      </c>
      <c r="R73" s="3">
        <v>0.60621750354766901</v>
      </c>
      <c r="S73" s="3">
        <v>0.29145830869674699</v>
      </c>
      <c r="T73" s="3">
        <v>0.30111819505691501</v>
      </c>
      <c r="U73" s="3">
        <v>0.28007814288139299</v>
      </c>
      <c r="W73" t="s">
        <v>50</v>
      </c>
      <c r="X73" t="s">
        <v>54</v>
      </c>
      <c r="Y73" t="s">
        <v>52</v>
      </c>
      <c r="Z73" t="s">
        <v>53</v>
      </c>
      <c r="AA73" t="s">
        <v>53</v>
      </c>
      <c r="AC73" s="2">
        <v>0.32034868582079601</v>
      </c>
      <c r="AD73" s="2">
        <v>0.77198404073715199</v>
      </c>
      <c r="AE73" s="2">
        <v>7.0394828915595994E-2</v>
      </c>
      <c r="AF73" s="2">
        <v>0.26432299613952598</v>
      </c>
      <c r="AG73" s="2">
        <v>3.7644330412149402E-2</v>
      </c>
      <c r="AH73" s="2">
        <v>-0.15731444954872101</v>
      </c>
      <c r="AI73" s="2">
        <v>1.29682049155235E-2</v>
      </c>
      <c r="AJ73" s="2">
        <v>0.30643335478072298</v>
      </c>
      <c r="AK73" s="2">
        <v>0.44332530337015402</v>
      </c>
      <c r="AL73" s="2">
        <v>0.247722031351086</v>
      </c>
      <c r="AM73" s="2">
        <v>0.58116316795349099</v>
      </c>
      <c r="AN73" s="2">
        <v>0.50014215707778897</v>
      </c>
      <c r="AO73" s="2">
        <v>0.258037328720093</v>
      </c>
      <c r="AP73" s="2">
        <v>0.54965531826019298</v>
      </c>
    </row>
    <row r="74" spans="1:42" x14ac:dyDescent="0.3">
      <c r="A74" t="s">
        <v>80</v>
      </c>
      <c r="B74" s="3">
        <v>2015</v>
      </c>
      <c r="C74" s="3">
        <v>11.275335</v>
      </c>
      <c r="D74" s="3">
        <v>1582.11</v>
      </c>
      <c r="E74" t="s">
        <v>74</v>
      </c>
      <c r="G74" s="3">
        <v>403264.53125</v>
      </c>
      <c r="H74" s="3">
        <v>579205.8125</v>
      </c>
      <c r="I74" s="3">
        <v>583211.25</v>
      </c>
      <c r="J74" s="3">
        <v>529083.6875</v>
      </c>
      <c r="K74" s="3">
        <v>3204522.25</v>
      </c>
      <c r="L74" s="3">
        <v>3.8318816572427798E-2</v>
      </c>
      <c r="M74" s="3">
        <v>0.91580140590667702</v>
      </c>
      <c r="N74" s="3">
        <v>0.96721261739730802</v>
      </c>
      <c r="O74" s="3">
        <v>441998.6875</v>
      </c>
      <c r="P74" s="3">
        <v>644251.6875</v>
      </c>
      <c r="Q74" s="3">
        <v>1.0154812335968</v>
      </c>
      <c r="R74" s="3">
        <v>0.61084556579589799</v>
      </c>
      <c r="S74" s="3">
        <v>0.86878901720046997</v>
      </c>
      <c r="T74" s="3">
        <v>0.79052788019180298</v>
      </c>
      <c r="U74" s="3">
        <v>0.87140232324600198</v>
      </c>
      <c r="W74" t="s">
        <v>50</v>
      </c>
      <c r="X74" t="s">
        <v>51</v>
      </c>
      <c r="Y74" t="s">
        <v>52</v>
      </c>
      <c r="Z74" t="s">
        <v>53</v>
      </c>
      <c r="AA74" t="s">
        <v>53</v>
      </c>
      <c r="AC74" s="2">
        <v>0.83329981567186395</v>
      </c>
      <c r="AD74" s="2">
        <v>0.56705528497695901</v>
      </c>
      <c r="AE74" s="2">
        <v>0.33253961801528897</v>
      </c>
      <c r="AF74" s="2">
        <v>0.19513890147209201</v>
      </c>
      <c r="AG74" s="2">
        <v>1.15108942985535</v>
      </c>
      <c r="AH74" s="2">
        <v>-1.2458232641220099</v>
      </c>
      <c r="AI74" s="2">
        <v>1.26251650451683E-16</v>
      </c>
      <c r="AJ74" s="2">
        <v>0.80396901706898505</v>
      </c>
      <c r="AK74" s="2">
        <v>0.61115019426068196</v>
      </c>
      <c r="AL74" s="2">
        <v>1.0571497523945601</v>
      </c>
      <c r="AM74" s="2">
        <v>0.58955317735671997</v>
      </c>
      <c r="AN74" s="2">
        <v>0.53991901874542203</v>
      </c>
      <c r="AO74" s="2">
        <v>0.50270986557006803</v>
      </c>
      <c r="AP74" s="2">
        <v>0.625568687915802</v>
      </c>
    </row>
    <row r="75" spans="1:42" x14ac:dyDescent="0.3">
      <c r="A75" t="s">
        <v>80</v>
      </c>
      <c r="B75" s="3">
        <v>2016</v>
      </c>
      <c r="C75" s="3">
        <v>11.332701</v>
      </c>
      <c r="D75" s="3">
        <v>1582.19</v>
      </c>
      <c r="E75" t="s">
        <v>74</v>
      </c>
      <c r="G75" s="3">
        <v>412927.15625</v>
      </c>
      <c r="H75" s="3">
        <v>603201.9375</v>
      </c>
      <c r="I75" s="3">
        <v>604281</v>
      </c>
      <c r="J75" s="3">
        <v>552054.5</v>
      </c>
      <c r="K75" s="3">
        <v>3319351</v>
      </c>
      <c r="L75" s="3">
        <v>3.9296302944421803E-2</v>
      </c>
      <c r="M75" s="3">
        <v>0.92613577842712402</v>
      </c>
      <c r="N75" s="3">
        <v>0.97835659980773904</v>
      </c>
      <c r="O75" s="3">
        <v>446753.78125</v>
      </c>
      <c r="P75" s="3">
        <v>659827.4375</v>
      </c>
      <c r="Q75" s="3">
        <v>1.00793397426605</v>
      </c>
      <c r="R75" s="3">
        <v>0.60611313581466697</v>
      </c>
      <c r="S75" s="3">
        <v>0.86876904964446999</v>
      </c>
      <c r="T75" s="3">
        <v>0.78485268354415905</v>
      </c>
      <c r="U75" s="3">
        <v>0.85910266637802102</v>
      </c>
      <c r="W75" t="s">
        <v>50</v>
      </c>
      <c r="X75" t="s">
        <v>51</v>
      </c>
      <c r="Y75" t="s">
        <v>52</v>
      </c>
      <c r="Z75" t="s">
        <v>53</v>
      </c>
      <c r="AA75" t="s">
        <v>53</v>
      </c>
      <c r="AC75" s="2">
        <v>0.83322384411980899</v>
      </c>
      <c r="AD75" s="2">
        <v>0.55535185337066695</v>
      </c>
      <c r="AE75" s="2">
        <v>0.34466668963432301</v>
      </c>
      <c r="AF75" s="2">
        <v>0.19263075292110399</v>
      </c>
      <c r="AG75" s="2">
        <v>1.1738694906234699</v>
      </c>
      <c r="AH75" s="2">
        <v>-1.26651871204376</v>
      </c>
      <c r="AI75" s="2">
        <v>-2.4546136014746798E-16</v>
      </c>
      <c r="AJ75" s="2">
        <v>0.80938136930231697</v>
      </c>
      <c r="AK75" s="2">
        <v>0.60274058399422603</v>
      </c>
      <c r="AL75" s="2">
        <v>1.03998287668011</v>
      </c>
      <c r="AM75" s="2">
        <v>0.58268970251083396</v>
      </c>
      <c r="AN75" s="2">
        <v>0.53885310888290405</v>
      </c>
      <c r="AO75" s="2">
        <v>0.49756383895874001</v>
      </c>
      <c r="AP75" s="2">
        <v>0.61533296108245905</v>
      </c>
    </row>
    <row r="76" spans="1:42" x14ac:dyDescent="0.3">
      <c r="A76" t="s">
        <v>80</v>
      </c>
      <c r="B76" s="3">
        <v>2017</v>
      </c>
      <c r="C76" s="3">
        <v>11.376581</v>
      </c>
      <c r="D76" s="3">
        <v>1584.38</v>
      </c>
      <c r="E76" t="s">
        <v>74</v>
      </c>
      <c r="G76" s="3">
        <v>421613.59375</v>
      </c>
      <c r="H76" s="3">
        <v>619812.9375</v>
      </c>
      <c r="I76" s="3">
        <v>619718.3125</v>
      </c>
      <c r="J76" s="3">
        <v>559569.625</v>
      </c>
      <c r="K76" s="3">
        <v>3406328.75</v>
      </c>
      <c r="L76" s="3">
        <v>4.0575064718723297E-2</v>
      </c>
      <c r="M76" s="3">
        <v>0.89922726154327404</v>
      </c>
      <c r="N76" s="3">
        <v>0.95920181274414096</v>
      </c>
      <c r="O76" s="3">
        <v>453164.84375</v>
      </c>
      <c r="P76" s="3">
        <v>668702.8125</v>
      </c>
      <c r="Q76" s="3">
        <v>1.0015641450882</v>
      </c>
      <c r="R76" s="3">
        <v>0.60508817434310902</v>
      </c>
      <c r="S76" s="3">
        <v>0.89917629957199097</v>
      </c>
      <c r="T76" s="3">
        <v>0.80828458070755005</v>
      </c>
      <c r="U76" s="3">
        <v>0.89516794681549094</v>
      </c>
      <c r="W76" t="s">
        <v>51</v>
      </c>
      <c r="X76" t="s">
        <v>51</v>
      </c>
      <c r="Y76" t="s">
        <v>52</v>
      </c>
      <c r="Z76" t="s">
        <v>53</v>
      </c>
      <c r="AA76" t="s">
        <v>53</v>
      </c>
      <c r="AC76" s="2">
        <v>0.83020441937853895</v>
      </c>
      <c r="AD76" s="2">
        <v>0.55773395299911499</v>
      </c>
      <c r="AE76" s="2">
        <v>0.354199588298798</v>
      </c>
      <c r="AF76" s="2">
        <v>0.195726528763771</v>
      </c>
      <c r="AG76" s="2">
        <v>1.25458908081055</v>
      </c>
      <c r="AH76" s="2">
        <v>-1.36224913597107</v>
      </c>
      <c r="AI76" s="2">
        <v>0</v>
      </c>
      <c r="AJ76" s="2">
        <v>0.84370833671983403</v>
      </c>
      <c r="AK76" s="2">
        <v>0.61493795113244598</v>
      </c>
      <c r="AL76" s="2">
        <v>1.0572354177366601</v>
      </c>
      <c r="AM76" s="2">
        <v>0.59538817405700695</v>
      </c>
      <c r="AN76" s="2">
        <v>0.54843431711196899</v>
      </c>
      <c r="AO76" s="2">
        <v>0.51863944530487105</v>
      </c>
      <c r="AP76" s="2">
        <v>0.608265221118927</v>
      </c>
    </row>
    <row r="77" spans="1:42" x14ac:dyDescent="0.3">
      <c r="A77" t="s">
        <v>80</v>
      </c>
      <c r="B77" s="3">
        <v>2018</v>
      </c>
      <c r="C77" s="3">
        <v>11.428604999999999</v>
      </c>
      <c r="D77" s="3">
        <v>1587.5</v>
      </c>
      <c r="E77" t="s">
        <v>74</v>
      </c>
      <c r="G77" s="3">
        <v>427993.03125</v>
      </c>
      <c r="H77" s="3">
        <v>646329.9375</v>
      </c>
      <c r="I77" s="3">
        <v>637962.5625</v>
      </c>
      <c r="J77" s="3">
        <v>564615.5625</v>
      </c>
      <c r="K77" s="3">
        <v>3568711.75</v>
      </c>
      <c r="L77" s="3">
        <v>4.1788984090089798E-2</v>
      </c>
      <c r="M77" s="3">
        <v>0.86972230672836304</v>
      </c>
      <c r="N77" s="3">
        <v>0.95835840702056896</v>
      </c>
      <c r="O77" s="3">
        <v>460201.28125</v>
      </c>
      <c r="P77" s="3">
        <v>685700.25</v>
      </c>
      <c r="Q77" s="3">
        <v>0.99875265359878496</v>
      </c>
      <c r="R77" s="3">
        <v>0.60248756408691395</v>
      </c>
      <c r="S77" s="3">
        <v>0.96053731441497803</v>
      </c>
      <c r="T77" s="3">
        <v>0.85058116912841797</v>
      </c>
      <c r="U77" s="3">
        <v>0.96107691526412997</v>
      </c>
      <c r="W77" t="s">
        <v>50</v>
      </c>
      <c r="X77" t="s">
        <v>51</v>
      </c>
      <c r="Y77" t="s">
        <v>52</v>
      </c>
      <c r="Z77" t="s">
        <v>53</v>
      </c>
      <c r="AA77" t="s">
        <v>53</v>
      </c>
      <c r="AC77" s="2">
        <v>0.83444567929497604</v>
      </c>
      <c r="AD77" s="2">
        <v>0.56117761135101296</v>
      </c>
      <c r="AE77" s="2">
        <v>0.38670012354850802</v>
      </c>
      <c r="AF77" s="2">
        <v>0.19684790074825301</v>
      </c>
      <c r="AG77" s="2">
        <v>1.30576300621033</v>
      </c>
      <c r="AH77" s="2">
        <v>-1.45048868656158</v>
      </c>
      <c r="AI77" s="2">
        <v>0</v>
      </c>
      <c r="AJ77" s="2">
        <v>0.90097263171886599</v>
      </c>
      <c r="AK77" s="2">
        <v>0.63504060725163003</v>
      </c>
      <c r="AL77" s="2">
        <v>1.1303453508247301</v>
      </c>
      <c r="AM77" s="2">
        <v>0.61445778608322099</v>
      </c>
      <c r="AN77" s="2">
        <v>0.56183928251266502</v>
      </c>
      <c r="AO77" s="2">
        <v>0.54161876440048196</v>
      </c>
      <c r="AP77" s="2">
        <v>0.61033123731613204</v>
      </c>
    </row>
    <row r="78" spans="1:42" x14ac:dyDescent="0.3">
      <c r="A78" t="s">
        <v>80</v>
      </c>
      <c r="B78" s="3">
        <v>2019</v>
      </c>
      <c r="C78" s="3">
        <v>11.490618</v>
      </c>
      <c r="D78" s="3">
        <v>1587.41</v>
      </c>
      <c r="E78" t="s">
        <v>74</v>
      </c>
      <c r="G78" s="3">
        <v>455578.4375</v>
      </c>
      <c r="H78" s="3">
        <v>674599.6875</v>
      </c>
      <c r="I78" s="3">
        <v>677781.0625</v>
      </c>
      <c r="J78" s="3">
        <v>605936.6875</v>
      </c>
      <c r="K78" s="3">
        <v>3690956.5</v>
      </c>
      <c r="L78" s="3">
        <v>4.2174432426691097E-2</v>
      </c>
      <c r="M78" s="3">
        <v>0.90010040998458896</v>
      </c>
      <c r="N78" s="3">
        <v>0.96429556608200095</v>
      </c>
      <c r="O78" s="3">
        <v>467681.59375</v>
      </c>
      <c r="P78" s="3">
        <v>694176.9375</v>
      </c>
      <c r="Q78" s="3">
        <v>1.00136947631836</v>
      </c>
      <c r="R78" s="3">
        <v>0.596357941627502</v>
      </c>
      <c r="S78" s="3">
        <v>0.88188147544860795</v>
      </c>
      <c r="T78" s="3">
        <v>0.79188746213912997</v>
      </c>
      <c r="U78" s="3">
        <v>0.88577950000762895</v>
      </c>
      <c r="W78" t="s">
        <v>50</v>
      </c>
      <c r="X78" t="s">
        <v>54</v>
      </c>
      <c r="Y78" t="s">
        <v>52</v>
      </c>
      <c r="Z78" t="s">
        <v>53</v>
      </c>
      <c r="AA78" t="s">
        <v>53</v>
      </c>
      <c r="AC78" s="2">
        <v>0.83135768556890399</v>
      </c>
      <c r="AD78" s="2">
        <v>0.55299663543701205</v>
      </c>
      <c r="AE78" s="2">
        <v>0.36145898699760398</v>
      </c>
      <c r="AF78" s="2">
        <v>0.198861554265022</v>
      </c>
      <c r="AG78" s="2">
        <v>1.2642294168472299</v>
      </c>
      <c r="AH78" s="2">
        <v>-1.37754654884338</v>
      </c>
      <c r="AI78" s="2">
        <v>2.16898866535572E-16</v>
      </c>
      <c r="AJ78" s="2">
        <v>0.83130338484695399</v>
      </c>
      <c r="AK78" s="2">
        <v>0.604694206608408</v>
      </c>
      <c r="AL78" s="2">
        <v>1.02252961199982</v>
      </c>
      <c r="AM78" s="2">
        <v>0.58130943775177002</v>
      </c>
      <c r="AN78" s="2">
        <v>0.53047269582748402</v>
      </c>
      <c r="AO78" s="2">
        <v>0.51977246999740601</v>
      </c>
      <c r="AP78" s="2">
        <v>0.58427381515502896</v>
      </c>
    </row>
    <row r="79" spans="1:42" x14ac:dyDescent="0.3">
      <c r="A79" t="s">
        <v>80</v>
      </c>
      <c r="B79" s="3">
        <v>2020</v>
      </c>
      <c r="C79" s="3">
        <v>11.540107000000001</v>
      </c>
      <c r="D79" s="3">
        <v>1458.99</v>
      </c>
      <c r="E79" t="s">
        <v>74</v>
      </c>
      <c r="G79" s="3">
        <v>442064.875</v>
      </c>
      <c r="H79" s="3">
        <v>648784.9375</v>
      </c>
      <c r="I79" s="3">
        <v>658288.1875</v>
      </c>
      <c r="J79" s="3">
        <v>598171.125</v>
      </c>
      <c r="K79" s="3">
        <v>3824909.25</v>
      </c>
      <c r="L79" s="3">
        <v>4.2159248143434497E-2</v>
      </c>
      <c r="M79" s="3">
        <v>0.90898591279983498</v>
      </c>
      <c r="N79" s="3">
        <v>0.94579273462295499</v>
      </c>
      <c r="O79" s="3">
        <v>444097.5</v>
      </c>
      <c r="P79" s="3">
        <v>656592.8125</v>
      </c>
      <c r="Q79" s="3">
        <v>0.99359107017517101</v>
      </c>
      <c r="R79" s="3">
        <v>0.592523753643036</v>
      </c>
      <c r="S79" s="3">
        <v>0.892533719539642</v>
      </c>
      <c r="T79" s="3">
        <v>0.80465441942214999</v>
      </c>
      <c r="U79" s="3">
        <v>0.88552331924438499</v>
      </c>
      <c r="W79" t="s">
        <v>50</v>
      </c>
      <c r="X79" t="s">
        <v>54</v>
      </c>
      <c r="Y79" t="s">
        <v>52</v>
      </c>
      <c r="Z79" t="s">
        <v>53</v>
      </c>
      <c r="AA79" t="s">
        <v>53</v>
      </c>
      <c r="AC79" s="2">
        <v>0.82978069751111505</v>
      </c>
      <c r="AD79" s="2">
        <v>0.53286224603652999</v>
      </c>
      <c r="AE79" s="2">
        <v>0.34558686614036599</v>
      </c>
      <c r="AF79" s="2">
        <v>0.20616520941257499</v>
      </c>
      <c r="AG79" s="2">
        <v>1.1965636014938399</v>
      </c>
      <c r="AH79" s="2">
        <v>-1.28117799758911</v>
      </c>
      <c r="AI79" s="2">
        <v>0</v>
      </c>
      <c r="AJ79" s="2">
        <v>0.83508155699429498</v>
      </c>
      <c r="AK79" s="2">
        <v>0.61672705518591098</v>
      </c>
      <c r="AL79" s="2">
        <v>1.0410268153567599</v>
      </c>
      <c r="AM79" s="2">
        <v>0.58610069751739502</v>
      </c>
      <c r="AN79" s="2">
        <v>0.53741413354873702</v>
      </c>
      <c r="AO79" s="2">
        <v>0.52691006660461404</v>
      </c>
      <c r="AP79" s="2">
        <v>0.60793876647949197</v>
      </c>
    </row>
    <row r="80" spans="1:42" x14ac:dyDescent="0.3">
      <c r="A80" t="s">
        <v>81</v>
      </c>
      <c r="B80" s="3">
        <v>2015</v>
      </c>
      <c r="C80" s="3">
        <v>11.360681</v>
      </c>
      <c r="D80" s="3"/>
      <c r="E80" t="s">
        <v>82</v>
      </c>
      <c r="G80" s="3">
        <v>30593.138671875</v>
      </c>
      <c r="H80" s="3">
        <v>35880.83203125</v>
      </c>
      <c r="I80" s="3">
        <v>33434.9296875</v>
      </c>
      <c r="J80" s="3">
        <v>35596.79296875</v>
      </c>
      <c r="K80" s="3">
        <v>72196.171875</v>
      </c>
      <c r="L80" s="3">
        <v>7.9098599962890202E-4</v>
      </c>
      <c r="M80" s="3">
        <v>0.49667152762413003</v>
      </c>
      <c r="N80" s="3">
        <v>0.48298484086990401</v>
      </c>
      <c r="O80" s="3">
        <v>29005.5625</v>
      </c>
      <c r="P80" s="3">
        <v>33348.23046875</v>
      </c>
      <c r="Q80" s="3">
        <v>1.0020002126693699</v>
      </c>
      <c r="R80" s="3">
        <v>0.61715501546859697</v>
      </c>
      <c r="S80" s="3">
        <v>0.32230341434478799</v>
      </c>
      <c r="T80" s="3">
        <v>0.340606689453125</v>
      </c>
      <c r="U80" s="3">
        <v>0.31992101669311501</v>
      </c>
      <c r="W80" t="s">
        <v>50</v>
      </c>
      <c r="X80" t="s">
        <v>51</v>
      </c>
      <c r="Y80" t="s">
        <v>52</v>
      </c>
      <c r="Z80" t="s">
        <v>53</v>
      </c>
      <c r="AA80" t="s">
        <v>53</v>
      </c>
      <c r="AC80" s="2">
        <v>0.45725725210270601</v>
      </c>
      <c r="AD80" s="2">
        <v>0.73433119058608998</v>
      </c>
      <c r="AE80" s="2">
        <v>0.14854410290718101</v>
      </c>
      <c r="AF80" s="2">
        <v>0.125104054808617</v>
      </c>
      <c r="AG80" s="2">
        <v>3.1575974076986299E-2</v>
      </c>
      <c r="AH80" s="2">
        <v>-0.128776669502258</v>
      </c>
      <c r="AI80" s="2">
        <v>8.9221328496932997E-2</v>
      </c>
      <c r="AJ80" s="2">
        <v>0.32749734870994002</v>
      </c>
      <c r="AK80" s="2">
        <v>0.44650435787217402</v>
      </c>
      <c r="AL80" s="2">
        <v>0.29181628310167101</v>
      </c>
      <c r="AM80" s="2">
        <v>0.55656224489212003</v>
      </c>
      <c r="AN80" s="2">
        <v>0.53985947370529197</v>
      </c>
      <c r="AO80" s="2">
        <v>0.275002181529999</v>
      </c>
      <c r="AP80" s="2">
        <v>0.73642706871032704</v>
      </c>
    </row>
    <row r="81" spans="1:42" x14ac:dyDescent="0.3">
      <c r="A81" t="s">
        <v>81</v>
      </c>
      <c r="B81" s="3">
        <v>2016</v>
      </c>
      <c r="C81" s="3">
        <v>11.697842</v>
      </c>
      <c r="D81" s="3"/>
      <c r="E81" t="s">
        <v>82</v>
      </c>
      <c r="G81" s="3">
        <v>31220.716796875</v>
      </c>
      <c r="H81" s="3">
        <v>36572.44921875</v>
      </c>
      <c r="I81" s="3">
        <v>35242.6171875</v>
      </c>
      <c r="J81" s="3">
        <v>37942.28515625</v>
      </c>
      <c r="K81" s="3">
        <v>77715.671875</v>
      </c>
      <c r="L81" s="3">
        <v>8.2905637100338903E-4</v>
      </c>
      <c r="M81" s="3">
        <v>0.50546222925186202</v>
      </c>
      <c r="N81" s="3">
        <v>0.47104373574256903</v>
      </c>
      <c r="O81" s="3">
        <v>29252.703125</v>
      </c>
      <c r="P81" s="3">
        <v>33678.66796875</v>
      </c>
      <c r="Q81" s="3">
        <v>0.99138212203979503</v>
      </c>
      <c r="R81" s="3">
        <v>0.61715501546859697</v>
      </c>
      <c r="S81" s="3">
        <v>0.31616011261940002</v>
      </c>
      <c r="T81" s="3">
        <v>0.33541962504386902</v>
      </c>
      <c r="U81" s="3">
        <v>0.311553865671158</v>
      </c>
      <c r="W81" t="s">
        <v>50</v>
      </c>
      <c r="X81" t="s">
        <v>51</v>
      </c>
      <c r="Y81" t="s">
        <v>52</v>
      </c>
      <c r="Z81" t="s">
        <v>53</v>
      </c>
      <c r="AA81" t="s">
        <v>53</v>
      </c>
      <c r="AC81" s="2">
        <v>0.43206008456919798</v>
      </c>
      <c r="AD81" s="2">
        <v>0.70800340175628695</v>
      </c>
      <c r="AE81" s="2">
        <v>0.14104923605918901</v>
      </c>
      <c r="AF81" s="2">
        <v>0.114844173192978</v>
      </c>
      <c r="AG81" s="2">
        <v>1.95340067148209E-2</v>
      </c>
      <c r="AH81" s="2">
        <v>-0.13353194296359999</v>
      </c>
      <c r="AI81" s="2">
        <v>0.15010112524032601</v>
      </c>
      <c r="AJ81" s="2">
        <v>0.322203667670104</v>
      </c>
      <c r="AK81" s="2">
        <v>0.44777499976149499</v>
      </c>
      <c r="AL81" s="2">
        <v>0.27890216792230599</v>
      </c>
      <c r="AM81" s="2">
        <v>0.55284875631332397</v>
      </c>
      <c r="AN81" s="2">
        <v>0.51912641525268599</v>
      </c>
      <c r="AO81" s="2">
        <v>0.27184626460075401</v>
      </c>
      <c r="AP81" s="2">
        <v>0.70657593011856101</v>
      </c>
    </row>
    <row r="82" spans="1:42" x14ac:dyDescent="0.3">
      <c r="A82" t="s">
        <v>81</v>
      </c>
      <c r="B82" s="3">
        <v>2017</v>
      </c>
      <c r="C82" s="3">
        <v>12.03978</v>
      </c>
      <c r="D82" s="3"/>
      <c r="E82" t="s">
        <v>82</v>
      </c>
      <c r="G82" s="3">
        <v>31715.40625</v>
      </c>
      <c r="H82" s="3">
        <v>38294.94921875</v>
      </c>
      <c r="I82" s="3">
        <v>35767.80859375</v>
      </c>
      <c r="J82" s="3">
        <v>38005.6015625</v>
      </c>
      <c r="K82" s="3">
        <v>83505.109375</v>
      </c>
      <c r="L82" s="3">
        <v>8.7147258454933795E-4</v>
      </c>
      <c r="M82" s="3">
        <v>0.48136392235755898</v>
      </c>
      <c r="N82" s="3">
        <v>0.46709126234054599</v>
      </c>
      <c r="O82" s="3">
        <v>30401.228515625</v>
      </c>
      <c r="P82" s="3">
        <v>36364.57421875</v>
      </c>
      <c r="Q82" s="3">
        <v>0.99536716938018799</v>
      </c>
      <c r="R82" s="3">
        <v>0.61715501546859697</v>
      </c>
      <c r="S82" s="3">
        <v>0.33282592892646801</v>
      </c>
      <c r="T82" s="3">
        <v>0.35511416196823098</v>
      </c>
      <c r="U82" s="3">
        <v>0.334204852581024</v>
      </c>
      <c r="W82" t="s">
        <v>51</v>
      </c>
      <c r="X82" t="s">
        <v>51</v>
      </c>
      <c r="Y82" t="s">
        <v>52</v>
      </c>
      <c r="Z82" t="s">
        <v>53</v>
      </c>
      <c r="AA82" t="s">
        <v>53</v>
      </c>
      <c r="AC82" s="2">
        <v>0.40360780443055</v>
      </c>
      <c r="AD82" s="2">
        <v>0.71309256553649902</v>
      </c>
      <c r="AE82" s="2">
        <v>0.17312034964561501</v>
      </c>
      <c r="AF82" s="2">
        <v>0.121400393545628</v>
      </c>
      <c r="AG82" s="2">
        <v>3.3982835710048703E-2</v>
      </c>
      <c r="AH82" s="2">
        <v>-0.15468232333660101</v>
      </c>
      <c r="AI82" s="2">
        <v>0.11308616399764999</v>
      </c>
      <c r="AJ82" s="2">
        <v>0.34037602179137</v>
      </c>
      <c r="AK82" s="2">
        <v>0.46255043414888403</v>
      </c>
      <c r="AL82" s="2">
        <v>0.28847742253346897</v>
      </c>
      <c r="AM82" s="2">
        <v>0.56232535839080799</v>
      </c>
      <c r="AN82" s="2">
        <v>0.52052676677703902</v>
      </c>
      <c r="AO82" s="2">
        <v>0.28057628870010398</v>
      </c>
      <c r="AP82" s="2">
        <v>0.69618231058120705</v>
      </c>
    </row>
    <row r="83" spans="1:42" x14ac:dyDescent="0.3">
      <c r="A83" t="s">
        <v>81</v>
      </c>
      <c r="B83" s="3">
        <v>2018</v>
      </c>
      <c r="C83" s="3">
        <v>12.383347000000001</v>
      </c>
      <c r="D83" s="3"/>
      <c r="E83" t="s">
        <v>82</v>
      </c>
      <c r="G83" s="3">
        <v>32304.529296875</v>
      </c>
      <c r="H83" s="3">
        <v>39911.74609375</v>
      </c>
      <c r="I83" s="3">
        <v>37214.8828125</v>
      </c>
      <c r="J83" s="3">
        <v>39062.87890625</v>
      </c>
      <c r="K83" s="3">
        <v>92571.8515625</v>
      </c>
      <c r="L83" s="3">
        <v>9.3714892864227295E-4</v>
      </c>
      <c r="M83" s="3">
        <v>0.462201088666916</v>
      </c>
      <c r="N83" s="3">
        <v>0.454582929611206</v>
      </c>
      <c r="O83" s="3">
        <v>31561.107421875</v>
      </c>
      <c r="P83" s="3">
        <v>38742.02734375</v>
      </c>
      <c r="Q83" s="3">
        <v>0.99916160106658902</v>
      </c>
      <c r="R83" s="3">
        <v>0.61715501546859697</v>
      </c>
      <c r="S83" s="3">
        <v>0.35699683427810702</v>
      </c>
      <c r="T83" s="3">
        <v>0.38324472308158902</v>
      </c>
      <c r="U83" s="3">
        <v>0.36511412262916598</v>
      </c>
      <c r="W83" t="s">
        <v>50</v>
      </c>
      <c r="X83" t="s">
        <v>51</v>
      </c>
      <c r="Y83" t="s">
        <v>52</v>
      </c>
      <c r="Z83" t="s">
        <v>53</v>
      </c>
      <c r="AA83" t="s">
        <v>53</v>
      </c>
      <c r="AC83" s="2">
        <v>0.41005013290671999</v>
      </c>
      <c r="AD83" s="2">
        <v>0.70140475034713801</v>
      </c>
      <c r="AE83" s="2">
        <v>0.19474290311336501</v>
      </c>
      <c r="AF83" s="2">
        <v>0.125583186745644</v>
      </c>
      <c r="AG83" s="2">
        <v>4.2288672178983702E-2</v>
      </c>
      <c r="AH83" s="2">
        <v>-0.15462470054626501</v>
      </c>
      <c r="AI83" s="2">
        <v>9.0605162084102603E-2</v>
      </c>
      <c r="AJ83" s="2">
        <v>0.36672384736859298</v>
      </c>
      <c r="AK83" s="2">
        <v>0.49470805431809001</v>
      </c>
      <c r="AL83" s="2">
        <v>0.30266968886595302</v>
      </c>
      <c r="AM83" s="2">
        <v>0.576435446739197</v>
      </c>
      <c r="AN83" s="2">
        <v>0.54271250963211104</v>
      </c>
      <c r="AO83" s="2">
        <v>0.29632663726806602</v>
      </c>
      <c r="AP83" s="2">
        <v>0.68892651796340898</v>
      </c>
    </row>
    <row r="84" spans="1:42" x14ac:dyDescent="0.3">
      <c r="A84" t="s">
        <v>81</v>
      </c>
      <c r="B84" s="3">
        <v>2019</v>
      </c>
      <c r="C84" s="3">
        <v>12.726755000000001</v>
      </c>
      <c r="D84" s="3"/>
      <c r="E84" t="s">
        <v>82</v>
      </c>
      <c r="G84" s="3">
        <v>34097.01171875</v>
      </c>
      <c r="H84" s="3">
        <v>42011.2109375</v>
      </c>
      <c r="I84" s="3">
        <v>40232.80859375</v>
      </c>
      <c r="J84" s="3">
        <v>42041.625</v>
      </c>
      <c r="K84" s="3">
        <v>97367.375</v>
      </c>
      <c r="L84" s="3">
        <v>9.4476935919374195E-4</v>
      </c>
      <c r="M84" s="3">
        <v>0.47317993640899703</v>
      </c>
      <c r="N84" s="3">
        <v>0.45500102639198298</v>
      </c>
      <c r="O84" s="3">
        <v>32760.25</v>
      </c>
      <c r="P84" s="3">
        <v>40793.484375</v>
      </c>
      <c r="Q84" s="3">
        <v>1.00038886070251</v>
      </c>
      <c r="R84" s="3">
        <v>0.61715501546859697</v>
      </c>
      <c r="S84" s="3">
        <v>0.33253669738769498</v>
      </c>
      <c r="T84" s="3">
        <v>0.35768592357635498</v>
      </c>
      <c r="U84" s="3">
        <v>0.34229665994644198</v>
      </c>
      <c r="W84" t="s">
        <v>50</v>
      </c>
      <c r="X84" t="s">
        <v>54</v>
      </c>
      <c r="Y84" t="s">
        <v>52</v>
      </c>
      <c r="Z84" t="s">
        <v>53</v>
      </c>
      <c r="AA84" t="s">
        <v>53</v>
      </c>
      <c r="AC84" s="2">
        <v>0.42084732889347398</v>
      </c>
      <c r="AD84" s="2">
        <v>0.68731713294982899</v>
      </c>
      <c r="AE84" s="2">
        <v>0.18824672698974601</v>
      </c>
      <c r="AF84" s="2">
        <v>0.123712696135044</v>
      </c>
      <c r="AG84" s="2">
        <v>3.5106003284454297E-2</v>
      </c>
      <c r="AH84" s="2">
        <v>-0.13283590972423601</v>
      </c>
      <c r="AI84" s="2">
        <v>9.84533727169037E-2</v>
      </c>
      <c r="AJ84" s="2">
        <v>0.340885796497229</v>
      </c>
      <c r="AK84" s="2">
        <v>0.46603709836956803</v>
      </c>
      <c r="AL84" s="2">
        <v>0.28615123144295901</v>
      </c>
      <c r="AM84" s="2">
        <v>0.57703143358230602</v>
      </c>
      <c r="AN84" s="2">
        <v>0.52010023593902599</v>
      </c>
      <c r="AO84" s="2">
        <v>0.27468895912170399</v>
      </c>
      <c r="AP84" s="2">
        <v>0.66327822208404497</v>
      </c>
    </row>
    <row r="85" spans="1:42" x14ac:dyDescent="0.3">
      <c r="A85" t="s">
        <v>81</v>
      </c>
      <c r="B85" s="3">
        <v>2020</v>
      </c>
      <c r="C85" s="3">
        <v>13.070169</v>
      </c>
      <c r="D85" s="3"/>
      <c r="E85" t="s">
        <v>82</v>
      </c>
      <c r="G85" s="3">
        <v>35684.33203125</v>
      </c>
      <c r="H85" s="3">
        <v>43821.62109375</v>
      </c>
      <c r="I85" s="3">
        <v>41699.8125</v>
      </c>
      <c r="J85" s="3">
        <v>42979.58203125</v>
      </c>
      <c r="K85" s="3">
        <v>110010.6875</v>
      </c>
      <c r="L85" s="3">
        <v>9.9756987765431404E-4</v>
      </c>
      <c r="M85" s="3">
        <v>0.45381247997283902</v>
      </c>
      <c r="N85" s="3">
        <v>0.44388037919998202</v>
      </c>
      <c r="O85" s="3">
        <v>34300.49609375</v>
      </c>
      <c r="P85" s="3">
        <v>42424.921875</v>
      </c>
      <c r="Q85" s="3">
        <v>0.98827487230300903</v>
      </c>
      <c r="R85" s="3">
        <v>0.61715501546859697</v>
      </c>
      <c r="S85" s="3">
        <v>0.34927973151206998</v>
      </c>
      <c r="T85" s="3">
        <v>0.37618258595466603</v>
      </c>
      <c r="U85" s="3">
        <v>0.36498126387596103</v>
      </c>
      <c r="W85" t="s">
        <v>50</v>
      </c>
      <c r="X85" t="s">
        <v>54</v>
      </c>
      <c r="Y85" t="s">
        <v>52</v>
      </c>
      <c r="Z85" t="s">
        <v>53</v>
      </c>
      <c r="AA85" t="s">
        <v>53</v>
      </c>
      <c r="AC85" s="2">
        <v>0.42972023484963701</v>
      </c>
      <c r="AD85" s="2">
        <v>0.69173866510391202</v>
      </c>
      <c r="AE85" s="2">
        <v>0.18932913243770599</v>
      </c>
      <c r="AF85" s="2">
        <v>0.13852377235889399</v>
      </c>
      <c r="AG85" s="2">
        <v>2.5689415633678402E-2</v>
      </c>
      <c r="AH85" s="2">
        <v>-0.102662414312363</v>
      </c>
      <c r="AI85" s="2">
        <v>5.7381443679332698E-2</v>
      </c>
      <c r="AJ85" s="2">
        <v>0.35907825447928898</v>
      </c>
      <c r="AK85" s="2">
        <v>0.49415914514510401</v>
      </c>
      <c r="AL85" s="2">
        <v>0.30034943593073499</v>
      </c>
      <c r="AM85" s="2">
        <v>0.56390643119812001</v>
      </c>
      <c r="AN85" s="2">
        <v>0.52600449323654197</v>
      </c>
      <c r="AO85" s="2">
        <v>0.28247857093811002</v>
      </c>
      <c r="AP85" s="2">
        <v>0.71488684415817305</v>
      </c>
    </row>
    <row r="86" spans="1:42" x14ac:dyDescent="0.3">
      <c r="A86" t="s">
        <v>83</v>
      </c>
      <c r="B86" s="3">
        <v>2015</v>
      </c>
      <c r="C86" s="3">
        <v>18.777487000000001</v>
      </c>
      <c r="D86" s="3">
        <v>2346.23</v>
      </c>
      <c r="E86" t="s">
        <v>82</v>
      </c>
      <c r="G86" s="3">
        <v>32517.693359375</v>
      </c>
      <c r="H86" s="3">
        <v>37672.8046875</v>
      </c>
      <c r="I86" s="3">
        <v>35249.7734375</v>
      </c>
      <c r="J86" s="3">
        <v>35479.51171875</v>
      </c>
      <c r="K86" s="3">
        <v>70173.140625</v>
      </c>
      <c r="L86" s="3">
        <v>9.6494983881712003E-4</v>
      </c>
      <c r="M86" s="3">
        <v>0.40824881196022</v>
      </c>
      <c r="N86" s="3">
        <v>0.41820344328880299</v>
      </c>
      <c r="O86" s="3">
        <v>34620.2109375</v>
      </c>
      <c r="P86" s="3">
        <v>38373.73828125</v>
      </c>
      <c r="Q86" s="3">
        <v>1.0481504201889</v>
      </c>
      <c r="R86" s="3">
        <v>0.48116463422775302</v>
      </c>
      <c r="S86" s="3">
        <v>0.31826543807983398</v>
      </c>
      <c r="T86" s="3">
        <v>0.33566626906394997</v>
      </c>
      <c r="U86" s="3">
        <v>0.33349275588989302</v>
      </c>
      <c r="W86" t="s">
        <v>50</v>
      </c>
      <c r="X86" t="s">
        <v>51</v>
      </c>
      <c r="Y86" t="s">
        <v>52</v>
      </c>
      <c r="Z86" t="s">
        <v>53</v>
      </c>
      <c r="AA86" t="s">
        <v>53</v>
      </c>
      <c r="AC86" s="2">
        <v>0.45363638177339999</v>
      </c>
      <c r="AD86" s="2">
        <v>0.77617418766021695</v>
      </c>
      <c r="AE86" s="2">
        <v>0.145298272371292</v>
      </c>
      <c r="AF86" s="2">
        <v>0.140346124768257</v>
      </c>
      <c r="AG86" s="2">
        <v>0.107844278216362</v>
      </c>
      <c r="AH86" s="2">
        <v>-0.168729722499847</v>
      </c>
      <c r="AI86" s="2">
        <v>-9.3316077254712603E-4</v>
      </c>
      <c r="AJ86" s="2">
        <v>0.30730779784344697</v>
      </c>
      <c r="AK86" s="2">
        <v>0.44542808088161201</v>
      </c>
      <c r="AL86" s="2">
        <v>0.37886581889808302</v>
      </c>
      <c r="AM86" s="2">
        <v>0.56909239292144798</v>
      </c>
      <c r="AN86" s="2">
        <v>0.49775508046150202</v>
      </c>
      <c r="AO86" s="2">
        <v>0.27435877919197099</v>
      </c>
      <c r="AP86" s="2">
        <v>0.84998410940170299</v>
      </c>
    </row>
    <row r="87" spans="1:42" x14ac:dyDescent="0.3">
      <c r="A87" t="s">
        <v>83</v>
      </c>
      <c r="B87" s="3">
        <v>2016</v>
      </c>
      <c r="C87" s="3">
        <v>19.334855999999998</v>
      </c>
      <c r="D87" s="3">
        <v>2349.7600000000002</v>
      </c>
      <c r="E87" t="s">
        <v>82</v>
      </c>
      <c r="G87" s="3">
        <v>36128.2890625</v>
      </c>
      <c r="H87" s="3">
        <v>42198.8359375</v>
      </c>
      <c r="I87" s="3">
        <v>39787.23828125</v>
      </c>
      <c r="J87" s="3">
        <v>39903.42578125</v>
      </c>
      <c r="K87" s="3">
        <v>77807.671875</v>
      </c>
      <c r="L87" s="3">
        <v>1.0494751622900399E-3</v>
      </c>
      <c r="M87" s="3">
        <v>0.431644797325134</v>
      </c>
      <c r="N87" s="3">
        <v>0.44132521748542802</v>
      </c>
      <c r="O87" s="3">
        <v>36497.1640625</v>
      </c>
      <c r="P87" s="3">
        <v>41138.56640625</v>
      </c>
      <c r="Q87" s="3">
        <v>1.0419270992279099</v>
      </c>
      <c r="R87" s="3">
        <v>0.46370717883110002</v>
      </c>
      <c r="S87" s="3">
        <v>0.30287778377532998</v>
      </c>
      <c r="T87" s="3">
        <v>0.32254976034164401</v>
      </c>
      <c r="U87" s="3">
        <v>0.32161054015159601</v>
      </c>
      <c r="W87" t="s">
        <v>50</v>
      </c>
      <c r="X87" t="s">
        <v>51</v>
      </c>
      <c r="Y87" t="s">
        <v>52</v>
      </c>
      <c r="Z87" t="s">
        <v>53</v>
      </c>
      <c r="AA87" t="s">
        <v>53</v>
      </c>
      <c r="AC87" s="2">
        <v>0.44702312530566601</v>
      </c>
      <c r="AD87" s="2">
        <v>0.759945869445801</v>
      </c>
      <c r="AE87" s="2">
        <v>0.15213099122047399</v>
      </c>
      <c r="AF87" s="2">
        <v>0.14544734358787501</v>
      </c>
      <c r="AG87" s="2">
        <v>0.111502975225449</v>
      </c>
      <c r="AH87" s="2">
        <v>-0.172522202134132</v>
      </c>
      <c r="AI87" s="2">
        <v>3.4950620029121598E-3</v>
      </c>
      <c r="AJ87" s="2">
        <v>0.29098771972769799</v>
      </c>
      <c r="AK87" s="2">
        <v>0.43962558766557602</v>
      </c>
      <c r="AL87" s="2">
        <v>0.36500195950779202</v>
      </c>
      <c r="AM87" s="2">
        <v>0.56637758016586304</v>
      </c>
      <c r="AN87" s="2">
        <v>0.48556318879127502</v>
      </c>
      <c r="AO87" s="2">
        <v>0.26912775635719299</v>
      </c>
      <c r="AP87" s="2">
        <v>0.84885513782501198</v>
      </c>
    </row>
    <row r="88" spans="1:42" x14ac:dyDescent="0.3">
      <c r="A88" t="s">
        <v>83</v>
      </c>
      <c r="B88" s="3">
        <v>2017</v>
      </c>
      <c r="C88" s="3">
        <v>19.894407000000001</v>
      </c>
      <c r="D88" s="3">
        <v>2353.17</v>
      </c>
      <c r="E88" t="s">
        <v>82</v>
      </c>
      <c r="G88" s="3">
        <v>38746.3984375</v>
      </c>
      <c r="H88" s="3">
        <v>45942.89453125</v>
      </c>
      <c r="I88" s="3">
        <v>43194.0234375</v>
      </c>
      <c r="J88" s="3">
        <v>43089.7734375</v>
      </c>
      <c r="K88" s="3">
        <v>86872.171875</v>
      </c>
      <c r="L88" s="3">
        <v>1.1691306717693799E-3</v>
      </c>
      <c r="M88" s="3">
        <v>0.42629629373550398</v>
      </c>
      <c r="N88" s="3">
        <v>0.43771338462829601</v>
      </c>
      <c r="O88" s="3">
        <v>38485.8984375</v>
      </c>
      <c r="P88" s="3">
        <v>43944.7890625</v>
      </c>
      <c r="Q88" s="3">
        <v>1.0356248617172199</v>
      </c>
      <c r="R88" s="3">
        <v>0.460264682769775</v>
      </c>
      <c r="S88" s="3">
        <v>0.30693098902702298</v>
      </c>
      <c r="T88" s="3">
        <v>0.32659509778022799</v>
      </c>
      <c r="U88" s="3">
        <v>0.32738524675369302</v>
      </c>
      <c r="W88" t="s">
        <v>51</v>
      </c>
      <c r="X88" t="s">
        <v>51</v>
      </c>
      <c r="Y88" t="s">
        <v>52</v>
      </c>
      <c r="Z88" t="s">
        <v>53</v>
      </c>
      <c r="AA88" t="s">
        <v>53</v>
      </c>
      <c r="AC88" s="2">
        <v>0.42618047404743797</v>
      </c>
      <c r="AD88" s="2">
        <v>0.73884588479995705</v>
      </c>
      <c r="AE88" s="2">
        <v>0.167011693120003</v>
      </c>
      <c r="AF88" s="2">
        <v>0.160355880856514</v>
      </c>
      <c r="AG88" s="2">
        <v>0.10929475724697101</v>
      </c>
      <c r="AH88" s="2">
        <v>-0.177576929330826</v>
      </c>
      <c r="AI88" s="2">
        <v>2.0687347277998898E-3</v>
      </c>
      <c r="AJ88" s="2">
        <v>0.29494236058564799</v>
      </c>
      <c r="AK88" s="2">
        <v>0.43246789166407101</v>
      </c>
      <c r="AL88" s="2">
        <v>0.36216898555173999</v>
      </c>
      <c r="AM88" s="2">
        <v>0.59245574474334695</v>
      </c>
      <c r="AN88" s="2">
        <v>0.48578613996505698</v>
      </c>
      <c r="AO88" s="2">
        <v>0.26976454257965099</v>
      </c>
      <c r="AP88" s="2">
        <v>0.81253957748413097</v>
      </c>
    </row>
    <row r="89" spans="1:42" x14ac:dyDescent="0.3">
      <c r="A89" t="s">
        <v>83</v>
      </c>
      <c r="B89" s="3">
        <v>2018</v>
      </c>
      <c r="C89" s="3">
        <v>20.438288</v>
      </c>
      <c r="D89" s="3">
        <v>2356.75</v>
      </c>
      <c r="E89" t="s">
        <v>82</v>
      </c>
      <c r="G89" s="3">
        <v>38808.6015625</v>
      </c>
      <c r="H89" s="3">
        <v>46155.0234375</v>
      </c>
      <c r="I89" s="3">
        <v>44193.78515625</v>
      </c>
      <c r="J89" s="3">
        <v>44309.48046875</v>
      </c>
      <c r="K89" s="3">
        <v>87274.1171875</v>
      </c>
      <c r="L89" s="3">
        <v>1.17121753282845E-3</v>
      </c>
      <c r="M89" s="3">
        <v>0.41356250643730202</v>
      </c>
      <c r="N89" s="3">
        <v>0.41467639803886402</v>
      </c>
      <c r="O89" s="3">
        <v>39852.48828125</v>
      </c>
      <c r="P89" s="3">
        <v>46152.7109375</v>
      </c>
      <c r="Q89" s="3">
        <v>1.0336875915527299</v>
      </c>
      <c r="R89" s="3">
        <v>0.48017448186874401</v>
      </c>
      <c r="S89" s="3">
        <v>0.33860740065574602</v>
      </c>
      <c r="T89" s="3">
        <v>0.35955432057380698</v>
      </c>
      <c r="U89" s="3">
        <v>0.35861551761627197</v>
      </c>
      <c r="W89" t="s">
        <v>50</v>
      </c>
      <c r="X89" t="s">
        <v>51</v>
      </c>
      <c r="Y89" t="s">
        <v>52</v>
      </c>
      <c r="Z89" t="s">
        <v>53</v>
      </c>
      <c r="AA89" t="s">
        <v>53</v>
      </c>
      <c r="AC89" s="2">
        <v>0.42764900763883901</v>
      </c>
      <c r="AD89" s="2">
        <v>0.71208804845809903</v>
      </c>
      <c r="AE89" s="2">
        <v>0.16579800844192499</v>
      </c>
      <c r="AF89" s="2">
        <v>0.16376519203185999</v>
      </c>
      <c r="AG89" s="2">
        <v>0.125987023115158</v>
      </c>
      <c r="AH89" s="2">
        <v>-0.18698896467685699</v>
      </c>
      <c r="AI89" s="2">
        <v>1.9350729882717101E-2</v>
      </c>
      <c r="AJ89" s="2">
        <v>0.323717738036646</v>
      </c>
      <c r="AK89" s="2">
        <v>0.47020949452494798</v>
      </c>
      <c r="AL89" s="2">
        <v>0.4033510044891</v>
      </c>
      <c r="AM89" s="2">
        <v>0.58812946081161499</v>
      </c>
      <c r="AN89" s="2">
        <v>0.51848429441452004</v>
      </c>
      <c r="AO89" s="2">
        <v>0.289333045482636</v>
      </c>
      <c r="AP89" s="2">
        <v>0.83389514684677102</v>
      </c>
    </row>
    <row r="90" spans="1:42" x14ac:dyDescent="0.3">
      <c r="A90" t="s">
        <v>83</v>
      </c>
      <c r="B90" s="3">
        <v>2019</v>
      </c>
      <c r="C90" s="3">
        <v>20.961952</v>
      </c>
      <c r="D90" s="3">
        <v>2360.66</v>
      </c>
      <c r="E90" t="s">
        <v>82</v>
      </c>
      <c r="G90" s="3">
        <v>41724.24609375</v>
      </c>
      <c r="H90" s="3">
        <v>48997.68359375</v>
      </c>
      <c r="I90" s="3">
        <v>48087.24609375</v>
      </c>
      <c r="J90" s="3">
        <v>47548.3984375</v>
      </c>
      <c r="K90" s="3">
        <v>85137.9296875</v>
      </c>
      <c r="L90" s="3">
        <v>1.1084681609645501E-3</v>
      </c>
      <c r="M90" s="3">
        <v>0.43702504038810702</v>
      </c>
      <c r="N90" s="3">
        <v>0.43335765600204501</v>
      </c>
      <c r="O90" s="3">
        <v>42042.82421875</v>
      </c>
      <c r="P90" s="3">
        <v>49210.6875</v>
      </c>
      <c r="Q90" s="3">
        <v>1.00586020946503</v>
      </c>
      <c r="R90" s="3">
        <v>0.46245995163917503</v>
      </c>
      <c r="S90" s="3">
        <v>0.31561073660850503</v>
      </c>
      <c r="T90" s="3">
        <v>0.33341091871261602</v>
      </c>
      <c r="U90" s="3">
        <v>0.33718931674957298</v>
      </c>
      <c r="W90" t="s">
        <v>50</v>
      </c>
      <c r="X90" t="s">
        <v>54</v>
      </c>
      <c r="Y90" t="s">
        <v>52</v>
      </c>
      <c r="Z90" t="s">
        <v>53</v>
      </c>
      <c r="AA90" t="s">
        <v>53</v>
      </c>
      <c r="AC90" s="2">
        <v>0.43181951777395999</v>
      </c>
      <c r="AD90" s="2">
        <v>0.694175064563751</v>
      </c>
      <c r="AE90" s="2">
        <v>0.15296912193298301</v>
      </c>
      <c r="AF90" s="2">
        <v>0.18333601951599099</v>
      </c>
      <c r="AG90" s="2">
        <v>0.112028069794178</v>
      </c>
      <c r="AH90" s="2">
        <v>-0.185317903757095</v>
      </c>
      <c r="AI90" s="2">
        <v>4.2809575796127299E-2</v>
      </c>
      <c r="AJ90" s="2">
        <v>0.29938889819041598</v>
      </c>
      <c r="AK90" s="2">
        <v>0.43552205855418402</v>
      </c>
      <c r="AL90" s="2">
        <v>0.37703240847448899</v>
      </c>
      <c r="AM90" s="2">
        <v>0.61257570981979403</v>
      </c>
      <c r="AN90" s="2">
        <v>0.482655048370361</v>
      </c>
      <c r="AO90" s="2">
        <v>0.26428291201591497</v>
      </c>
      <c r="AP90" s="2">
        <v>0.88432854413986195</v>
      </c>
    </row>
    <row r="91" spans="1:42" x14ac:dyDescent="0.3">
      <c r="A91" t="s">
        <v>83</v>
      </c>
      <c r="B91" s="3">
        <v>2020</v>
      </c>
      <c r="C91" s="3">
        <v>21.47869</v>
      </c>
      <c r="D91" s="3">
        <v>2348.67</v>
      </c>
      <c r="E91" t="s">
        <v>82</v>
      </c>
      <c r="G91" s="3">
        <v>43215.83984375</v>
      </c>
      <c r="H91" s="3">
        <v>49934.00390625</v>
      </c>
      <c r="I91" s="3">
        <v>51379.8046875</v>
      </c>
      <c r="J91" s="3">
        <v>49717.9375</v>
      </c>
      <c r="K91" s="3">
        <v>89022.109375</v>
      </c>
      <c r="L91" s="3">
        <v>1.09239446464926E-3</v>
      </c>
      <c r="M91" s="3">
        <v>0.46594053506851202</v>
      </c>
      <c r="N91" s="3">
        <v>0.44892859458923301</v>
      </c>
      <c r="O91" s="3">
        <v>41652.890625</v>
      </c>
      <c r="P91" s="3">
        <v>48700.078125</v>
      </c>
      <c r="Q91" s="3">
        <v>0.98026680946350098</v>
      </c>
      <c r="R91" s="3">
        <v>0.42880296707153298</v>
      </c>
      <c r="S91" s="3">
        <v>0.32822123169898998</v>
      </c>
      <c r="T91" s="3">
        <v>0.34498009085655201</v>
      </c>
      <c r="U91" s="3">
        <v>0.35651138424873402</v>
      </c>
      <c r="W91" t="s">
        <v>50</v>
      </c>
      <c r="X91" t="s">
        <v>54</v>
      </c>
      <c r="Y91" t="s">
        <v>52</v>
      </c>
      <c r="Z91" t="s">
        <v>53</v>
      </c>
      <c r="AA91" t="s">
        <v>53</v>
      </c>
      <c r="AC91" s="2">
        <v>0.43167841285877301</v>
      </c>
      <c r="AD91" s="2">
        <v>0.68842953443527199</v>
      </c>
      <c r="AE91" s="2">
        <v>0.135125562548637</v>
      </c>
      <c r="AF91" s="2">
        <v>0.18079073727130901</v>
      </c>
      <c r="AG91" s="2">
        <v>0.119302988052368</v>
      </c>
      <c r="AH91" s="2">
        <v>-0.177374497056007</v>
      </c>
      <c r="AI91" s="2">
        <v>5.3725678473711E-2</v>
      </c>
      <c r="AJ91" s="2">
        <v>0.311961990987844</v>
      </c>
      <c r="AK91" s="2">
        <v>0.45278453571828697</v>
      </c>
      <c r="AL91" s="2">
        <v>0.39013454056632701</v>
      </c>
      <c r="AM91" s="2">
        <v>0.660550117492676</v>
      </c>
      <c r="AN91" s="2">
        <v>0.49571588635444602</v>
      </c>
      <c r="AO91" s="2">
        <v>0.26748871803283703</v>
      </c>
      <c r="AP91" s="2">
        <v>1.1005705595016499</v>
      </c>
    </row>
    <row r="92" spans="1:42" x14ac:dyDescent="0.3">
      <c r="A92" t="s">
        <v>84</v>
      </c>
      <c r="B92" s="3">
        <v>2015</v>
      </c>
      <c r="C92" s="3">
        <v>159.38317900000001</v>
      </c>
      <c r="D92" s="3">
        <v>2398.9499999999998</v>
      </c>
      <c r="E92" t="s">
        <v>85</v>
      </c>
      <c r="G92" s="3">
        <v>593215.1875</v>
      </c>
      <c r="H92" s="3">
        <v>781279.125</v>
      </c>
      <c r="I92" s="3">
        <v>743507.4375</v>
      </c>
      <c r="J92" s="3">
        <v>763891.875</v>
      </c>
      <c r="K92" s="3">
        <v>2386992.25</v>
      </c>
      <c r="L92" s="3"/>
      <c r="M92" s="3"/>
      <c r="N92" s="3"/>
      <c r="O92" s="3">
        <v>655771.875</v>
      </c>
      <c r="P92" s="3">
        <v>863750.25</v>
      </c>
      <c r="Q92" s="3"/>
      <c r="R92" s="3"/>
      <c r="S92" s="3">
        <v>0.29187098145484902</v>
      </c>
      <c r="T92" s="3">
        <v>0.30770981311798101</v>
      </c>
      <c r="U92" s="3">
        <v>0.29949855804443398</v>
      </c>
      <c r="W92" t="s">
        <v>50</v>
      </c>
      <c r="X92" t="s">
        <v>51</v>
      </c>
      <c r="Y92" t="s">
        <v>52</v>
      </c>
      <c r="Z92" t="s">
        <v>53</v>
      </c>
      <c r="AC92" s="2">
        <v>0.30451289092157302</v>
      </c>
      <c r="AD92" s="2">
        <v>0.72048217058181796</v>
      </c>
      <c r="AE92" s="2">
        <v>0.24619181454181699</v>
      </c>
      <c r="AF92" s="2">
        <v>5.60873486101627E-2</v>
      </c>
      <c r="AG92" s="2">
        <v>7.5253628194332095E-2</v>
      </c>
      <c r="AH92" s="2">
        <v>-0.11856634914875</v>
      </c>
      <c r="AI92" s="2">
        <v>2.0551368594169599E-2</v>
      </c>
      <c r="AJ92" s="2">
        <v>0.29222056986154799</v>
      </c>
      <c r="AK92" s="2">
        <v>0.35767065327707498</v>
      </c>
      <c r="AL92" s="2">
        <v>0.28738009709298301</v>
      </c>
      <c r="AM92" s="2">
        <v>0.55203634500503496</v>
      </c>
      <c r="AN92" s="2">
        <v>0.53061407804489102</v>
      </c>
      <c r="AO92" s="2">
        <v>0.20532588660716999</v>
      </c>
      <c r="AP92" s="2"/>
    </row>
    <row r="93" spans="1:42" x14ac:dyDescent="0.3">
      <c r="A93" t="s">
        <v>84</v>
      </c>
      <c r="B93" s="3">
        <v>2016</v>
      </c>
      <c r="C93" s="3">
        <v>160.81193200000001</v>
      </c>
      <c r="D93" s="3">
        <v>2420.5300000000002</v>
      </c>
      <c r="E93" t="s">
        <v>85</v>
      </c>
      <c r="G93" s="3">
        <v>632358.5625</v>
      </c>
      <c r="H93" s="3">
        <v>841704.0625</v>
      </c>
      <c r="I93" s="3">
        <v>817430.5625</v>
      </c>
      <c r="J93" s="3">
        <v>820103.25</v>
      </c>
      <c r="K93" s="3">
        <v>2693894.25</v>
      </c>
      <c r="L93" s="3"/>
      <c r="M93" s="3"/>
      <c r="N93" s="3"/>
      <c r="O93" s="3">
        <v>688273.9375</v>
      </c>
      <c r="P93" s="3">
        <v>921496.3125</v>
      </c>
      <c r="Q93" s="3"/>
      <c r="R93" s="3"/>
      <c r="S93" s="3">
        <v>0.30426040291786199</v>
      </c>
      <c r="T93" s="3">
        <v>0.323627918958664</v>
      </c>
      <c r="U93" s="3">
        <v>0.32257321476936301</v>
      </c>
      <c r="W93" t="s">
        <v>50</v>
      </c>
      <c r="X93" t="s">
        <v>51</v>
      </c>
      <c r="Y93" t="s">
        <v>52</v>
      </c>
      <c r="Z93" t="s">
        <v>53</v>
      </c>
      <c r="AC93" s="2">
        <v>0.29475096583779198</v>
      </c>
      <c r="AD93" s="2">
        <v>0.71293592453002896</v>
      </c>
      <c r="AE93" s="2">
        <v>0.25526723265647899</v>
      </c>
      <c r="AF93" s="2">
        <v>5.8135982602834702E-2</v>
      </c>
      <c r="AG93" s="2">
        <v>8.2271821796894101E-2</v>
      </c>
      <c r="AH93" s="2">
        <v>-8.9967660605907399E-2</v>
      </c>
      <c r="AI93" s="2">
        <v>-1.86433214694262E-2</v>
      </c>
      <c r="AJ93" s="2">
        <v>0.30253317896181797</v>
      </c>
      <c r="AK93" s="2">
        <v>0.38213038739840999</v>
      </c>
      <c r="AL93" s="2">
        <v>0.32544173771712498</v>
      </c>
      <c r="AM93" s="2">
        <v>0.54182201623916604</v>
      </c>
      <c r="AN93" s="2">
        <v>0.53509926795959495</v>
      </c>
      <c r="AO93" s="2">
        <v>0.21605858206749001</v>
      </c>
      <c r="AP93" s="2"/>
    </row>
    <row r="94" spans="1:42" x14ac:dyDescent="0.3">
      <c r="A94" t="s">
        <v>84</v>
      </c>
      <c r="B94" s="3">
        <v>2017</v>
      </c>
      <c r="C94" s="3">
        <v>162.18614700000001</v>
      </c>
      <c r="D94" s="3">
        <v>2440.44</v>
      </c>
      <c r="E94" t="s">
        <v>85</v>
      </c>
      <c r="G94" s="3">
        <v>666313.125</v>
      </c>
      <c r="H94" s="3">
        <v>894641.8125</v>
      </c>
      <c r="I94" s="3">
        <v>861216.9375</v>
      </c>
      <c r="J94" s="3">
        <v>865190.4375</v>
      </c>
      <c r="K94" s="3">
        <v>2992743.5</v>
      </c>
      <c r="L94" s="3"/>
      <c r="M94" s="3"/>
      <c r="N94" s="3"/>
      <c r="O94" s="3">
        <v>731945</v>
      </c>
      <c r="P94" s="3">
        <v>985420.0625</v>
      </c>
      <c r="Q94" s="3"/>
      <c r="R94" s="3"/>
      <c r="S94" s="3">
        <v>0.31629177927970897</v>
      </c>
      <c r="T94" s="3">
        <v>0.33552291989326499</v>
      </c>
      <c r="U94" s="3">
        <v>0.33398199081420898</v>
      </c>
      <c r="W94" t="s">
        <v>51</v>
      </c>
      <c r="X94" t="s">
        <v>51</v>
      </c>
      <c r="Y94" t="s">
        <v>52</v>
      </c>
      <c r="Z94" t="s">
        <v>53</v>
      </c>
      <c r="AC94" s="2">
        <v>0.27410422354606701</v>
      </c>
      <c r="AD94" s="2">
        <v>0.712024927139282</v>
      </c>
      <c r="AE94" s="2">
        <v>0.26390567421913103</v>
      </c>
      <c r="AF94" s="2">
        <v>5.8109700679779101E-2</v>
      </c>
      <c r="AG94" s="2">
        <v>7.5842835009098095E-2</v>
      </c>
      <c r="AH94" s="2">
        <v>-9.1060668230056804E-2</v>
      </c>
      <c r="AI94" s="2">
        <v>-1.8822478130459799E-2</v>
      </c>
      <c r="AJ94" s="2">
        <v>0.31385663568786898</v>
      </c>
      <c r="AK94" s="2">
        <v>0.39164362271459302</v>
      </c>
      <c r="AL94" s="2">
        <v>0.34612984753273401</v>
      </c>
      <c r="AM94" s="2">
        <v>0.56039017438888605</v>
      </c>
      <c r="AN94" s="2">
        <v>0.54005151987075795</v>
      </c>
      <c r="AO94" s="2">
        <v>0.22188131511211401</v>
      </c>
      <c r="AP94" s="2"/>
    </row>
    <row r="95" spans="1:42" x14ac:dyDescent="0.3">
      <c r="A95" t="s">
        <v>84</v>
      </c>
      <c r="B95" s="3">
        <v>2018</v>
      </c>
      <c r="C95" s="3">
        <v>163.52310299999999</v>
      </c>
      <c r="D95" s="3">
        <v>2428.91</v>
      </c>
      <c r="E95" t="s">
        <v>85</v>
      </c>
      <c r="G95" s="3">
        <v>736141.25</v>
      </c>
      <c r="H95" s="3">
        <v>998959.5</v>
      </c>
      <c r="I95" s="3">
        <v>948036.625</v>
      </c>
      <c r="J95" s="3">
        <v>960715.3125</v>
      </c>
      <c r="K95" s="3">
        <v>3350765.25</v>
      </c>
      <c r="L95" s="3"/>
      <c r="M95" s="3"/>
      <c r="N95" s="3"/>
      <c r="O95" s="3">
        <v>798324.4375</v>
      </c>
      <c r="P95" s="3">
        <v>1083755.75</v>
      </c>
      <c r="Q95" s="3"/>
      <c r="R95" s="3"/>
      <c r="S95" s="3">
        <v>0.31592506170272799</v>
      </c>
      <c r="T95" s="3">
        <v>0.33353728055954002</v>
      </c>
      <c r="U95" s="3">
        <v>0.32913559675216703</v>
      </c>
      <c r="W95" t="s">
        <v>50</v>
      </c>
      <c r="X95" t="s">
        <v>51</v>
      </c>
      <c r="Y95" t="s">
        <v>52</v>
      </c>
      <c r="Z95" t="s">
        <v>53</v>
      </c>
      <c r="AC95" s="2">
        <v>0.26855483765661498</v>
      </c>
      <c r="AD95" s="2">
        <v>0.70662039518356301</v>
      </c>
      <c r="AE95" s="2">
        <v>0.273565173149109</v>
      </c>
      <c r="AF95" s="2">
        <v>5.9622459113597898E-2</v>
      </c>
      <c r="AG95" s="2">
        <v>7.1699090301990495E-2</v>
      </c>
      <c r="AH95" s="2">
        <v>-0.102017872035503</v>
      </c>
      <c r="AI95" s="2">
        <v>-9.4892773777246493E-3</v>
      </c>
      <c r="AJ95" s="2">
        <v>0.31482475295332102</v>
      </c>
      <c r="AK95" s="2">
        <v>0.38286828468254502</v>
      </c>
      <c r="AL95" s="2">
        <v>0.32896561761847898</v>
      </c>
      <c r="AM95" s="2">
        <v>0.57756990194320701</v>
      </c>
      <c r="AN95" s="2">
        <v>0.54860162734985396</v>
      </c>
      <c r="AO95" s="2">
        <v>0.220115691423416</v>
      </c>
      <c r="AP95" s="2"/>
    </row>
    <row r="96" spans="1:42" x14ac:dyDescent="0.3">
      <c r="A96" t="s">
        <v>84</v>
      </c>
      <c r="B96" s="3">
        <v>2019</v>
      </c>
      <c r="C96" s="3">
        <v>164.91305500000001</v>
      </c>
      <c r="D96" s="3">
        <v>2417.7199999999998</v>
      </c>
      <c r="E96" t="s">
        <v>85</v>
      </c>
      <c r="G96" s="3">
        <v>802198.125</v>
      </c>
      <c r="H96" s="3">
        <v>1090040.75</v>
      </c>
      <c r="I96" s="3">
        <v>1034888.0625</v>
      </c>
      <c r="J96" s="3">
        <v>1043530.375</v>
      </c>
      <c r="K96" s="3">
        <v>3731504.5</v>
      </c>
      <c r="L96" s="3"/>
      <c r="M96" s="3"/>
      <c r="N96" s="3"/>
      <c r="O96" s="3">
        <v>842557.4375</v>
      </c>
      <c r="P96" s="3">
        <v>1148196.375</v>
      </c>
      <c r="Q96" s="3"/>
      <c r="R96" s="3"/>
      <c r="S96" s="3">
        <v>0.31852462887763999</v>
      </c>
      <c r="T96" s="3">
        <v>0.33769229054451</v>
      </c>
      <c r="U96" s="3">
        <v>0.33489558100700401</v>
      </c>
      <c r="W96" t="s">
        <v>50</v>
      </c>
      <c r="X96" t="s">
        <v>54</v>
      </c>
      <c r="Y96" t="s">
        <v>52</v>
      </c>
      <c r="Z96" t="s">
        <v>53</v>
      </c>
      <c r="AC96" s="2">
        <v>0.26751848187103799</v>
      </c>
      <c r="AD96" s="2">
        <v>0.70456117391586304</v>
      </c>
      <c r="AE96" s="2">
        <v>0.27583545446395902</v>
      </c>
      <c r="AF96" s="2">
        <v>6.4173646271228804E-2</v>
      </c>
      <c r="AG96" s="2">
        <v>7.5091026723384899E-2</v>
      </c>
      <c r="AH96" s="2">
        <v>-9.4797059893608093E-2</v>
      </c>
      <c r="AI96" s="2">
        <v>-2.4864243343472502E-2</v>
      </c>
      <c r="AJ96" s="2">
        <v>0.31788516678481399</v>
      </c>
      <c r="AK96" s="2">
        <v>0.391111307923521</v>
      </c>
      <c r="AL96" s="2">
        <v>0.32554518137100602</v>
      </c>
      <c r="AM96" s="2">
        <v>0.57972413301467896</v>
      </c>
      <c r="AN96" s="2">
        <v>0.55964702367782604</v>
      </c>
      <c r="AO96" s="2">
        <v>0.22758120298385601</v>
      </c>
      <c r="AP96" s="2"/>
    </row>
    <row r="97" spans="1:42" x14ac:dyDescent="0.3">
      <c r="A97" t="s">
        <v>84</v>
      </c>
      <c r="B97" s="3">
        <v>2020</v>
      </c>
      <c r="C97" s="3">
        <v>166.298024</v>
      </c>
      <c r="D97" s="3">
        <v>2312.9</v>
      </c>
      <c r="E97" t="s">
        <v>85</v>
      </c>
      <c r="G97" s="3">
        <v>853302.5</v>
      </c>
      <c r="H97" s="3">
        <v>1163887.125</v>
      </c>
      <c r="I97" s="3">
        <v>1116649.125</v>
      </c>
      <c r="J97" s="3">
        <v>1130408.375</v>
      </c>
      <c r="K97" s="3">
        <v>4256866.5</v>
      </c>
      <c r="L97" s="3"/>
      <c r="M97" s="3"/>
      <c r="N97" s="3"/>
      <c r="O97" s="3">
        <v>867067.5</v>
      </c>
      <c r="P97" s="3">
        <v>1185193.625</v>
      </c>
      <c r="Q97" s="3"/>
      <c r="R97" s="3"/>
      <c r="S97" s="3">
        <v>0.31924208998680098</v>
      </c>
      <c r="T97" s="3">
        <v>0.33453807234764099</v>
      </c>
      <c r="U97" s="3">
        <v>0.33046609163284302</v>
      </c>
      <c r="W97" t="s">
        <v>50</v>
      </c>
      <c r="X97" t="s">
        <v>54</v>
      </c>
      <c r="Y97" t="s">
        <v>52</v>
      </c>
      <c r="Z97" t="s">
        <v>53</v>
      </c>
      <c r="AC97" s="2">
        <v>0.265789933001715</v>
      </c>
      <c r="AD97" s="2">
        <v>0.692327320575714</v>
      </c>
      <c r="AE97" s="2">
        <v>0.27475431561469998</v>
      </c>
      <c r="AF97" s="2">
        <v>6.2534853816032396E-2</v>
      </c>
      <c r="AG97" s="2">
        <v>5.70673868060112E-2</v>
      </c>
      <c r="AH97" s="2">
        <v>-7.6382614672184004E-2</v>
      </c>
      <c r="AI97" s="2">
        <v>-1.03013003244996E-2</v>
      </c>
      <c r="AJ97" s="2">
        <v>0.319575671265452</v>
      </c>
      <c r="AK97" s="2">
        <v>0.37656232343011198</v>
      </c>
      <c r="AL97" s="2">
        <v>0.31554904295442598</v>
      </c>
      <c r="AM97" s="2">
        <v>0.60028564929962203</v>
      </c>
      <c r="AN97" s="2">
        <v>0.58694416284561202</v>
      </c>
      <c r="AO97" s="2">
        <v>0.21806576848030099</v>
      </c>
      <c r="AP97" s="2"/>
    </row>
    <row r="98" spans="1:42" x14ac:dyDescent="0.3">
      <c r="A98" t="s">
        <v>86</v>
      </c>
      <c r="B98" s="3">
        <v>2015</v>
      </c>
      <c r="C98" s="3">
        <v>7.1775169999999999</v>
      </c>
      <c r="D98" s="3">
        <v>1644.39</v>
      </c>
      <c r="E98" t="s">
        <v>87</v>
      </c>
      <c r="G98" s="3">
        <v>117342.6484375</v>
      </c>
      <c r="H98" s="3">
        <v>143646.671875</v>
      </c>
      <c r="I98" s="3">
        <v>144857.953125</v>
      </c>
      <c r="J98" s="3">
        <v>139149.421875</v>
      </c>
      <c r="K98" s="3">
        <v>403796.90625</v>
      </c>
      <c r="L98" s="3">
        <v>4.6413657255470796E-3</v>
      </c>
      <c r="M98" s="3">
        <v>0.74171847105026301</v>
      </c>
      <c r="N98" s="3">
        <v>0.73869651556015004</v>
      </c>
      <c r="O98" s="3">
        <v>124655.34375</v>
      </c>
      <c r="P98" s="3">
        <v>155146.0625</v>
      </c>
      <c r="Q98" s="3">
        <v>0.9434455037117</v>
      </c>
      <c r="R98" s="3">
        <v>0.51285821199417103</v>
      </c>
      <c r="S98" s="3">
        <v>0.33816018700599698</v>
      </c>
      <c r="T98" s="3">
        <v>0.35045310854911799</v>
      </c>
      <c r="U98" s="3">
        <v>0.36483028531074502</v>
      </c>
      <c r="W98" t="s">
        <v>50</v>
      </c>
      <c r="X98" t="s">
        <v>51</v>
      </c>
      <c r="Y98" t="s">
        <v>52</v>
      </c>
      <c r="Z98" t="s">
        <v>53</v>
      </c>
      <c r="AA98" t="s">
        <v>53</v>
      </c>
      <c r="AC98" s="2">
        <v>0.67391233445469001</v>
      </c>
      <c r="AD98" s="2">
        <v>0.59907835721969604</v>
      </c>
      <c r="AE98" s="2">
        <v>0.189034312963486</v>
      </c>
      <c r="AF98" s="2">
        <v>0.24420684576034499</v>
      </c>
      <c r="AG98" s="2">
        <v>0.32374903559684798</v>
      </c>
      <c r="AH98" s="2">
        <v>-0.43310591578483598</v>
      </c>
      <c r="AI98" s="2">
        <v>7.7037326991558103E-2</v>
      </c>
      <c r="AJ98" s="2">
        <v>0.37802637225145802</v>
      </c>
      <c r="AK98" s="2">
        <v>0.40529199663932403</v>
      </c>
      <c r="AL98" s="2">
        <v>0.240362032679732</v>
      </c>
      <c r="AM98" s="2">
        <v>0.57223165035247803</v>
      </c>
      <c r="AN98" s="2">
        <v>0.48559558391571001</v>
      </c>
      <c r="AO98" s="2">
        <v>0.26547822356224099</v>
      </c>
      <c r="AP98" s="2">
        <v>0.711875200271606</v>
      </c>
    </row>
    <row r="99" spans="1:42" x14ac:dyDescent="0.3">
      <c r="A99" t="s">
        <v>86</v>
      </c>
      <c r="B99" s="3">
        <v>2016</v>
      </c>
      <c r="C99" s="3">
        <v>7.127434</v>
      </c>
      <c r="D99" s="3">
        <v>1643.55</v>
      </c>
      <c r="E99" t="s">
        <v>87</v>
      </c>
      <c r="G99" s="3">
        <v>121227.875</v>
      </c>
      <c r="H99" s="3">
        <v>146504.84375</v>
      </c>
      <c r="I99" s="3">
        <v>154079.953125</v>
      </c>
      <c r="J99" s="3">
        <v>147643.359375</v>
      </c>
      <c r="K99" s="3">
        <v>408148.03125</v>
      </c>
      <c r="L99" s="3">
        <v>4.5786523260176199E-3</v>
      </c>
      <c r="M99" s="3">
        <v>0.78345775604248102</v>
      </c>
      <c r="N99" s="3">
        <v>0.75161528587341297</v>
      </c>
      <c r="O99" s="3">
        <v>127258.9609375</v>
      </c>
      <c r="P99" s="3">
        <v>156223.171875</v>
      </c>
      <c r="Q99" s="3">
        <v>0.95942884683608998</v>
      </c>
      <c r="R99" s="3">
        <v>0.52190560102462802</v>
      </c>
      <c r="S99" s="3">
        <v>0.338632702827454</v>
      </c>
      <c r="T99" s="3">
        <v>0.35000923275947599</v>
      </c>
      <c r="U99" s="3">
        <v>0.36526808142662098</v>
      </c>
      <c r="W99" t="s">
        <v>50</v>
      </c>
      <c r="X99" t="s">
        <v>51</v>
      </c>
      <c r="Y99" t="s">
        <v>52</v>
      </c>
      <c r="Z99" t="s">
        <v>53</v>
      </c>
      <c r="AA99" t="s">
        <v>53</v>
      </c>
      <c r="AC99" s="2">
        <v>0.69842810262527799</v>
      </c>
      <c r="AD99" s="2">
        <v>0.58517348766326904</v>
      </c>
      <c r="AE99" s="2">
        <v>0.171202898025513</v>
      </c>
      <c r="AF99" s="2">
        <v>0.23591238260269201</v>
      </c>
      <c r="AG99" s="2">
        <v>0.31832528114318898</v>
      </c>
      <c r="AH99" s="2">
        <v>-0.40186884999275202</v>
      </c>
      <c r="AI99" s="2">
        <v>9.1254740953445407E-2</v>
      </c>
      <c r="AJ99" s="2">
        <v>0.37784586838989997</v>
      </c>
      <c r="AK99" s="2">
        <v>0.40457091262651501</v>
      </c>
      <c r="AL99" s="2">
        <v>0.241365636745205</v>
      </c>
      <c r="AM99" s="2">
        <v>0.56785041093826305</v>
      </c>
      <c r="AN99" s="2">
        <v>0.48805910348892201</v>
      </c>
      <c r="AO99" s="2">
        <v>0.27225229144096402</v>
      </c>
      <c r="AP99" s="2">
        <v>0.72889488935470603</v>
      </c>
    </row>
    <row r="100" spans="1:42" x14ac:dyDescent="0.3">
      <c r="A100" t="s">
        <v>86</v>
      </c>
      <c r="B100" s="3">
        <v>2017</v>
      </c>
      <c r="C100" s="3">
        <v>7.0756360000000003</v>
      </c>
      <c r="D100" s="3">
        <v>1643.26</v>
      </c>
      <c r="E100" t="s">
        <v>87</v>
      </c>
      <c r="G100" s="3">
        <v>125460.0625</v>
      </c>
      <c r="H100" s="3">
        <v>154574.640625</v>
      </c>
      <c r="I100" s="3">
        <v>161598.703125</v>
      </c>
      <c r="J100" s="3">
        <v>153534.265625</v>
      </c>
      <c r="K100" s="3">
        <v>451544.15625</v>
      </c>
      <c r="L100" s="3">
        <v>4.93574561551213E-3</v>
      </c>
      <c r="M100" s="3">
        <v>0.75559115409851096</v>
      </c>
      <c r="N100" s="3">
        <v>0.73257875442504905</v>
      </c>
      <c r="O100" s="3">
        <v>130839.03125</v>
      </c>
      <c r="P100" s="3">
        <v>161763.4375</v>
      </c>
      <c r="Q100" s="3">
        <v>0.94731932878494296</v>
      </c>
      <c r="R100" s="3">
        <v>0.51651066541671797</v>
      </c>
      <c r="S100" s="3">
        <v>0.35764846205711398</v>
      </c>
      <c r="T100" s="3">
        <v>0.36613929271697998</v>
      </c>
      <c r="U100" s="3">
        <v>0.38537088036537198</v>
      </c>
      <c r="W100" t="s">
        <v>51</v>
      </c>
      <c r="X100" t="s">
        <v>51</v>
      </c>
      <c r="Y100" t="s">
        <v>52</v>
      </c>
      <c r="Z100" t="s">
        <v>53</v>
      </c>
      <c r="AA100" t="s">
        <v>53</v>
      </c>
      <c r="AC100" s="2">
        <v>0.73037978454151098</v>
      </c>
      <c r="AD100" s="2">
        <v>0.57857245206832897</v>
      </c>
      <c r="AE100" s="2">
        <v>0.18962915241718301</v>
      </c>
      <c r="AF100" s="2">
        <v>0.238574534654617</v>
      </c>
      <c r="AG100" s="2">
        <v>0.35219603776931802</v>
      </c>
      <c r="AH100" s="2">
        <v>-0.44765171408653298</v>
      </c>
      <c r="AI100" s="2">
        <v>8.8679559528827695E-2</v>
      </c>
      <c r="AJ100" s="2">
        <v>0.40132040372771199</v>
      </c>
      <c r="AK100" s="2">
        <v>0.402727874804996</v>
      </c>
      <c r="AL100" s="2">
        <v>0.251738617324126</v>
      </c>
      <c r="AM100" s="2">
        <v>0.58416843414306596</v>
      </c>
      <c r="AN100" s="2">
        <v>0.498525381088257</v>
      </c>
      <c r="AO100" s="2">
        <v>0.26980099081993097</v>
      </c>
      <c r="AP100" s="2">
        <v>0.723122358322144</v>
      </c>
    </row>
    <row r="101" spans="1:42" x14ac:dyDescent="0.3">
      <c r="A101" t="s">
        <v>86</v>
      </c>
      <c r="B101" s="3">
        <v>2018</v>
      </c>
      <c r="C101" s="3">
        <v>7.0247450000000002</v>
      </c>
      <c r="D101" s="3">
        <v>1644.57</v>
      </c>
      <c r="E101" t="s">
        <v>87</v>
      </c>
      <c r="G101" s="3">
        <v>130571.7734375</v>
      </c>
      <c r="H101" s="3">
        <v>162428.359375</v>
      </c>
      <c r="I101" s="3">
        <v>166875.09375</v>
      </c>
      <c r="J101" s="3">
        <v>158055.078125</v>
      </c>
      <c r="K101" s="3">
        <v>460462</v>
      </c>
      <c r="L101" s="3">
        <v>4.95075481012464E-3</v>
      </c>
      <c r="M101" s="3">
        <v>0.76188349723815896</v>
      </c>
      <c r="N101" s="3">
        <v>0.75368118286132801</v>
      </c>
      <c r="O101" s="3">
        <v>136057.78125</v>
      </c>
      <c r="P101" s="3">
        <v>170037.625</v>
      </c>
      <c r="Q101" s="3">
        <v>0.95260941982269298</v>
      </c>
      <c r="R101" s="3">
        <v>0.51651066541671797</v>
      </c>
      <c r="S101" s="3">
        <v>0.38672938942909202</v>
      </c>
      <c r="T101" s="3">
        <v>0.39701309800147999</v>
      </c>
      <c r="U101" s="3">
        <v>0.41916778683662398</v>
      </c>
      <c r="W101" t="s">
        <v>50</v>
      </c>
      <c r="X101" t="s">
        <v>51</v>
      </c>
      <c r="Y101" t="s">
        <v>52</v>
      </c>
      <c r="Z101" t="s">
        <v>53</v>
      </c>
      <c r="AA101" t="s">
        <v>53</v>
      </c>
      <c r="AC101" s="2">
        <v>0.73335422031485697</v>
      </c>
      <c r="AD101" s="2">
        <v>0.57767325639724698</v>
      </c>
      <c r="AE101" s="2">
        <v>0.20155373215675401</v>
      </c>
      <c r="AF101" s="2">
        <v>0.24844236671924599</v>
      </c>
      <c r="AG101" s="2">
        <v>0.35451269149780301</v>
      </c>
      <c r="AH101" s="2">
        <v>-0.471328675746918</v>
      </c>
      <c r="AI101" s="2">
        <v>8.91466215252876E-2</v>
      </c>
      <c r="AJ101" s="2">
        <v>0.43375065994847201</v>
      </c>
      <c r="AK101" s="2">
        <v>0.439163309337327</v>
      </c>
      <c r="AL101" s="2">
        <v>0.27739645312163802</v>
      </c>
      <c r="AM101" s="2">
        <v>0.60299158096313499</v>
      </c>
      <c r="AN101" s="2">
        <v>0.50912666320800803</v>
      </c>
      <c r="AO101" s="2">
        <v>0.29917994141578702</v>
      </c>
      <c r="AP101" s="2">
        <v>0.76502835750579801</v>
      </c>
    </row>
    <row r="102" spans="1:42" x14ac:dyDescent="0.3">
      <c r="A102" t="s">
        <v>86</v>
      </c>
      <c r="B102" s="3">
        <v>2019</v>
      </c>
      <c r="C102" s="3">
        <v>6.9754690000000004</v>
      </c>
      <c r="D102" s="3">
        <v>1647.28</v>
      </c>
      <c r="E102" t="s">
        <v>87</v>
      </c>
      <c r="G102" s="3">
        <v>142221.171875</v>
      </c>
      <c r="H102" s="3">
        <v>175605.859375</v>
      </c>
      <c r="I102" s="3">
        <v>181663.640625</v>
      </c>
      <c r="J102" s="3">
        <v>171166.84375</v>
      </c>
      <c r="K102" s="3">
        <v>477210.59375</v>
      </c>
      <c r="L102" s="3">
        <v>4.9896971322596099E-3</v>
      </c>
      <c r="M102" s="3">
        <v>0.79409253597259499</v>
      </c>
      <c r="N102" s="3">
        <v>0.78395462036132801</v>
      </c>
      <c r="O102" s="3">
        <v>142992.984375</v>
      </c>
      <c r="P102" s="3">
        <v>177952.390625</v>
      </c>
      <c r="Q102" s="3">
        <v>0.95622467994689897</v>
      </c>
      <c r="R102" s="3">
        <v>0.51651066541671797</v>
      </c>
      <c r="S102" s="3">
        <v>0.366618722677231</v>
      </c>
      <c r="T102" s="3">
        <v>0.37780827283859297</v>
      </c>
      <c r="U102" s="3">
        <v>0.40097725391387901</v>
      </c>
      <c r="W102" t="s">
        <v>50</v>
      </c>
      <c r="X102" t="s">
        <v>54</v>
      </c>
      <c r="Y102" t="s">
        <v>52</v>
      </c>
      <c r="Z102" t="s">
        <v>53</v>
      </c>
      <c r="AA102" t="s">
        <v>53</v>
      </c>
      <c r="AC102" s="2">
        <v>0.75086097924247597</v>
      </c>
      <c r="AD102" s="2">
        <v>0.57939904928207397</v>
      </c>
      <c r="AE102" s="2">
        <v>0.19504177570343001</v>
      </c>
      <c r="AF102" s="2">
        <v>0.25149300694465598</v>
      </c>
      <c r="AG102" s="2">
        <v>0.33692008256912198</v>
      </c>
      <c r="AH102" s="2">
        <v>-0.459006547927856</v>
      </c>
      <c r="AI102" s="2">
        <v>9.6152640879154205E-2</v>
      </c>
      <c r="AJ102" s="2">
        <v>0.409674056055159</v>
      </c>
      <c r="AK102" s="2">
        <v>0.425476462331215</v>
      </c>
      <c r="AL102" s="2">
        <v>0.26742621540557898</v>
      </c>
      <c r="AM102" s="2">
        <v>0.58010596036911</v>
      </c>
      <c r="AN102" s="2">
        <v>0.48067581653594998</v>
      </c>
      <c r="AO102" s="2">
        <v>0.29494047164916998</v>
      </c>
      <c r="AP102" s="2">
        <v>0.75642955303192105</v>
      </c>
    </row>
    <row r="103" spans="1:42" x14ac:dyDescent="0.3">
      <c r="A103" t="s">
        <v>86</v>
      </c>
      <c r="B103" s="3">
        <v>2020</v>
      </c>
      <c r="C103" s="3">
        <v>6.9336520000000004</v>
      </c>
      <c r="D103" s="3">
        <v>1609.08</v>
      </c>
      <c r="E103" t="s">
        <v>87</v>
      </c>
      <c r="G103" s="3">
        <v>141484.25</v>
      </c>
      <c r="H103" s="3">
        <v>174728.859375</v>
      </c>
      <c r="I103" s="3">
        <v>179253.328125</v>
      </c>
      <c r="J103" s="3">
        <v>166569.125</v>
      </c>
      <c r="K103" s="3">
        <v>508802.03125</v>
      </c>
      <c r="L103" s="3">
        <v>5.0883153453469302E-3</v>
      </c>
      <c r="M103" s="3">
        <v>0.77161395549774203</v>
      </c>
      <c r="N103" s="3">
        <v>0.77648681402206399</v>
      </c>
      <c r="O103" s="3">
        <v>145266.015625</v>
      </c>
      <c r="P103" s="3">
        <v>178752.78125</v>
      </c>
      <c r="Q103" s="3">
        <v>0.93736892938613903</v>
      </c>
      <c r="R103" s="3">
        <v>0.51651066541671797</v>
      </c>
      <c r="S103" s="3">
        <v>0.385664403438568</v>
      </c>
      <c r="T103" s="3">
        <v>0.39358067512512201</v>
      </c>
      <c r="U103" s="3">
        <v>0.42355173826217701</v>
      </c>
      <c r="W103" t="s">
        <v>50</v>
      </c>
      <c r="X103" t="s">
        <v>54</v>
      </c>
      <c r="Y103" t="s">
        <v>52</v>
      </c>
      <c r="Z103" t="s">
        <v>53</v>
      </c>
      <c r="AA103" t="s">
        <v>53</v>
      </c>
      <c r="AC103" s="2">
        <v>0.74113895591158296</v>
      </c>
      <c r="AD103" s="2">
        <v>0.57460337877273604</v>
      </c>
      <c r="AE103" s="2">
        <v>0.19958443939685799</v>
      </c>
      <c r="AF103" s="2">
        <v>0.27479922771453902</v>
      </c>
      <c r="AG103" s="2">
        <v>0.31123402714729298</v>
      </c>
      <c r="AH103" s="2">
        <v>-0.444361001253128</v>
      </c>
      <c r="AI103" s="2">
        <v>8.4139920771122007E-2</v>
      </c>
      <c r="AJ103" s="2">
        <v>0.42778464733093402</v>
      </c>
      <c r="AK103" s="2">
        <v>0.42727102862494698</v>
      </c>
      <c r="AL103" s="2">
        <v>0.297591293637473</v>
      </c>
      <c r="AM103" s="2">
        <v>0.58315372467041005</v>
      </c>
      <c r="AN103" s="2">
        <v>0.46458664536476102</v>
      </c>
      <c r="AO103" s="2">
        <v>0.29780215024948098</v>
      </c>
      <c r="AP103" s="2">
        <v>0.79604727029800404</v>
      </c>
    </row>
    <row r="104" spans="1:42" x14ac:dyDescent="0.3">
      <c r="A104" t="s">
        <v>88</v>
      </c>
      <c r="B104" s="3">
        <v>2015</v>
      </c>
      <c r="C104" s="3">
        <v>1.36965</v>
      </c>
      <c r="D104" s="3">
        <v>2105.0300000000002</v>
      </c>
      <c r="E104" t="s">
        <v>89</v>
      </c>
      <c r="G104" s="3">
        <v>44627.95703125</v>
      </c>
      <c r="H104" s="3">
        <v>63322.76171875</v>
      </c>
      <c r="I104" s="3">
        <v>71275.9609375</v>
      </c>
      <c r="J104" s="3">
        <v>71976.4453125</v>
      </c>
      <c r="K104" s="3">
        <v>325668.9375</v>
      </c>
      <c r="L104" s="3">
        <v>4.2720087803900198E-3</v>
      </c>
      <c r="M104" s="3">
        <v>0.74406665563583396</v>
      </c>
      <c r="N104" s="3">
        <v>0.63152939081192005</v>
      </c>
      <c r="O104" s="3">
        <v>36692.55859375</v>
      </c>
      <c r="P104" s="3">
        <v>80020.015625</v>
      </c>
      <c r="Q104" s="3">
        <v>1.15588319301605</v>
      </c>
      <c r="R104" s="3">
        <v>0.2935651242733</v>
      </c>
      <c r="S104" s="3">
        <v>0.44049382209777799</v>
      </c>
      <c r="T104" s="3">
        <v>0.43563818931579601</v>
      </c>
      <c r="U104" s="3">
        <v>0.43139851093292197</v>
      </c>
      <c r="W104" t="s">
        <v>50</v>
      </c>
      <c r="X104" t="s">
        <v>51</v>
      </c>
      <c r="Y104" t="s">
        <v>52</v>
      </c>
      <c r="Z104" t="s">
        <v>53</v>
      </c>
      <c r="AA104" t="s">
        <v>53</v>
      </c>
      <c r="AC104" s="2">
        <v>0.61199497117610202</v>
      </c>
      <c r="AD104" s="2">
        <v>0.42559239268302901</v>
      </c>
      <c r="AE104" s="2">
        <v>0.25973504781723</v>
      </c>
      <c r="AF104" s="2">
        <v>0.19444321095943501</v>
      </c>
      <c r="AG104" s="2">
        <v>0.359699636697769</v>
      </c>
      <c r="AH104" s="2">
        <v>-0.43181756138801602</v>
      </c>
      <c r="AI104" s="2">
        <v>0.19234730303287501</v>
      </c>
      <c r="AJ104" s="2">
        <v>0.46247935333623102</v>
      </c>
      <c r="AK104" s="2">
        <v>0.42404687173960198</v>
      </c>
      <c r="AL104" s="2">
        <v>0.392372484104757</v>
      </c>
      <c r="AM104" s="2">
        <v>0.53620022535324097</v>
      </c>
      <c r="AN104" s="2">
        <v>0.52733504772186302</v>
      </c>
      <c r="AO104" s="2">
        <v>0.277163505554199</v>
      </c>
      <c r="AP104" s="2">
        <v>0.68601089715957597</v>
      </c>
    </row>
    <row r="105" spans="1:42" x14ac:dyDescent="0.3">
      <c r="A105" t="s">
        <v>88</v>
      </c>
      <c r="B105" s="3">
        <v>2016</v>
      </c>
      <c r="C105" s="3">
        <v>1.4296040000000001</v>
      </c>
      <c r="D105" s="3">
        <v>2110.04</v>
      </c>
      <c r="E105" t="s">
        <v>89</v>
      </c>
      <c r="G105" s="3">
        <v>42823.29296875</v>
      </c>
      <c r="H105" s="3">
        <v>64897.3046875</v>
      </c>
      <c r="I105" s="3">
        <v>71007.9921875</v>
      </c>
      <c r="J105" s="3">
        <v>72860.0390625</v>
      </c>
      <c r="K105" s="3">
        <v>352106.78125</v>
      </c>
      <c r="L105" s="3">
        <v>4.3877526186406604E-3</v>
      </c>
      <c r="M105" s="3">
        <v>0.69964343309402499</v>
      </c>
      <c r="N105" s="3">
        <v>0.60249853134155296</v>
      </c>
      <c r="O105" s="3">
        <v>36434.56640625</v>
      </c>
      <c r="P105" s="3">
        <v>83413.1015625</v>
      </c>
      <c r="Q105" s="3">
        <v>1.11551249027252</v>
      </c>
      <c r="R105" s="3">
        <v>0.2935651242733</v>
      </c>
      <c r="S105" s="3">
        <v>0.46851381659507801</v>
      </c>
      <c r="T105" s="3">
        <v>0.45396447181701699</v>
      </c>
      <c r="U105" s="3">
        <v>0.44242507219314597</v>
      </c>
      <c r="W105" t="s">
        <v>50</v>
      </c>
      <c r="X105" t="s">
        <v>51</v>
      </c>
      <c r="Y105" t="s">
        <v>52</v>
      </c>
      <c r="Z105" t="s">
        <v>53</v>
      </c>
      <c r="AA105" t="s">
        <v>53</v>
      </c>
      <c r="AC105" s="2">
        <v>0.52972209316387897</v>
      </c>
      <c r="AD105" s="2">
        <v>0.40020766854286199</v>
      </c>
      <c r="AE105" s="2">
        <v>0.302964568138123</v>
      </c>
      <c r="AF105" s="2">
        <v>0.18753966689109799</v>
      </c>
      <c r="AG105" s="2">
        <v>0.28070247173309298</v>
      </c>
      <c r="AH105" s="2">
        <v>-0.387845039367676</v>
      </c>
      <c r="AI105" s="2">
        <v>0.216430619359016</v>
      </c>
      <c r="AJ105" s="2">
        <v>0.49890119391869397</v>
      </c>
      <c r="AK105" s="2">
        <v>0.42573894723021999</v>
      </c>
      <c r="AL105" s="2">
        <v>0.40366744025594298</v>
      </c>
      <c r="AM105" s="2">
        <v>0.51564109325408902</v>
      </c>
      <c r="AN105" s="2">
        <v>0.52191609144210804</v>
      </c>
      <c r="AO105" s="2">
        <v>0.27112415432929998</v>
      </c>
      <c r="AP105" s="2">
        <v>0.67177277803420998</v>
      </c>
    </row>
    <row r="106" spans="1:42" x14ac:dyDescent="0.3">
      <c r="A106" t="s">
        <v>88</v>
      </c>
      <c r="B106" s="3">
        <v>2017</v>
      </c>
      <c r="C106" s="3">
        <v>1.481995</v>
      </c>
      <c r="D106" s="3">
        <v>2110.39</v>
      </c>
      <c r="E106" t="s">
        <v>89</v>
      </c>
      <c r="G106" s="3">
        <v>43970.546875</v>
      </c>
      <c r="H106" s="3">
        <v>72185.671875</v>
      </c>
      <c r="I106" s="3">
        <v>78746.015625</v>
      </c>
      <c r="J106" s="3">
        <v>80961.6796875</v>
      </c>
      <c r="K106" s="3">
        <v>426395.4375</v>
      </c>
      <c r="L106" s="3">
        <v>5.07709942758083E-3</v>
      </c>
      <c r="M106" s="3">
        <v>0.69070887565612804</v>
      </c>
      <c r="N106" s="3">
        <v>0.59306281805038497</v>
      </c>
      <c r="O106" s="3">
        <v>37862.33203125</v>
      </c>
      <c r="P106" s="3">
        <v>89554.1875</v>
      </c>
      <c r="Q106" s="3">
        <v>1.10178470611572</v>
      </c>
      <c r="R106" s="3">
        <v>0.2935651242733</v>
      </c>
      <c r="S106" s="3">
        <v>0.47377339005470298</v>
      </c>
      <c r="T106" s="3">
        <v>0.45048210024833701</v>
      </c>
      <c r="U106" s="3">
        <v>0.43815386295318598</v>
      </c>
      <c r="W106" t="s">
        <v>51</v>
      </c>
      <c r="X106" t="s">
        <v>51</v>
      </c>
      <c r="Y106" t="s">
        <v>52</v>
      </c>
      <c r="Z106" t="s">
        <v>53</v>
      </c>
      <c r="AA106" t="s">
        <v>53</v>
      </c>
      <c r="AC106" s="2">
        <v>0.52455622378969702</v>
      </c>
      <c r="AD106" s="2">
        <v>0.36029711365699801</v>
      </c>
      <c r="AE106" s="2">
        <v>0.348499715328217</v>
      </c>
      <c r="AF106" s="2">
        <v>0.18280605971813199</v>
      </c>
      <c r="AG106" s="2">
        <v>0.26875075697898898</v>
      </c>
      <c r="AH106" s="2">
        <v>-0.38195037841796903</v>
      </c>
      <c r="AI106" s="2">
        <v>0.22159668803214999</v>
      </c>
      <c r="AJ106" s="2">
        <v>0.51196123588582398</v>
      </c>
      <c r="AK106" s="2">
        <v>0.41418485752727602</v>
      </c>
      <c r="AL106" s="2">
        <v>0.39850797418699302</v>
      </c>
      <c r="AM106" s="2">
        <v>0.57381492853164695</v>
      </c>
      <c r="AN106" s="2">
        <v>0.56238704919815097</v>
      </c>
      <c r="AO106" s="2">
        <v>0.25968140363693198</v>
      </c>
      <c r="AP106" s="2">
        <v>0.61582314968109098</v>
      </c>
    </row>
    <row r="107" spans="1:42" x14ac:dyDescent="0.3">
      <c r="A107" t="s">
        <v>88</v>
      </c>
      <c r="B107" s="3">
        <v>2018</v>
      </c>
      <c r="C107" s="3">
        <v>1.4976259999999999</v>
      </c>
      <c r="D107" s="3">
        <v>2112.87</v>
      </c>
      <c r="E107" t="s">
        <v>89</v>
      </c>
      <c r="G107" s="3">
        <v>45715.8828125</v>
      </c>
      <c r="H107" s="3">
        <v>72410.015625</v>
      </c>
      <c r="I107" s="3">
        <v>78449.109375</v>
      </c>
      <c r="J107" s="3">
        <v>81802.4140625</v>
      </c>
      <c r="K107" s="3">
        <v>375457.625</v>
      </c>
      <c r="L107" s="3">
        <v>4.3774330988526301E-3</v>
      </c>
      <c r="M107" s="3">
        <v>0.73719906806945801</v>
      </c>
      <c r="N107" s="3">
        <v>0.62814939022064198</v>
      </c>
      <c r="O107" s="3">
        <v>38426</v>
      </c>
      <c r="P107" s="3">
        <v>93060.671875</v>
      </c>
      <c r="Q107" s="3">
        <v>1.06059741973877</v>
      </c>
      <c r="R107" s="3">
        <v>0.2935651242733</v>
      </c>
      <c r="S107" s="3">
        <v>0.47163704037666299</v>
      </c>
      <c r="T107" s="3">
        <v>0.48186478018760698</v>
      </c>
      <c r="U107" s="3">
        <v>0.46211180090904203</v>
      </c>
      <c r="W107" t="s">
        <v>50</v>
      </c>
      <c r="X107" t="s">
        <v>51</v>
      </c>
      <c r="Y107" t="s">
        <v>52</v>
      </c>
      <c r="Z107" t="s">
        <v>53</v>
      </c>
      <c r="AA107" t="s">
        <v>53</v>
      </c>
      <c r="AC107" s="2">
        <v>0.57602338703741796</v>
      </c>
      <c r="AD107" s="2">
        <v>0.36943516135215798</v>
      </c>
      <c r="AE107" s="2">
        <v>0.32632452249527</v>
      </c>
      <c r="AF107" s="2">
        <v>0.18942220509052299</v>
      </c>
      <c r="AG107" s="2">
        <v>0.29823955893516502</v>
      </c>
      <c r="AH107" s="2">
        <v>-0.42573291063308699</v>
      </c>
      <c r="AI107" s="2">
        <v>0.24231147766113301</v>
      </c>
      <c r="AJ107" s="2">
        <v>0.50974750161745497</v>
      </c>
      <c r="AK107" s="2">
        <v>0.49938056199935998</v>
      </c>
      <c r="AL107" s="2">
        <v>0.39730920983922202</v>
      </c>
      <c r="AM107" s="2">
        <v>0.58810114860534701</v>
      </c>
      <c r="AN107" s="2">
        <v>0.591441631317139</v>
      </c>
      <c r="AO107" s="2">
        <v>0.31720882654190102</v>
      </c>
      <c r="AP107" s="2">
        <v>0.72132593393325795</v>
      </c>
    </row>
    <row r="108" spans="1:42" x14ac:dyDescent="0.3">
      <c r="A108" t="s">
        <v>88</v>
      </c>
      <c r="B108" s="3">
        <v>2019</v>
      </c>
      <c r="C108" s="3">
        <v>1.48567</v>
      </c>
      <c r="D108" s="3">
        <v>2106.77</v>
      </c>
      <c r="E108" t="s">
        <v>89</v>
      </c>
      <c r="G108" s="3">
        <v>47453.66796875</v>
      </c>
      <c r="H108" s="3">
        <v>74950.8359375</v>
      </c>
      <c r="I108" s="3">
        <v>84471.203125</v>
      </c>
      <c r="J108" s="3">
        <v>87968.7734375</v>
      </c>
      <c r="K108" s="3">
        <v>424292.59375</v>
      </c>
      <c r="L108" s="3">
        <v>4.7411336563527601E-3</v>
      </c>
      <c r="M108" s="3">
        <v>0.75234681367874201</v>
      </c>
      <c r="N108" s="3">
        <v>0.61683136224746704</v>
      </c>
      <c r="O108" s="3">
        <v>38401.6015625</v>
      </c>
      <c r="P108" s="3">
        <v>90854.4296875</v>
      </c>
      <c r="Q108" s="3">
        <v>1.0525761842727701</v>
      </c>
      <c r="R108" s="3">
        <v>0.2935651242733</v>
      </c>
      <c r="S108" s="3">
        <v>0.45689696073532099</v>
      </c>
      <c r="T108" s="3">
        <v>0.45759645104408297</v>
      </c>
      <c r="U108" s="3">
        <v>0.43940272927284202</v>
      </c>
      <c r="W108" t="s">
        <v>50</v>
      </c>
      <c r="X108" t="s">
        <v>54</v>
      </c>
      <c r="Y108" t="s">
        <v>52</v>
      </c>
      <c r="Z108" t="s">
        <v>53</v>
      </c>
      <c r="AA108" t="s">
        <v>53</v>
      </c>
      <c r="AC108" s="2">
        <v>0.54168689951384497</v>
      </c>
      <c r="AD108" s="2">
        <v>0.35229587554931602</v>
      </c>
      <c r="AE108" s="2">
        <v>0.31257867813110402</v>
      </c>
      <c r="AF108" s="2">
        <v>0.18714176118373901</v>
      </c>
      <c r="AG108" s="2">
        <v>0.280342698097229</v>
      </c>
      <c r="AH108" s="2">
        <v>-0.37537688016891502</v>
      </c>
      <c r="AI108" s="2">
        <v>0.24301785230636599</v>
      </c>
      <c r="AJ108" s="2">
        <v>0.50391202755222797</v>
      </c>
      <c r="AK108" s="2">
        <v>0.45880360015698601</v>
      </c>
      <c r="AL108" s="2">
        <v>0.36839073220620699</v>
      </c>
      <c r="AM108" s="2">
        <v>0.57411956787109397</v>
      </c>
      <c r="AN108" s="2">
        <v>0.58130854368209794</v>
      </c>
      <c r="AO108" s="2">
        <v>0.29340749979019198</v>
      </c>
      <c r="AP108" s="2">
        <v>0.65508496761321999</v>
      </c>
    </row>
    <row r="109" spans="1:42" x14ac:dyDescent="0.3">
      <c r="A109" t="s">
        <v>88</v>
      </c>
      <c r="B109" s="3">
        <v>2020</v>
      </c>
      <c r="C109" s="3">
        <v>1.483077</v>
      </c>
      <c r="D109" s="3">
        <v>2054.5100000000002</v>
      </c>
      <c r="E109" t="s">
        <v>89</v>
      </c>
      <c r="G109" s="3">
        <v>47115.49609375</v>
      </c>
      <c r="H109" s="3">
        <v>77143.921875</v>
      </c>
      <c r="I109" s="3">
        <v>81760.7890625</v>
      </c>
      <c r="J109" s="3">
        <v>88086.828125</v>
      </c>
      <c r="K109" s="3">
        <v>494895.8125</v>
      </c>
      <c r="L109" s="3">
        <v>5.1746685057878503E-3</v>
      </c>
      <c r="M109" s="3">
        <v>0.72592818737029996</v>
      </c>
      <c r="N109" s="3">
        <v>0.60988479852676403</v>
      </c>
      <c r="O109" s="3">
        <v>36915.8828125</v>
      </c>
      <c r="P109" s="3">
        <v>87337.296875</v>
      </c>
      <c r="Q109" s="3">
        <v>0.98882597684860196</v>
      </c>
      <c r="R109" s="3">
        <v>0.2935651242733</v>
      </c>
      <c r="S109" s="3">
        <v>0.43554115295410201</v>
      </c>
      <c r="T109" s="3">
        <v>0.42261323332786599</v>
      </c>
      <c r="U109" s="3">
        <v>0.39226284623146102</v>
      </c>
      <c r="W109" t="s">
        <v>50</v>
      </c>
      <c r="X109" t="s">
        <v>54</v>
      </c>
      <c r="Y109" t="s">
        <v>52</v>
      </c>
      <c r="Z109" t="s">
        <v>53</v>
      </c>
      <c r="AA109" t="s">
        <v>53</v>
      </c>
      <c r="AC109" s="2">
        <v>0.50146206639336499</v>
      </c>
      <c r="AD109" s="2">
        <v>0.32712706923484802</v>
      </c>
      <c r="AE109" s="2">
        <v>0.34089571237564098</v>
      </c>
      <c r="AF109" s="2">
        <v>0.207748532295227</v>
      </c>
      <c r="AG109" s="2">
        <v>0.27004852890968301</v>
      </c>
      <c r="AH109" s="2">
        <v>-0.36575943231582603</v>
      </c>
      <c r="AI109" s="2">
        <v>0.21993961930274999</v>
      </c>
      <c r="AJ109" s="2">
        <v>0.50622697267691796</v>
      </c>
      <c r="AK109" s="2">
        <v>0.40232892646718799</v>
      </c>
      <c r="AL109" s="2">
        <v>0.32423715860617403</v>
      </c>
      <c r="AM109" s="2">
        <v>0.50833088159561202</v>
      </c>
      <c r="AN109" s="2">
        <v>0.55062925815582298</v>
      </c>
      <c r="AO109" s="2">
        <v>0.254591524600983</v>
      </c>
      <c r="AP109" s="2">
        <v>0.56014794111251798</v>
      </c>
    </row>
    <row r="110" spans="1:42" x14ac:dyDescent="0.3">
      <c r="A110" t="s">
        <v>90</v>
      </c>
      <c r="B110" s="3">
        <v>2015</v>
      </c>
      <c r="C110" s="3">
        <v>0.38534600000000002</v>
      </c>
      <c r="D110" s="3"/>
      <c r="E110" t="s">
        <v>91</v>
      </c>
      <c r="G110" s="3">
        <v>9915.8984375</v>
      </c>
      <c r="H110" s="3">
        <v>14180.2890625</v>
      </c>
      <c r="I110" s="3">
        <v>14031.267578125</v>
      </c>
      <c r="J110" s="3">
        <v>12490.4638671875</v>
      </c>
      <c r="K110" s="3">
        <v>73509.0625</v>
      </c>
      <c r="L110" s="3">
        <v>8.4438698831945701E-4</v>
      </c>
      <c r="M110" s="3"/>
      <c r="N110" s="3"/>
      <c r="O110" s="3">
        <v>9904.6484375</v>
      </c>
      <c r="P110" s="3">
        <v>13710.423828125</v>
      </c>
      <c r="Q110" s="3"/>
      <c r="R110" s="3">
        <v>0.39721027016639698</v>
      </c>
      <c r="S110" s="3">
        <v>0.89577299356460605</v>
      </c>
      <c r="T110" s="3">
        <v>0.83184731006622303</v>
      </c>
      <c r="U110" s="3">
        <v>0.93446272611617998</v>
      </c>
      <c r="W110" t="s">
        <v>50</v>
      </c>
      <c r="X110" t="s">
        <v>51</v>
      </c>
      <c r="Y110" t="s">
        <v>52</v>
      </c>
      <c r="Z110" t="s">
        <v>53</v>
      </c>
      <c r="AA110" t="s">
        <v>53</v>
      </c>
      <c r="AC110" s="2">
        <v>0.65787619046366896</v>
      </c>
      <c r="AD110" s="2">
        <v>0.63268011808395397</v>
      </c>
      <c r="AE110" s="2">
        <v>0.34141173958778398</v>
      </c>
      <c r="AF110" s="2">
        <v>0.161197349429131</v>
      </c>
      <c r="AG110" s="2">
        <v>0.57136487960815396</v>
      </c>
      <c r="AH110" s="2">
        <v>-0.70394909381866499</v>
      </c>
      <c r="AI110" s="2">
        <v>-2.7049807831644999E-3</v>
      </c>
      <c r="AJ110" s="2">
        <v>0.95372010316327704</v>
      </c>
      <c r="AK110" s="2">
        <v>0.68320220374890805</v>
      </c>
      <c r="AL110" s="2">
        <v>0.66833756763930197</v>
      </c>
      <c r="AM110" s="2">
        <v>0.59430432319641102</v>
      </c>
      <c r="AN110" s="2">
        <v>0.49287870526313798</v>
      </c>
      <c r="AO110" s="2">
        <v>0.49458482861518899</v>
      </c>
      <c r="AP110" s="2">
        <v>1.1132348775863601</v>
      </c>
    </row>
    <row r="111" spans="1:42" x14ac:dyDescent="0.3">
      <c r="A111" t="s">
        <v>90</v>
      </c>
      <c r="B111" s="3">
        <v>2016</v>
      </c>
      <c r="C111" s="3">
        <v>0.38805499999999998</v>
      </c>
      <c r="D111" s="3"/>
      <c r="E111" t="s">
        <v>91</v>
      </c>
      <c r="G111" s="3">
        <v>9912.3486328125</v>
      </c>
      <c r="H111" s="3">
        <v>14273.576171875</v>
      </c>
      <c r="I111" s="3">
        <v>13983.5751953125</v>
      </c>
      <c r="J111" s="3">
        <v>12260.6708984375</v>
      </c>
      <c r="K111" s="3">
        <v>74583.90625</v>
      </c>
      <c r="L111" s="3">
        <v>8.3334743976592996E-4</v>
      </c>
      <c r="M111" s="3"/>
      <c r="N111" s="3"/>
      <c r="O111" s="3">
        <v>9964.541015625</v>
      </c>
      <c r="P111" s="3">
        <v>13952.3994140625</v>
      </c>
      <c r="Q111" s="3"/>
      <c r="R111" s="3">
        <v>0.39721027016639698</v>
      </c>
      <c r="S111" s="3">
        <v>0.90045040845871005</v>
      </c>
      <c r="T111" s="3">
        <v>0.839918553829193</v>
      </c>
      <c r="U111" s="3">
        <v>0.95794630050659202</v>
      </c>
      <c r="W111" t="s">
        <v>50</v>
      </c>
      <c r="X111" t="s">
        <v>51</v>
      </c>
      <c r="Y111" t="s">
        <v>52</v>
      </c>
      <c r="Z111" t="s">
        <v>53</v>
      </c>
      <c r="AA111" t="s">
        <v>53</v>
      </c>
      <c r="AC111" s="2">
        <v>0.65996624924320901</v>
      </c>
      <c r="AD111" s="2">
        <v>0.65204781293868996</v>
      </c>
      <c r="AE111" s="2">
        <v>0.355708688497543</v>
      </c>
      <c r="AF111" s="2">
        <v>0.156419232487679</v>
      </c>
      <c r="AG111" s="2">
        <v>0.55042278766632102</v>
      </c>
      <c r="AH111" s="2">
        <v>-0.73692202568054199</v>
      </c>
      <c r="AI111" s="2">
        <v>2.2323481738567401E-2</v>
      </c>
      <c r="AJ111" s="2">
        <v>0.95717786357849899</v>
      </c>
      <c r="AK111" s="2">
        <v>0.70233969441911104</v>
      </c>
      <c r="AL111" s="2">
        <v>0.66397685919375005</v>
      </c>
      <c r="AM111" s="2">
        <v>0.57811331748962402</v>
      </c>
      <c r="AN111" s="2">
        <v>0.48778289556503301</v>
      </c>
      <c r="AO111" s="2">
        <v>0.50354665517806996</v>
      </c>
      <c r="AP111" s="2">
        <v>1.09966003894806</v>
      </c>
    </row>
    <row r="112" spans="1:42" x14ac:dyDescent="0.3">
      <c r="A112" t="s">
        <v>90</v>
      </c>
      <c r="B112" s="3">
        <v>2017</v>
      </c>
      <c r="C112" s="3">
        <v>0.39048500000000003</v>
      </c>
      <c r="D112" s="3"/>
      <c r="E112" t="s">
        <v>91</v>
      </c>
      <c r="G112" s="3">
        <v>10687.59765625</v>
      </c>
      <c r="H112" s="3">
        <v>15518.7412109375</v>
      </c>
      <c r="I112" s="3">
        <v>14480.578125</v>
      </c>
      <c r="J112" s="3">
        <v>12653.9501953125</v>
      </c>
      <c r="K112" s="3">
        <v>77483.171875</v>
      </c>
      <c r="L112" s="3">
        <v>8.4487680578604297E-4</v>
      </c>
      <c r="M112" s="3"/>
      <c r="N112" s="3"/>
      <c r="O112" s="3">
        <v>10746.7958984375</v>
      </c>
      <c r="P112" s="3">
        <v>15118.07421875</v>
      </c>
      <c r="Q112" s="3"/>
      <c r="R112" s="3">
        <v>0.39721027016639698</v>
      </c>
      <c r="S112" s="3">
        <v>0.90787553787231501</v>
      </c>
      <c r="T112" s="3">
        <v>0.84504079818725597</v>
      </c>
      <c r="U112" s="3">
        <v>0.96702456474304199</v>
      </c>
      <c r="W112" t="s">
        <v>51</v>
      </c>
      <c r="X112" t="s">
        <v>51</v>
      </c>
      <c r="Y112" t="s">
        <v>52</v>
      </c>
      <c r="Z112" t="s">
        <v>53</v>
      </c>
      <c r="AA112" t="s">
        <v>53</v>
      </c>
      <c r="AC112" s="2">
        <v>0.641791361872601</v>
      </c>
      <c r="AD112" s="2">
        <v>0.66091269254684504</v>
      </c>
      <c r="AE112" s="2">
        <v>0.38178935647010798</v>
      </c>
      <c r="AF112" s="2">
        <v>0.183692961931229</v>
      </c>
      <c r="AG112" s="2">
        <v>0.53827977180481001</v>
      </c>
      <c r="AH112" s="2">
        <v>-0.77164542675018299</v>
      </c>
      <c r="AI112" s="2">
        <v>6.9706407375633699E-3</v>
      </c>
      <c r="AJ112" s="2">
        <v>0.98591809657065499</v>
      </c>
      <c r="AK112" s="2">
        <v>0.70603595532222196</v>
      </c>
      <c r="AL112" s="2">
        <v>0.62708467443924798</v>
      </c>
      <c r="AM112" s="2">
        <v>0.57994884252548196</v>
      </c>
      <c r="AN112" s="2">
        <v>0.50313895940780595</v>
      </c>
      <c r="AO112" s="2">
        <v>0.51048475503921498</v>
      </c>
      <c r="AP112" s="2">
        <v>1.08925485610962</v>
      </c>
    </row>
    <row r="113" spans="1:42" x14ac:dyDescent="0.3">
      <c r="A113" t="s">
        <v>90</v>
      </c>
      <c r="B113" s="3">
        <v>2018</v>
      </c>
      <c r="C113" s="3">
        <v>0.39271699999999998</v>
      </c>
      <c r="D113" s="3"/>
      <c r="E113" t="s">
        <v>91</v>
      </c>
      <c r="G113" s="3">
        <v>10534.6611328125</v>
      </c>
      <c r="H113" s="3">
        <v>15053.5517578125</v>
      </c>
      <c r="I113" s="3">
        <v>14406.0068359375</v>
      </c>
      <c r="J113" s="3">
        <v>12549.0751953125</v>
      </c>
      <c r="K113" s="3">
        <v>77895.4765625</v>
      </c>
      <c r="L113" s="3">
        <v>8.2816940266639005E-4</v>
      </c>
      <c r="M113" s="3"/>
      <c r="N113" s="3"/>
      <c r="O113" s="3">
        <v>10774.5986328125</v>
      </c>
      <c r="P113" s="3">
        <v>14942.34765625</v>
      </c>
      <c r="Q113" s="3"/>
      <c r="R113" s="3">
        <v>0.39721027016639698</v>
      </c>
      <c r="S113" s="3">
        <v>0.93739163875579801</v>
      </c>
      <c r="T113" s="3">
        <v>0.875732421875</v>
      </c>
      <c r="U113" s="3">
        <v>1.0053176879882799</v>
      </c>
      <c r="W113" t="s">
        <v>67</v>
      </c>
      <c r="X113" t="s">
        <v>51</v>
      </c>
      <c r="Y113" t="s">
        <v>52</v>
      </c>
      <c r="Z113" t="s">
        <v>53</v>
      </c>
      <c r="AA113" t="s">
        <v>53</v>
      </c>
      <c r="AC113" s="2">
        <v>0.64732432140886398</v>
      </c>
      <c r="AD113" s="2">
        <v>0.65158283710479703</v>
      </c>
      <c r="AE113" s="2">
        <v>0.36009749770164501</v>
      </c>
      <c r="AF113" s="2">
        <v>0.18789421021938299</v>
      </c>
      <c r="AG113" s="2">
        <v>0.54957187175750699</v>
      </c>
      <c r="AH113" s="2">
        <v>-0.74943816661834695</v>
      </c>
      <c r="AI113" s="2">
        <v>2.91773962089792E-4</v>
      </c>
      <c r="AJ113" s="2">
        <v>1.03146661133217</v>
      </c>
      <c r="AK113" s="2">
        <v>0.73198928928075702</v>
      </c>
      <c r="AL113" s="2">
        <v>0.61115689211283797</v>
      </c>
      <c r="AM113" s="2">
        <v>0.65561169385910001</v>
      </c>
      <c r="AN113" s="2">
        <v>0.54145592451095603</v>
      </c>
      <c r="AO113" s="2">
        <v>0.53582888841628995</v>
      </c>
      <c r="AP113" s="2">
        <v>1.08574402332306</v>
      </c>
    </row>
    <row r="114" spans="1:42" x14ac:dyDescent="0.3">
      <c r="A114" t="s">
        <v>90</v>
      </c>
      <c r="B114" s="3">
        <v>2019</v>
      </c>
      <c r="C114" s="3">
        <v>0.394675</v>
      </c>
      <c r="D114" s="3"/>
      <c r="E114" t="s">
        <v>91</v>
      </c>
      <c r="G114" s="3">
        <v>10293.953125</v>
      </c>
      <c r="H114" s="3">
        <v>14804.13671875</v>
      </c>
      <c r="I114" s="3">
        <v>14787.8359375</v>
      </c>
      <c r="J114" s="3">
        <v>12953.9052734375</v>
      </c>
      <c r="K114" s="3">
        <v>77381.890625</v>
      </c>
      <c r="L114" s="3">
        <v>7.9734437167644501E-4</v>
      </c>
      <c r="M114" s="3"/>
      <c r="N114" s="3"/>
      <c r="O114" s="3">
        <v>10015.357421875</v>
      </c>
      <c r="P114" s="3">
        <v>14251.494140625</v>
      </c>
      <c r="Q114" s="3"/>
      <c r="R114" s="3">
        <v>0.39721027016639698</v>
      </c>
      <c r="S114" s="3">
        <v>0.93390607833862305</v>
      </c>
      <c r="T114" s="3">
        <v>0.88019609451294001</v>
      </c>
      <c r="U114" s="3">
        <v>1.0048085451126101</v>
      </c>
      <c r="W114" t="s">
        <v>67</v>
      </c>
      <c r="X114" t="s">
        <v>54</v>
      </c>
      <c r="Y114" t="s">
        <v>52</v>
      </c>
      <c r="Z114" t="s">
        <v>53</v>
      </c>
      <c r="AA114" t="s">
        <v>53</v>
      </c>
      <c r="AC114" s="2">
        <v>0.65281377756147196</v>
      </c>
      <c r="AD114" s="2">
        <v>0.58128297328948997</v>
      </c>
      <c r="AE114" s="2">
        <v>0.34817171096801802</v>
      </c>
      <c r="AF114" s="2">
        <v>0.21337719261646301</v>
      </c>
      <c r="AG114" s="2">
        <v>0.54517447948455799</v>
      </c>
      <c r="AH114" s="2">
        <v>-0.70109307765960704</v>
      </c>
      <c r="AI114" s="2">
        <v>1.30867017433047E-2</v>
      </c>
      <c r="AJ114" s="2">
        <v>1.0593480652179901</v>
      </c>
      <c r="AK114" s="2">
        <v>0.75760953797568098</v>
      </c>
      <c r="AL114" s="2">
        <v>0.592176542185057</v>
      </c>
      <c r="AM114" s="2">
        <v>0.65548539161682096</v>
      </c>
      <c r="AN114" s="2">
        <v>0.53004527091980003</v>
      </c>
      <c r="AO114" s="2">
        <v>0.56054323911666903</v>
      </c>
      <c r="AP114" s="2">
        <v>1.1192326545715301</v>
      </c>
    </row>
    <row r="115" spans="1:42" x14ac:dyDescent="0.3">
      <c r="A115" t="s">
        <v>90</v>
      </c>
      <c r="B115" s="3">
        <v>2020</v>
      </c>
      <c r="C115" s="3">
        <v>0.39586300000000002</v>
      </c>
      <c r="D115" s="3"/>
      <c r="E115" t="s">
        <v>91</v>
      </c>
      <c r="G115" s="3">
        <v>9185.5283203125</v>
      </c>
      <c r="H115" s="3">
        <v>12327.1884765625</v>
      </c>
      <c r="I115" s="3">
        <v>11404.248046875</v>
      </c>
      <c r="J115" s="3">
        <v>9804.9208984375</v>
      </c>
      <c r="K115" s="3">
        <v>77429.7578125</v>
      </c>
      <c r="L115" s="3">
        <v>7.6450651977211204E-4</v>
      </c>
      <c r="M115" s="3"/>
      <c r="N115" s="3"/>
      <c r="O115" s="3">
        <v>8666.5732421875</v>
      </c>
      <c r="P115" s="3">
        <v>11714.9580078125</v>
      </c>
      <c r="Q115" s="3"/>
      <c r="R115" s="3">
        <v>0.39721027016639698</v>
      </c>
      <c r="S115" s="3">
        <v>0.91024690866470304</v>
      </c>
      <c r="T115" s="3">
        <v>0.87320047616958596</v>
      </c>
      <c r="U115" s="3">
        <v>1.0156322717666599</v>
      </c>
      <c r="W115" t="s">
        <v>67</v>
      </c>
      <c r="X115" t="s">
        <v>54</v>
      </c>
      <c r="Y115" t="s">
        <v>52</v>
      </c>
      <c r="Z115" t="s">
        <v>53</v>
      </c>
      <c r="AA115" t="s">
        <v>53</v>
      </c>
      <c r="AC115" s="2">
        <v>0.654404141617554</v>
      </c>
      <c r="AD115" s="2">
        <v>0.62758713960647605</v>
      </c>
      <c r="AE115" s="2">
        <v>0.320416659116745</v>
      </c>
      <c r="AF115" s="2">
        <v>0.30924123525619501</v>
      </c>
      <c r="AG115" s="2">
        <v>0.39366662502288802</v>
      </c>
      <c r="AH115" s="2">
        <v>-0.66448223590850797</v>
      </c>
      <c r="AI115" s="2">
        <v>1.35706178843975E-2</v>
      </c>
      <c r="AJ115" s="2">
        <v>1.0596452057588499</v>
      </c>
      <c r="AK115" s="2">
        <v>0.76488460199323605</v>
      </c>
      <c r="AL115" s="2">
        <v>0.60705180347513299</v>
      </c>
      <c r="AM115" s="2">
        <v>0.62537360191345204</v>
      </c>
      <c r="AN115" s="2">
        <v>0.51493644714355502</v>
      </c>
      <c r="AO115" s="2">
        <v>0.56734615564346302</v>
      </c>
      <c r="AP115" s="2">
        <v>0.93237411975860596</v>
      </c>
    </row>
    <row r="116" spans="1:42" x14ac:dyDescent="0.3">
      <c r="A116" t="s">
        <v>92</v>
      </c>
      <c r="B116" s="3">
        <v>2015</v>
      </c>
      <c r="C116" s="3">
        <v>3.5185409999999999</v>
      </c>
      <c r="D116" s="3">
        <v>2115.37</v>
      </c>
      <c r="E116" t="s">
        <v>93</v>
      </c>
      <c r="G116" s="3">
        <v>45164.6796875</v>
      </c>
      <c r="H116" s="3">
        <v>55091.28515625</v>
      </c>
      <c r="I116" s="3">
        <v>44802.328125</v>
      </c>
      <c r="J116" s="3">
        <v>44578.5546875</v>
      </c>
      <c r="K116" s="3">
        <v>148386.546875</v>
      </c>
      <c r="L116" s="3">
        <v>1.7177077243104601E-3</v>
      </c>
      <c r="M116" s="3"/>
      <c r="N116" s="3"/>
      <c r="O116" s="3">
        <v>45202.0234375</v>
      </c>
      <c r="P116" s="3">
        <v>53937.70703125</v>
      </c>
      <c r="Q116" s="3"/>
      <c r="R116" s="3">
        <v>0.67110228538513195</v>
      </c>
      <c r="S116" s="3">
        <v>0.36784520745277399</v>
      </c>
      <c r="T116" s="3">
        <v>0.36614951491355902</v>
      </c>
      <c r="U116" s="3">
        <v>0.36798757314682001</v>
      </c>
      <c r="W116" t="s">
        <v>50</v>
      </c>
      <c r="X116" t="s">
        <v>51</v>
      </c>
      <c r="Y116" t="s">
        <v>52</v>
      </c>
      <c r="Z116" t="s">
        <v>53</v>
      </c>
      <c r="AA116" t="s">
        <v>53</v>
      </c>
      <c r="AC116" s="2">
        <v>0.54099514970122098</v>
      </c>
      <c r="AD116" s="2">
        <v>0.73338299989700295</v>
      </c>
      <c r="AE116" s="2">
        <v>0.22267667949199699</v>
      </c>
      <c r="AF116" s="2">
        <v>0.27976512908935502</v>
      </c>
      <c r="AG116" s="2">
        <v>0.23457154631614699</v>
      </c>
      <c r="AH116" s="2">
        <v>-0.42136657238006597</v>
      </c>
      <c r="AI116" s="2">
        <v>-4.9029774963855702E-2</v>
      </c>
      <c r="AJ116" s="2">
        <v>0.39793059180835699</v>
      </c>
      <c r="AK116" s="2">
        <v>0.35843443951598303</v>
      </c>
      <c r="AL116" s="2">
        <v>0.288978637747627</v>
      </c>
      <c r="AM116" s="2">
        <v>0.55086970329284701</v>
      </c>
      <c r="AN116" s="2">
        <v>0.46440592408180198</v>
      </c>
      <c r="AO116" s="2">
        <v>0.23183073103427901</v>
      </c>
      <c r="AP116" s="2">
        <v>0.41965523362159701</v>
      </c>
    </row>
    <row r="117" spans="1:42" x14ac:dyDescent="0.3">
      <c r="A117" t="s">
        <v>92</v>
      </c>
      <c r="B117" s="3">
        <v>2016</v>
      </c>
      <c r="C117" s="3">
        <v>3.4730029999999998</v>
      </c>
      <c r="D117" s="3">
        <v>2176.25</v>
      </c>
      <c r="E117" t="s">
        <v>93</v>
      </c>
      <c r="G117" s="3">
        <v>46342.01171875</v>
      </c>
      <c r="H117" s="3">
        <v>56562.5078125</v>
      </c>
      <c r="I117" s="3">
        <v>46761.5546875</v>
      </c>
      <c r="J117" s="3">
        <v>46293.21875</v>
      </c>
      <c r="K117" s="3">
        <v>142553.75</v>
      </c>
      <c r="L117" s="3">
        <v>1.6247213352471601E-3</v>
      </c>
      <c r="M117" s="3"/>
      <c r="N117" s="3"/>
      <c r="O117" s="3">
        <v>45968.984375</v>
      </c>
      <c r="P117" s="3">
        <v>55863.46875</v>
      </c>
      <c r="Q117" s="3"/>
      <c r="R117" s="3">
        <v>0.67110228538513195</v>
      </c>
      <c r="S117" s="3">
        <v>0.36287659406661998</v>
      </c>
      <c r="T117" s="3">
        <v>0.36604699492454501</v>
      </c>
      <c r="U117" s="3">
        <v>0.36975020170211798</v>
      </c>
      <c r="W117" t="s">
        <v>50</v>
      </c>
      <c r="X117" t="s">
        <v>51</v>
      </c>
      <c r="Y117" t="s">
        <v>52</v>
      </c>
      <c r="Z117" t="s">
        <v>53</v>
      </c>
      <c r="AA117" t="s">
        <v>53</v>
      </c>
      <c r="AC117" s="2">
        <v>0.56567010905123905</v>
      </c>
      <c r="AD117" s="2">
        <v>0.72948306798934903</v>
      </c>
      <c r="AE117" s="2">
        <v>0.220777347683907</v>
      </c>
      <c r="AF117" s="2">
        <v>0.27157089114189198</v>
      </c>
      <c r="AG117" s="2">
        <v>0.24467833340167999</v>
      </c>
      <c r="AH117" s="2">
        <v>-0.42118158936500599</v>
      </c>
      <c r="AI117" s="2">
        <v>-4.5328073203563697E-2</v>
      </c>
      <c r="AJ117" s="2">
        <v>0.39198487296706802</v>
      </c>
      <c r="AK117" s="2">
        <v>0.38042234054951501</v>
      </c>
      <c r="AL117" s="2">
        <v>0.28468708836669199</v>
      </c>
      <c r="AM117" s="2">
        <v>0.54264110326767001</v>
      </c>
      <c r="AN117" s="2">
        <v>0.45944544672965998</v>
      </c>
      <c r="AO117" s="2">
        <v>0.24382179975509599</v>
      </c>
      <c r="AP117" s="2">
        <v>0.44850885868072499</v>
      </c>
    </row>
    <row r="118" spans="1:42" x14ac:dyDescent="0.3">
      <c r="A118" t="s">
        <v>92</v>
      </c>
      <c r="B118" s="3">
        <v>2017</v>
      </c>
      <c r="C118" s="3">
        <v>3.4286819999999998</v>
      </c>
      <c r="D118" s="3">
        <v>2124.61</v>
      </c>
      <c r="E118" t="s">
        <v>93</v>
      </c>
      <c r="G118" s="3">
        <v>46437.125</v>
      </c>
      <c r="H118" s="3">
        <v>58254.546875</v>
      </c>
      <c r="I118" s="3">
        <v>48424.06640625</v>
      </c>
      <c r="J118" s="3">
        <v>47334.12109375</v>
      </c>
      <c r="K118" s="3">
        <v>156732.359375</v>
      </c>
      <c r="L118" s="3">
        <v>1.7401410732418301E-3</v>
      </c>
      <c r="M118" s="3"/>
      <c r="N118" s="3"/>
      <c r="O118" s="3">
        <v>46619.28125</v>
      </c>
      <c r="P118" s="3">
        <v>57705.44140625</v>
      </c>
      <c r="Q118" s="3"/>
      <c r="R118" s="3">
        <v>0.67110228538513195</v>
      </c>
      <c r="S118" s="3">
        <v>0.37754601240158098</v>
      </c>
      <c r="T118" s="3">
        <v>0.37845596671104398</v>
      </c>
      <c r="U118" s="3">
        <v>0.38717049360275302</v>
      </c>
      <c r="W118" t="s">
        <v>51</v>
      </c>
      <c r="X118" t="s">
        <v>51</v>
      </c>
      <c r="Y118" t="s">
        <v>52</v>
      </c>
      <c r="Z118" t="s">
        <v>53</v>
      </c>
      <c r="AA118" t="s">
        <v>53</v>
      </c>
      <c r="AC118" s="2">
        <v>0.57506325891908805</v>
      </c>
      <c r="AD118" s="2">
        <v>0.70888692140579201</v>
      </c>
      <c r="AE118" s="2">
        <v>0.24965968728065499</v>
      </c>
      <c r="AF118" s="2">
        <v>0.27216282486915599</v>
      </c>
      <c r="AG118" s="2">
        <v>0.27927446365356401</v>
      </c>
      <c r="AH118" s="2">
        <v>-0.46694621443748502</v>
      </c>
      <c r="AI118" s="2">
        <v>-4.3037634342908901E-2</v>
      </c>
      <c r="AJ118" s="2">
        <v>0.41236081876786301</v>
      </c>
      <c r="AK118" s="2">
        <v>0.38203162926404799</v>
      </c>
      <c r="AL118" s="2">
        <v>0.28686589279119101</v>
      </c>
      <c r="AM118" s="2">
        <v>0.55903512239456199</v>
      </c>
      <c r="AN118" s="2">
        <v>0.46699196100235002</v>
      </c>
      <c r="AO118" s="2">
        <v>0.243336752057076</v>
      </c>
      <c r="AP118" s="2">
        <v>0.43216183781623801</v>
      </c>
    </row>
    <row r="119" spans="1:42" x14ac:dyDescent="0.3">
      <c r="A119" t="s">
        <v>92</v>
      </c>
      <c r="B119" s="3">
        <v>2018</v>
      </c>
      <c r="C119" s="3">
        <v>3.387</v>
      </c>
      <c r="D119" s="3">
        <v>2141.9699999999998</v>
      </c>
      <c r="E119" t="s">
        <v>93</v>
      </c>
      <c r="G119" s="3">
        <v>46872.65234375</v>
      </c>
      <c r="H119" s="3">
        <v>59756.46484375</v>
      </c>
      <c r="I119" s="3">
        <v>50889.80078125</v>
      </c>
      <c r="J119" s="3">
        <v>49407.6640625</v>
      </c>
      <c r="K119" s="3">
        <v>170136.234375</v>
      </c>
      <c r="L119" s="3">
        <v>1.8498349236324399E-3</v>
      </c>
      <c r="M119" s="3"/>
      <c r="N119" s="3"/>
      <c r="O119" s="3">
        <v>47544.921875</v>
      </c>
      <c r="P119" s="3">
        <v>59138.00390625</v>
      </c>
      <c r="Q119" s="3"/>
      <c r="R119" s="3">
        <v>0.67110228538513195</v>
      </c>
      <c r="S119" s="3">
        <v>0.40648141503334001</v>
      </c>
      <c r="T119" s="3">
        <v>0.40251785516738903</v>
      </c>
      <c r="U119" s="3">
        <v>0.41459265351295499</v>
      </c>
      <c r="W119" t="s">
        <v>50</v>
      </c>
      <c r="X119" t="s">
        <v>51</v>
      </c>
      <c r="Y119" t="s">
        <v>52</v>
      </c>
      <c r="Z119" t="s">
        <v>53</v>
      </c>
      <c r="AA119" t="s">
        <v>53</v>
      </c>
      <c r="AC119" s="2">
        <v>0.55740041412010599</v>
      </c>
      <c r="AD119" s="2">
        <v>0.68678170442581199</v>
      </c>
      <c r="AE119" s="2">
        <v>0.26076546311378501</v>
      </c>
      <c r="AF119" s="2">
        <v>0.261910200119019</v>
      </c>
      <c r="AG119" s="2">
        <v>0.30540081858634999</v>
      </c>
      <c r="AH119" s="2">
        <v>-0.48525524139404302</v>
      </c>
      <c r="AI119" s="2">
        <v>-2.9602980241179501E-2</v>
      </c>
      <c r="AJ119" s="2">
        <v>0.442830231087397</v>
      </c>
      <c r="AK119" s="2">
        <v>0.388097911497991</v>
      </c>
      <c r="AL119" s="2">
        <v>0.311167445449203</v>
      </c>
      <c r="AM119" s="2">
        <v>0.56995540857315097</v>
      </c>
      <c r="AN119" s="2">
        <v>0.48227655887603799</v>
      </c>
      <c r="AO119" s="2">
        <v>0.25191110372543302</v>
      </c>
      <c r="AP119" s="2">
        <v>0.43063515424728399</v>
      </c>
    </row>
    <row r="120" spans="1:42" x14ac:dyDescent="0.3">
      <c r="A120" t="s">
        <v>92</v>
      </c>
      <c r="B120" s="3">
        <v>2019</v>
      </c>
      <c r="C120" s="3">
        <v>3.3455330000000001</v>
      </c>
      <c r="D120" s="3">
        <v>2131.5500000000002</v>
      </c>
      <c r="E120" t="s">
        <v>93</v>
      </c>
      <c r="G120" s="3">
        <v>49366.2578125</v>
      </c>
      <c r="H120" s="3">
        <v>63072.55859375</v>
      </c>
      <c r="I120" s="3">
        <v>55018.08203125</v>
      </c>
      <c r="J120" s="3">
        <v>53723.70703125</v>
      </c>
      <c r="K120" s="3">
        <v>173311.484375</v>
      </c>
      <c r="L120" s="3">
        <v>1.8327694851905101E-3</v>
      </c>
      <c r="M120" s="3"/>
      <c r="N120" s="3"/>
      <c r="O120" s="3">
        <v>48511.015625</v>
      </c>
      <c r="P120" s="3">
        <v>60870.69921875</v>
      </c>
      <c r="Q120" s="3"/>
      <c r="R120" s="3">
        <v>0.67110228538513195</v>
      </c>
      <c r="S120" s="3">
        <v>0.37348732352256803</v>
      </c>
      <c r="T120" s="3">
        <v>0.37228858470916798</v>
      </c>
      <c r="U120" s="3">
        <v>0.38125815987586997</v>
      </c>
      <c r="W120" t="s">
        <v>50</v>
      </c>
      <c r="X120" t="s">
        <v>54</v>
      </c>
      <c r="Y120" t="s">
        <v>52</v>
      </c>
      <c r="Z120" t="s">
        <v>53</v>
      </c>
      <c r="AA120" t="s">
        <v>53</v>
      </c>
      <c r="AC120" s="2">
        <v>0.53727313319838299</v>
      </c>
      <c r="AD120" s="2">
        <v>0.67089897394180298</v>
      </c>
      <c r="AE120" s="2">
        <v>0.25512576103210499</v>
      </c>
      <c r="AF120" s="2">
        <v>0.24799253046512601</v>
      </c>
      <c r="AG120" s="2">
        <v>0.28430855274200401</v>
      </c>
      <c r="AH120" s="2">
        <v>-0.45413982868194602</v>
      </c>
      <c r="AI120" s="2">
        <v>-4.1860039345920103E-3</v>
      </c>
      <c r="AJ120" s="2">
        <v>0.40452240661598099</v>
      </c>
      <c r="AK120" s="2">
        <v>0.36797102676474103</v>
      </c>
      <c r="AL120" s="2">
        <v>0.28952754986487</v>
      </c>
      <c r="AM120" s="2">
        <v>0.53670901060104403</v>
      </c>
      <c r="AN120" s="2">
        <v>0.45538848638534501</v>
      </c>
      <c r="AO120" s="2">
        <v>0.24647706747055101</v>
      </c>
      <c r="AP120" s="2">
        <v>0.41807529330253601</v>
      </c>
    </row>
    <row r="121" spans="1:42" x14ac:dyDescent="0.3">
      <c r="A121" t="s">
        <v>92</v>
      </c>
      <c r="B121" s="3">
        <v>2020</v>
      </c>
      <c r="C121" s="3">
        <v>3.2993489999999999</v>
      </c>
      <c r="D121" s="3">
        <v>2046.41</v>
      </c>
      <c r="E121" t="s">
        <v>93</v>
      </c>
      <c r="G121" s="3">
        <v>48315.37890625</v>
      </c>
      <c r="H121" s="3">
        <v>60459.90234375</v>
      </c>
      <c r="I121" s="3">
        <v>52280.3125</v>
      </c>
      <c r="J121" s="3">
        <v>51370.14453125</v>
      </c>
      <c r="K121" s="3">
        <v>180560.984375</v>
      </c>
      <c r="L121" s="3">
        <v>1.8188299145549501E-3</v>
      </c>
      <c r="M121" s="3"/>
      <c r="N121" s="3"/>
      <c r="O121" s="3">
        <v>47334.578125</v>
      </c>
      <c r="P121" s="3">
        <v>58612.80859375</v>
      </c>
      <c r="Q121" s="3"/>
      <c r="R121" s="3">
        <v>0.67110228538513195</v>
      </c>
      <c r="S121" s="3">
        <v>0.385983467102051</v>
      </c>
      <c r="T121" s="3">
        <v>0.38687664270401001</v>
      </c>
      <c r="U121" s="3">
        <v>0.39373129606246998</v>
      </c>
      <c r="W121" t="s">
        <v>50</v>
      </c>
      <c r="X121" t="s">
        <v>54</v>
      </c>
      <c r="Y121" t="s">
        <v>52</v>
      </c>
      <c r="Z121" t="s">
        <v>53</v>
      </c>
      <c r="AA121" t="s">
        <v>53</v>
      </c>
      <c r="AC121" s="2">
        <v>0.49833376960757497</v>
      </c>
      <c r="AD121" s="2">
        <v>0.67360043525695801</v>
      </c>
      <c r="AE121" s="2">
        <v>0.236412078142166</v>
      </c>
      <c r="AF121" s="2">
        <v>0.26693379878997803</v>
      </c>
      <c r="AG121" s="2">
        <v>0.249713599681854</v>
      </c>
      <c r="AH121" s="2">
        <v>-0.40483704209327698</v>
      </c>
      <c r="AI121" s="2">
        <v>-2.18228716403246E-2</v>
      </c>
      <c r="AJ121" s="2">
        <v>0.42055567684079398</v>
      </c>
      <c r="AK121" s="2">
        <v>0.39042998887103197</v>
      </c>
      <c r="AL121" s="2">
        <v>0.298741399327069</v>
      </c>
      <c r="AM121" s="2">
        <v>0.55399036407470703</v>
      </c>
      <c r="AN121" s="2">
        <v>0.47265526652336098</v>
      </c>
      <c r="AO121" s="2">
        <v>0.25294512510299699</v>
      </c>
      <c r="AP121" s="2">
        <v>0.43431457877159102</v>
      </c>
    </row>
    <row r="122" spans="1:42" x14ac:dyDescent="0.3">
      <c r="A122" t="s">
        <v>94</v>
      </c>
      <c r="B122" s="3">
        <v>2015</v>
      </c>
      <c r="C122" s="3">
        <v>9.4872929999999993</v>
      </c>
      <c r="D122" s="3">
        <v>1814.65</v>
      </c>
      <c r="E122" t="s">
        <v>95</v>
      </c>
      <c r="G122" s="3">
        <v>164745.796875</v>
      </c>
      <c r="H122" s="3">
        <v>199670</v>
      </c>
      <c r="I122" s="3">
        <v>206198.65625</v>
      </c>
      <c r="J122" s="3">
        <v>207594.59375</v>
      </c>
      <c r="K122" s="3">
        <v>595442.875</v>
      </c>
      <c r="L122" s="3">
        <v>7.1050687693059401E-3</v>
      </c>
      <c r="M122" s="3"/>
      <c r="N122" s="3"/>
      <c r="O122" s="3">
        <v>164228.171875</v>
      </c>
      <c r="P122" s="3">
        <v>222013.0625</v>
      </c>
      <c r="Q122" s="3"/>
      <c r="R122" s="3">
        <v>0.59322738647460904</v>
      </c>
      <c r="S122" s="3">
        <v>0.23233269155025499</v>
      </c>
      <c r="T122" s="3">
        <v>0.27378827333450301</v>
      </c>
      <c r="U122" s="3">
        <v>0.27194726467132602</v>
      </c>
      <c r="W122" t="s">
        <v>50</v>
      </c>
      <c r="X122" t="s">
        <v>51</v>
      </c>
      <c r="Y122" t="s">
        <v>52</v>
      </c>
      <c r="Z122" t="s">
        <v>53</v>
      </c>
      <c r="AA122" t="s">
        <v>53</v>
      </c>
      <c r="AC122" s="2">
        <v>0.61548578087201</v>
      </c>
      <c r="AD122" s="2">
        <v>0.53527462482452404</v>
      </c>
      <c r="AE122" s="2">
        <v>0.16823272407054901</v>
      </c>
      <c r="AF122" s="2">
        <v>0.25831925868987998</v>
      </c>
      <c r="AG122" s="2">
        <v>0.23389479517936701</v>
      </c>
      <c r="AH122" s="2">
        <v>-0.29170209169387801</v>
      </c>
      <c r="AI122" s="2">
        <v>9.5980644226074205E-2</v>
      </c>
      <c r="AJ122" s="2">
        <v>0.268644295599415</v>
      </c>
      <c r="AK122" s="2">
        <v>0.46934420231742602</v>
      </c>
      <c r="AL122" s="2">
        <v>0.15708981836422101</v>
      </c>
      <c r="AM122" s="2">
        <v>0.54907286167144798</v>
      </c>
      <c r="AN122" s="2">
        <v>0.500224649906158</v>
      </c>
      <c r="AO122" s="2">
        <v>0.34370616078376798</v>
      </c>
      <c r="AP122" s="2">
        <v>0.43182331323623702</v>
      </c>
    </row>
    <row r="123" spans="1:42" x14ac:dyDescent="0.3">
      <c r="A123" t="s">
        <v>94</v>
      </c>
      <c r="B123" s="3">
        <v>2016</v>
      </c>
      <c r="C123" s="3">
        <v>9.4990640000000006</v>
      </c>
      <c r="D123" s="3">
        <v>1806.66</v>
      </c>
      <c r="E123" t="s">
        <v>95</v>
      </c>
      <c r="G123" s="3">
        <v>162584.265625</v>
      </c>
      <c r="H123" s="3">
        <v>192364.03125</v>
      </c>
      <c r="I123" s="3">
        <v>199051.140625</v>
      </c>
      <c r="J123" s="3">
        <v>204843.9375</v>
      </c>
      <c r="K123" s="3">
        <v>598721.1875</v>
      </c>
      <c r="L123" s="3">
        <v>6.8791392259299798E-3</v>
      </c>
      <c r="M123" s="3"/>
      <c r="N123" s="3"/>
      <c r="O123" s="3">
        <v>160368.796875</v>
      </c>
      <c r="P123" s="3">
        <v>210279.265625</v>
      </c>
      <c r="Q123" s="3"/>
      <c r="R123" s="3">
        <v>0.58321350812911998</v>
      </c>
      <c r="S123" s="3">
        <v>0.205950066447258</v>
      </c>
      <c r="T123" s="3">
        <v>0.239755213260651</v>
      </c>
      <c r="U123" s="3">
        <v>0.23297515511512801</v>
      </c>
      <c r="W123" t="s">
        <v>50</v>
      </c>
      <c r="X123" t="s">
        <v>51</v>
      </c>
      <c r="Y123" t="s">
        <v>52</v>
      </c>
      <c r="Z123" t="s">
        <v>53</v>
      </c>
      <c r="AA123" t="s">
        <v>53</v>
      </c>
      <c r="AC123" s="2">
        <v>0.61624937656349998</v>
      </c>
      <c r="AD123" s="2">
        <v>0.51639729738235496</v>
      </c>
      <c r="AE123" s="2">
        <v>0.14537782967090601</v>
      </c>
      <c r="AF123" s="2">
        <v>0.27730089426040699</v>
      </c>
      <c r="AG123" s="2">
        <v>0.211141377687454</v>
      </c>
      <c r="AH123" s="2">
        <v>-0.26914811134338401</v>
      </c>
      <c r="AI123" s="2">
        <v>0.118930697441101</v>
      </c>
      <c r="AJ123" s="2">
        <v>0.24592356520804301</v>
      </c>
      <c r="AK123" s="2">
        <v>0.424316345709919</v>
      </c>
      <c r="AL123" s="2">
        <v>0.13151031471169999</v>
      </c>
      <c r="AM123" s="2">
        <v>0.544203341007233</v>
      </c>
      <c r="AN123" s="2">
        <v>0.50078362226486195</v>
      </c>
      <c r="AO123" s="2">
        <v>0.30488339066505399</v>
      </c>
      <c r="AP123" s="2">
        <v>0.37426185607910201</v>
      </c>
    </row>
    <row r="124" spans="1:42" x14ac:dyDescent="0.3">
      <c r="A124" t="s">
        <v>94</v>
      </c>
      <c r="B124" s="3">
        <v>2017</v>
      </c>
      <c r="C124" s="3">
        <v>9.4957899999999995</v>
      </c>
      <c r="D124" s="3">
        <v>1825.62</v>
      </c>
      <c r="E124" t="s">
        <v>95</v>
      </c>
      <c r="G124" s="3">
        <v>170660.171875</v>
      </c>
      <c r="H124" s="3">
        <v>202658.96875</v>
      </c>
      <c r="I124" s="3">
        <v>206501.625</v>
      </c>
      <c r="J124" s="3">
        <v>211805.03125</v>
      </c>
      <c r="K124" s="3">
        <v>608639.25</v>
      </c>
      <c r="L124" s="3">
        <v>6.8020755425095602E-3</v>
      </c>
      <c r="M124" s="3"/>
      <c r="N124" s="3"/>
      <c r="O124" s="3">
        <v>165859.265625</v>
      </c>
      <c r="P124" s="3">
        <v>220427.0625</v>
      </c>
      <c r="Q124" s="3"/>
      <c r="R124" s="3">
        <v>0.57858961820602395</v>
      </c>
      <c r="S124" s="3">
        <v>0.22481715679168701</v>
      </c>
      <c r="T124" s="3">
        <v>0.26501205563545199</v>
      </c>
      <c r="U124" s="3">
        <v>0.25837635993957497</v>
      </c>
      <c r="W124" t="s">
        <v>51</v>
      </c>
      <c r="X124" t="s">
        <v>51</v>
      </c>
      <c r="Y124" t="s">
        <v>52</v>
      </c>
      <c r="Z124" t="s">
        <v>53</v>
      </c>
      <c r="AA124" t="s">
        <v>53</v>
      </c>
      <c r="AC124" s="2">
        <v>0.61295554434218702</v>
      </c>
      <c r="AD124" s="2">
        <v>0.51750767230987604</v>
      </c>
      <c r="AE124" s="2">
        <v>0.151076659560204</v>
      </c>
      <c r="AF124" s="2">
        <v>0.28823414444923401</v>
      </c>
      <c r="AG124" s="2">
        <v>0.24483671784400901</v>
      </c>
      <c r="AH124" s="2">
        <v>-0.31153470277786299</v>
      </c>
      <c r="AI124" s="2">
        <v>0.109879530966282</v>
      </c>
      <c r="AJ124" s="2">
        <v>0.271882627229455</v>
      </c>
      <c r="AK124" s="2">
        <v>0.47938460077984901</v>
      </c>
      <c r="AL124" s="2">
        <v>0.140313864246735</v>
      </c>
      <c r="AM124" s="2">
        <v>0.563851177692413</v>
      </c>
      <c r="AN124" s="2">
        <v>0.51883077621460005</v>
      </c>
      <c r="AO124" s="2">
        <v>0.342078477144241</v>
      </c>
      <c r="AP124" s="2">
        <v>0.42300575971603399</v>
      </c>
    </row>
    <row r="125" spans="1:42" x14ac:dyDescent="0.3">
      <c r="A125" t="s">
        <v>94</v>
      </c>
      <c r="B125" s="3">
        <v>2018</v>
      </c>
      <c r="C125" s="3">
        <v>9.4800310000000003</v>
      </c>
      <c r="D125" s="3">
        <v>1843.25</v>
      </c>
      <c r="E125" t="s">
        <v>95</v>
      </c>
      <c r="G125" s="3">
        <v>168738.765625</v>
      </c>
      <c r="H125" s="3">
        <v>207667.96875</v>
      </c>
      <c r="I125" s="3">
        <v>213273.5625</v>
      </c>
      <c r="J125" s="3">
        <v>215686.828125</v>
      </c>
      <c r="K125" s="3">
        <v>765443.0625</v>
      </c>
      <c r="L125" s="3">
        <v>8.2081155851483397E-3</v>
      </c>
      <c r="M125" s="3"/>
      <c r="N125" s="3"/>
      <c r="O125" s="3">
        <v>175875.5</v>
      </c>
      <c r="P125" s="3">
        <v>232741.796875</v>
      </c>
      <c r="Q125" s="3"/>
      <c r="R125" s="3">
        <v>0.59387898445129395</v>
      </c>
      <c r="S125" s="3">
        <v>0.24651804566383401</v>
      </c>
      <c r="T125" s="3">
        <v>0.28147426247596702</v>
      </c>
      <c r="U125" s="3">
        <v>0.27832493185996998</v>
      </c>
      <c r="W125" t="s">
        <v>50</v>
      </c>
      <c r="X125" t="s">
        <v>51</v>
      </c>
      <c r="Y125" t="s">
        <v>52</v>
      </c>
      <c r="Z125" t="s">
        <v>53</v>
      </c>
      <c r="AA125" t="s">
        <v>53</v>
      </c>
      <c r="AC125" s="2">
        <v>0.63884820580199597</v>
      </c>
      <c r="AD125" s="2">
        <v>0.53009647130966198</v>
      </c>
      <c r="AE125" s="2">
        <v>0.18048948049545299</v>
      </c>
      <c r="AF125" s="2">
        <v>0.25223577022552501</v>
      </c>
      <c r="AG125" s="2">
        <v>0.27131453156471302</v>
      </c>
      <c r="AH125" s="2">
        <v>-0.33842566609382602</v>
      </c>
      <c r="AI125" s="2">
        <v>0.104289390146732</v>
      </c>
      <c r="AJ125" s="2">
        <v>0.28117917653672098</v>
      </c>
      <c r="AK125" s="2">
        <v>0.43299207751757801</v>
      </c>
      <c r="AL125" s="2">
        <v>0.173674522635729</v>
      </c>
      <c r="AM125" s="2">
        <v>0.57632833719253496</v>
      </c>
      <c r="AN125" s="2">
        <v>0.52619296312332198</v>
      </c>
      <c r="AO125" s="2">
        <v>0.29298093914985701</v>
      </c>
      <c r="AP125" s="2">
        <v>0.351199120283127</v>
      </c>
    </row>
    <row r="126" spans="1:42" x14ac:dyDescent="0.3">
      <c r="A126" t="s">
        <v>94</v>
      </c>
      <c r="B126" s="3">
        <v>2019</v>
      </c>
      <c r="C126" s="3">
        <v>9.4354189999999996</v>
      </c>
      <c r="D126" s="3">
        <v>1848.48</v>
      </c>
      <c r="E126" t="s">
        <v>95</v>
      </c>
      <c r="G126" s="3">
        <v>184549.015625</v>
      </c>
      <c r="H126" s="3">
        <v>231753.671875</v>
      </c>
      <c r="I126" s="3">
        <v>231854.171875</v>
      </c>
      <c r="J126" s="3">
        <v>237203.484375</v>
      </c>
      <c r="K126" s="3">
        <v>938820.5</v>
      </c>
      <c r="L126" s="3">
        <v>9.4975782558322005E-3</v>
      </c>
      <c r="M126" s="3"/>
      <c r="N126" s="3"/>
      <c r="O126" s="3">
        <v>182876.46875</v>
      </c>
      <c r="P126" s="3">
        <v>244011.84375</v>
      </c>
      <c r="Q126" s="3"/>
      <c r="R126" s="3">
        <v>0.59693241119384799</v>
      </c>
      <c r="S126" s="3">
        <v>0.247125044465065</v>
      </c>
      <c r="T126" s="3">
        <v>0.27780461311340299</v>
      </c>
      <c r="U126" s="3">
        <v>0.27153965830802901</v>
      </c>
      <c r="W126" t="s">
        <v>50</v>
      </c>
      <c r="X126" t="s">
        <v>54</v>
      </c>
      <c r="Y126" t="s">
        <v>52</v>
      </c>
      <c r="Z126" t="s">
        <v>53</v>
      </c>
      <c r="AA126" t="s">
        <v>53</v>
      </c>
      <c r="AC126" s="2">
        <v>0.64780761310505297</v>
      </c>
      <c r="AD126" s="2">
        <v>0.507044076919556</v>
      </c>
      <c r="AE126" s="2">
        <v>0.19900491833686801</v>
      </c>
      <c r="AF126" s="2">
        <v>0.27097576856613198</v>
      </c>
      <c r="AG126" s="2">
        <v>0.24732533097267201</v>
      </c>
      <c r="AH126" s="2">
        <v>-0.32603403925895702</v>
      </c>
      <c r="AI126" s="2">
        <v>0.101683929562569</v>
      </c>
      <c r="AJ126" s="2">
        <v>0.28899422105353501</v>
      </c>
      <c r="AK126" s="2">
        <v>0.39774797374201298</v>
      </c>
      <c r="AL126" s="2">
        <v>0.16878031454702</v>
      </c>
      <c r="AM126" s="2">
        <v>0.56173729896545399</v>
      </c>
      <c r="AN126" s="2">
        <v>0.51045405864715598</v>
      </c>
      <c r="AO126" s="2">
        <v>0.25515615940094</v>
      </c>
      <c r="AP126" s="2">
        <v>0.31091076135635398</v>
      </c>
    </row>
    <row r="127" spans="1:42" x14ac:dyDescent="0.3">
      <c r="A127" t="s">
        <v>94</v>
      </c>
      <c r="B127" s="3">
        <v>2020</v>
      </c>
      <c r="C127" s="3">
        <v>9.3509440000000001</v>
      </c>
      <c r="D127" s="3">
        <v>1816.28</v>
      </c>
      <c r="E127" t="s">
        <v>95</v>
      </c>
      <c r="G127" s="3">
        <v>190985.203125</v>
      </c>
      <c r="H127" s="3">
        <v>241718.0625</v>
      </c>
      <c r="I127" s="3">
        <v>250082.375</v>
      </c>
      <c r="J127" s="3">
        <v>250980.5</v>
      </c>
      <c r="K127" s="3">
        <v>1170744</v>
      </c>
      <c r="L127" s="3">
        <v>1.08593925833702E-2</v>
      </c>
      <c r="M127" s="3"/>
      <c r="N127" s="3"/>
      <c r="O127" s="3">
        <v>180573.546875</v>
      </c>
      <c r="P127" s="3">
        <v>237703</v>
      </c>
      <c r="Q127" s="3"/>
      <c r="R127" s="3">
        <v>0.59192341566085804</v>
      </c>
      <c r="S127" s="3">
        <v>0.22237077355384799</v>
      </c>
      <c r="T127" s="3">
        <v>0.245405822992325</v>
      </c>
      <c r="U127" s="3">
        <v>0.244527667760849</v>
      </c>
      <c r="W127" t="s">
        <v>50</v>
      </c>
      <c r="X127" t="s">
        <v>54</v>
      </c>
      <c r="Y127" t="s">
        <v>52</v>
      </c>
      <c r="Z127" t="s">
        <v>53</v>
      </c>
      <c r="AA127" t="s">
        <v>53</v>
      </c>
      <c r="AC127" s="2">
        <v>0.65582424353551305</v>
      </c>
      <c r="AD127" s="2">
        <v>0.49592137336731001</v>
      </c>
      <c r="AE127" s="2">
        <v>0.202138647437096</v>
      </c>
      <c r="AF127" s="2">
        <v>0.26503500342369102</v>
      </c>
      <c r="AG127" s="2">
        <v>0.22316646575927701</v>
      </c>
      <c r="AH127" s="2">
        <v>-0.28003007173538202</v>
      </c>
      <c r="AI127" s="2">
        <v>9.3768574297428103E-2</v>
      </c>
      <c r="AJ127" s="2">
        <v>0.25756179057106898</v>
      </c>
      <c r="AK127" s="2">
        <v>0.33212187144133498</v>
      </c>
      <c r="AL127" s="2">
        <v>0.15652295885465001</v>
      </c>
      <c r="AM127" s="2">
        <v>0.52545881271362305</v>
      </c>
      <c r="AN127" s="2">
        <v>0.47143247723579401</v>
      </c>
      <c r="AO127" s="2">
        <v>0.19895493984222401</v>
      </c>
      <c r="AP127" s="2">
        <v>0.27386030554771401</v>
      </c>
    </row>
    <row r="128" spans="1:42" x14ac:dyDescent="0.3">
      <c r="A128" t="s">
        <v>96</v>
      </c>
      <c r="B128" s="3">
        <v>2015</v>
      </c>
      <c r="C128" s="3">
        <v>0.35633300000000001</v>
      </c>
      <c r="D128" s="3"/>
      <c r="E128" t="s">
        <v>97</v>
      </c>
      <c r="G128" s="3">
        <v>3046.95068359375</v>
      </c>
      <c r="H128" s="3">
        <v>3601.00903320313</v>
      </c>
      <c r="I128" s="3">
        <v>3776.12451171875</v>
      </c>
      <c r="J128" s="3">
        <v>3409.50219726563</v>
      </c>
      <c r="K128" s="3">
        <v>7895.64501953125</v>
      </c>
      <c r="L128" s="3"/>
      <c r="M128" s="3"/>
      <c r="N128" s="3"/>
      <c r="O128" s="3">
        <v>3458.71704101563</v>
      </c>
      <c r="P128" s="3">
        <v>4223.8046875</v>
      </c>
      <c r="Q128" s="3"/>
      <c r="R128" s="3"/>
      <c r="S128" s="3">
        <v>0.57101511955261197</v>
      </c>
      <c r="T128" s="3">
        <v>0.58484297990798995</v>
      </c>
      <c r="U128" s="3">
        <v>0.64773088693618797</v>
      </c>
      <c r="W128" t="s">
        <v>50</v>
      </c>
      <c r="X128" t="s">
        <v>51</v>
      </c>
      <c r="Y128" t="s">
        <v>52</v>
      </c>
      <c r="Z128" t="s">
        <v>53</v>
      </c>
      <c r="AC128" s="2">
        <v>0.59772062112715296</v>
      </c>
      <c r="AD128" s="2">
        <v>0.69367647171020497</v>
      </c>
      <c r="AE128" s="2">
        <v>0.16250415146350899</v>
      </c>
      <c r="AF128" s="2">
        <v>0.199987888336182</v>
      </c>
      <c r="AG128" s="2">
        <v>0.61607885360717796</v>
      </c>
      <c r="AH128" s="2">
        <v>-0.72793084383010898</v>
      </c>
      <c r="AI128" s="2">
        <v>5.5683534592390102E-2</v>
      </c>
      <c r="AJ128" s="2">
        <v>0.57631483944947604</v>
      </c>
      <c r="AK128" s="2">
        <v>0.66088680779725195</v>
      </c>
      <c r="AL128" s="2">
        <v>0.552632666616099</v>
      </c>
      <c r="AM128" s="2">
        <v>0.538393914699554</v>
      </c>
      <c r="AN128" s="2">
        <v>0.463949084281921</v>
      </c>
      <c r="AO128" s="2">
        <v>0.44271036982536299</v>
      </c>
      <c r="AP128" s="2"/>
    </row>
    <row r="129" spans="1:42" x14ac:dyDescent="0.3">
      <c r="A129" t="s">
        <v>96</v>
      </c>
      <c r="B129" s="3">
        <v>2016</v>
      </c>
      <c r="C129" s="3">
        <v>0.364705</v>
      </c>
      <c r="D129" s="3"/>
      <c r="E129" t="s">
        <v>97</v>
      </c>
      <c r="G129" s="3">
        <v>3026.38305664063</v>
      </c>
      <c r="H129" s="3">
        <v>3655.376953125</v>
      </c>
      <c r="I129" s="3">
        <v>3763.66577148438</v>
      </c>
      <c r="J129" s="3">
        <v>3379.97827148438</v>
      </c>
      <c r="K129" s="3">
        <v>8848.5341796875</v>
      </c>
      <c r="L129" s="3"/>
      <c r="M129" s="3"/>
      <c r="N129" s="3"/>
      <c r="O129" s="3">
        <v>3522.41430664063</v>
      </c>
      <c r="P129" s="3">
        <v>4369.482421875</v>
      </c>
      <c r="Q129" s="3"/>
      <c r="R129" s="3"/>
      <c r="S129" s="3">
        <v>0.59089142084121704</v>
      </c>
      <c r="T129" s="3">
        <v>0.59922415018081698</v>
      </c>
      <c r="U129" s="3">
        <v>0.66724675893783603</v>
      </c>
      <c r="W129" t="s">
        <v>50</v>
      </c>
      <c r="X129" t="s">
        <v>51</v>
      </c>
      <c r="Y129" t="s">
        <v>52</v>
      </c>
      <c r="Z129" t="s">
        <v>53</v>
      </c>
      <c r="AC129" s="2">
        <v>0.54705226060073098</v>
      </c>
      <c r="AD129" s="2">
        <v>0.67992454767227195</v>
      </c>
      <c r="AE129" s="2">
        <v>0.18609407544136</v>
      </c>
      <c r="AF129" s="2">
        <v>0.21546079218387601</v>
      </c>
      <c r="AG129" s="2">
        <v>0.57457500696182295</v>
      </c>
      <c r="AH129" s="2">
        <v>-0.70354866981506403</v>
      </c>
      <c r="AI129" s="2">
        <v>4.7494176775217098E-2</v>
      </c>
      <c r="AJ129" s="2">
        <v>0.601564486545762</v>
      </c>
      <c r="AK129" s="2">
        <v>0.63931681864151402</v>
      </c>
      <c r="AL129" s="2">
        <v>0.55721072779452996</v>
      </c>
      <c r="AM129" s="2">
        <v>0.54555511474609397</v>
      </c>
      <c r="AN129" s="2">
        <v>0.46330061554908802</v>
      </c>
      <c r="AO129" s="2">
        <v>0.41264325380325301</v>
      </c>
      <c r="AP129" s="2"/>
    </row>
    <row r="130" spans="1:42" x14ac:dyDescent="0.3">
      <c r="A130" t="s">
        <v>96</v>
      </c>
      <c r="B130" s="3">
        <v>2017</v>
      </c>
      <c r="C130" s="3">
        <v>0.37320199999999998</v>
      </c>
      <c r="D130" s="3"/>
      <c r="E130" t="s">
        <v>97</v>
      </c>
      <c r="G130" s="3">
        <v>2956.10693359375</v>
      </c>
      <c r="H130" s="3">
        <v>3498.40747070313</v>
      </c>
      <c r="I130" s="3">
        <v>3702.12084960938</v>
      </c>
      <c r="J130" s="3">
        <v>3339.71264648438</v>
      </c>
      <c r="K130" s="3">
        <v>9627.314453125</v>
      </c>
      <c r="L130" s="3"/>
      <c r="M130" s="3"/>
      <c r="N130" s="3"/>
      <c r="O130" s="3">
        <v>3527.26806640625</v>
      </c>
      <c r="P130" s="3">
        <v>4249.28515625</v>
      </c>
      <c r="Q130" s="3"/>
      <c r="R130" s="3"/>
      <c r="S130" s="3">
        <v>0.613874971866608</v>
      </c>
      <c r="T130" s="3">
        <v>0.61620324850082397</v>
      </c>
      <c r="U130" s="3">
        <v>0.68307042121887196</v>
      </c>
      <c r="W130" t="s">
        <v>51</v>
      </c>
      <c r="X130" t="s">
        <v>51</v>
      </c>
      <c r="Y130" t="s">
        <v>52</v>
      </c>
      <c r="Z130" t="s">
        <v>53</v>
      </c>
      <c r="AC130" s="2">
        <v>0.484095093104776</v>
      </c>
      <c r="AD130" s="2">
        <v>0.65450394153595004</v>
      </c>
      <c r="AE130" s="2">
        <v>0.16237936913967099</v>
      </c>
      <c r="AF130" s="2">
        <v>0.23063419759273501</v>
      </c>
      <c r="AG130" s="2">
        <v>0.61483883857727095</v>
      </c>
      <c r="AH130" s="2">
        <v>-0.69839066267013605</v>
      </c>
      <c r="AI130" s="2">
        <v>3.6034412682056399E-2</v>
      </c>
      <c r="AJ130" s="2">
        <v>0.63507296573070704</v>
      </c>
      <c r="AK130" s="2">
        <v>0.62889461340261099</v>
      </c>
      <c r="AL130" s="2">
        <v>0.55371843119175002</v>
      </c>
      <c r="AM130" s="2">
        <v>0.54967755079269398</v>
      </c>
      <c r="AN130" s="2">
        <v>0.465341806411743</v>
      </c>
      <c r="AO130" s="2">
        <v>0.39558884501457198</v>
      </c>
      <c r="AP130" s="2"/>
    </row>
    <row r="131" spans="1:42" x14ac:dyDescent="0.3">
      <c r="A131" t="s">
        <v>96</v>
      </c>
      <c r="B131" s="3">
        <v>2018</v>
      </c>
      <c r="C131" s="3">
        <v>0.38022600000000001</v>
      </c>
      <c r="D131" s="3"/>
      <c r="E131" t="s">
        <v>97</v>
      </c>
      <c r="G131" s="3">
        <v>3205.59106445313</v>
      </c>
      <c r="H131" s="3">
        <v>3842.40673828125</v>
      </c>
      <c r="I131" s="3">
        <v>3928.29614257813</v>
      </c>
      <c r="J131" s="3">
        <v>3515.49853515625</v>
      </c>
      <c r="K131" s="3">
        <v>10400.2744140625</v>
      </c>
      <c r="L131" s="3"/>
      <c r="M131" s="3"/>
      <c r="N131" s="3"/>
      <c r="O131" s="3">
        <v>3621.173828125</v>
      </c>
      <c r="P131" s="3">
        <v>4399.72705078125</v>
      </c>
      <c r="Q131" s="3"/>
      <c r="R131" s="3"/>
      <c r="S131" s="3">
        <v>0.58609271049499501</v>
      </c>
      <c r="T131" s="3">
        <v>0.58752876520156905</v>
      </c>
      <c r="U131" s="3">
        <v>0.65651768445968595</v>
      </c>
      <c r="W131" t="s">
        <v>50</v>
      </c>
      <c r="X131" t="s">
        <v>51</v>
      </c>
      <c r="Y131" t="s">
        <v>52</v>
      </c>
      <c r="Z131" t="s">
        <v>53</v>
      </c>
      <c r="AC131" s="2">
        <v>0.48286304119146101</v>
      </c>
      <c r="AD131" s="2">
        <v>0.66803979873657204</v>
      </c>
      <c r="AE131" s="2">
        <v>0.18114520609378801</v>
      </c>
      <c r="AF131" s="2">
        <v>0.243805572390556</v>
      </c>
      <c r="AG131" s="2">
        <v>0.60359722375869795</v>
      </c>
      <c r="AH131" s="2">
        <v>-0.69387871026992798</v>
      </c>
      <c r="AI131" s="2">
        <v>-2.70906742662191E-3</v>
      </c>
      <c r="AJ131" s="2">
        <v>0.61054284177394702</v>
      </c>
      <c r="AK131" s="2">
        <v>0.59475752566126106</v>
      </c>
      <c r="AL131" s="2">
        <v>0.519098044977928</v>
      </c>
      <c r="AM131" s="2">
        <v>0.55732887983322099</v>
      </c>
      <c r="AN131" s="2">
        <v>0.46156382560730003</v>
      </c>
      <c r="AO131" s="2">
        <v>0.38998991250991799</v>
      </c>
      <c r="AP131" s="2"/>
    </row>
    <row r="132" spans="1:42" x14ac:dyDescent="0.3">
      <c r="A132" t="s">
        <v>96</v>
      </c>
      <c r="B132" s="3">
        <v>2019</v>
      </c>
      <c r="C132" s="3">
        <v>0.38582899999999998</v>
      </c>
      <c r="D132" s="3"/>
      <c r="E132" t="s">
        <v>97</v>
      </c>
      <c r="G132" s="3">
        <v>3524.61547851563</v>
      </c>
      <c r="H132" s="3">
        <v>4252.6953125</v>
      </c>
      <c r="I132" s="3">
        <v>4361.796875</v>
      </c>
      <c r="J132" s="3">
        <v>3948.26000976563</v>
      </c>
      <c r="K132" s="3">
        <v>11191.12109375</v>
      </c>
      <c r="L132" s="3"/>
      <c r="M132" s="3"/>
      <c r="N132" s="3"/>
      <c r="O132" s="3">
        <v>3741.36401367188</v>
      </c>
      <c r="P132" s="3">
        <v>4566.72900390625</v>
      </c>
      <c r="Q132" s="3"/>
      <c r="R132" s="3"/>
      <c r="S132" s="3">
        <v>0.55045849084854104</v>
      </c>
      <c r="T132" s="3">
        <v>0.55081605911254905</v>
      </c>
      <c r="U132" s="3">
        <v>0.60850793123245195</v>
      </c>
      <c r="W132" t="s">
        <v>50</v>
      </c>
      <c r="X132" t="s">
        <v>54</v>
      </c>
      <c r="Y132" t="s">
        <v>52</v>
      </c>
      <c r="Z132" t="s">
        <v>53</v>
      </c>
      <c r="AC132" s="2">
        <v>0.47975128880069101</v>
      </c>
      <c r="AD132" s="2">
        <v>0.66325014829635598</v>
      </c>
      <c r="AE132" s="2">
        <v>0.184405297040939</v>
      </c>
      <c r="AF132" s="2">
        <v>0.22945079207420399</v>
      </c>
      <c r="AG132" s="2">
        <v>0.56785273551940896</v>
      </c>
      <c r="AH132" s="2">
        <v>-0.65415400266647294</v>
      </c>
      <c r="AI132" s="2">
        <v>9.1950250789523107E-3</v>
      </c>
      <c r="AJ132" s="2">
        <v>0.569767006452919</v>
      </c>
      <c r="AK132" s="2">
        <v>0.55254689136981106</v>
      </c>
      <c r="AL132" s="2">
        <v>0.49464538426545201</v>
      </c>
      <c r="AM132" s="2">
        <v>0.55247616767883301</v>
      </c>
      <c r="AN132" s="2">
        <v>0.46487483382224998</v>
      </c>
      <c r="AO132" s="2">
        <v>0.37598860263824502</v>
      </c>
      <c r="AP132" s="2"/>
    </row>
    <row r="133" spans="1:42" x14ac:dyDescent="0.3">
      <c r="A133" t="s">
        <v>96</v>
      </c>
      <c r="B133" s="3">
        <v>2020</v>
      </c>
      <c r="C133" s="3">
        <v>0.39081199999999999</v>
      </c>
      <c r="D133" s="3"/>
      <c r="E133" t="s">
        <v>97</v>
      </c>
      <c r="G133" s="3">
        <v>3150.54541015625</v>
      </c>
      <c r="H133" s="3">
        <v>3888.748046875</v>
      </c>
      <c r="I133" s="3">
        <v>3934.1728515625</v>
      </c>
      <c r="J133" s="3">
        <v>3745.69604492188</v>
      </c>
      <c r="K133" s="3">
        <v>11946.9990234375</v>
      </c>
      <c r="L133" s="3"/>
      <c r="M133" s="3"/>
      <c r="N133" s="3"/>
      <c r="O133" s="3">
        <v>3182.6748046875</v>
      </c>
      <c r="P133" s="3">
        <v>3961.837890625</v>
      </c>
      <c r="Q133" s="3"/>
      <c r="R133" s="3"/>
      <c r="S133" s="3">
        <v>0.52455049753189098</v>
      </c>
      <c r="T133" s="3">
        <v>0.52242922782898005</v>
      </c>
      <c r="U133" s="3">
        <v>0.54871696233749401</v>
      </c>
      <c r="W133" t="s">
        <v>50</v>
      </c>
      <c r="X133" t="s">
        <v>54</v>
      </c>
      <c r="Y133" t="s">
        <v>52</v>
      </c>
      <c r="Z133" t="s">
        <v>53</v>
      </c>
      <c r="AC133" s="2">
        <v>0.471722257767485</v>
      </c>
      <c r="AD133" s="2">
        <v>0.64914649724960305</v>
      </c>
      <c r="AE133" s="2">
        <v>0.19708025455474901</v>
      </c>
      <c r="AF133" s="2">
        <v>0.19196435809135401</v>
      </c>
      <c r="AG133" s="2">
        <v>0.41102385520935097</v>
      </c>
      <c r="AH133" s="2">
        <v>-0.52419686317443903</v>
      </c>
      <c r="AI133" s="2">
        <v>7.4981942772865295E-2</v>
      </c>
      <c r="AJ133" s="2">
        <v>0.534156039855886</v>
      </c>
      <c r="AK133" s="2">
        <v>0.51337570437193603</v>
      </c>
      <c r="AL133" s="2">
        <v>0.49206853309058501</v>
      </c>
      <c r="AM133" s="2">
        <v>0.50049227476119995</v>
      </c>
      <c r="AN133" s="2">
        <v>0.458840131759644</v>
      </c>
      <c r="AO133" s="2">
        <v>0.35640138387680098</v>
      </c>
      <c r="AP133" s="2"/>
    </row>
    <row r="134" spans="1:42" x14ac:dyDescent="0.3">
      <c r="A134" t="s">
        <v>98</v>
      </c>
      <c r="B134" s="3">
        <v>2015</v>
      </c>
      <c r="C134" s="3">
        <v>6.3464000000000007E-2</v>
      </c>
      <c r="D134" s="3"/>
      <c r="E134" t="s">
        <v>99</v>
      </c>
      <c r="G134" s="3">
        <v>2960.72924804688</v>
      </c>
      <c r="H134" s="3">
        <v>3731.66259765625</v>
      </c>
      <c r="I134" s="3">
        <v>5012.826171875</v>
      </c>
      <c r="J134" s="3">
        <v>3174.08154296875</v>
      </c>
      <c r="K134" s="3">
        <v>11859.6572265625</v>
      </c>
      <c r="L134" s="3">
        <v>1.5081322635523999E-4</v>
      </c>
      <c r="M134" s="3"/>
      <c r="N134" s="3"/>
      <c r="O134" s="3">
        <v>3553.83154296875</v>
      </c>
      <c r="P134" s="3">
        <v>4291.169921875</v>
      </c>
      <c r="Q134" s="3"/>
      <c r="R134" s="3">
        <v>0.61186677217483498</v>
      </c>
      <c r="S134" s="3">
        <v>1.4058684110641499</v>
      </c>
      <c r="T134" s="3">
        <v>1.32750296592712</v>
      </c>
      <c r="U134" s="3">
        <v>2.09652519226074</v>
      </c>
      <c r="W134" t="s">
        <v>50</v>
      </c>
      <c r="X134" t="s">
        <v>51</v>
      </c>
      <c r="Y134" t="s">
        <v>52</v>
      </c>
      <c r="Z134" t="s">
        <v>53</v>
      </c>
      <c r="AA134" t="s">
        <v>53</v>
      </c>
      <c r="AC134" s="2">
        <v>0.57718608960993401</v>
      </c>
      <c r="AD134" s="2">
        <v>0.75754368305206299</v>
      </c>
      <c r="AE134" s="2">
        <v>0.242883890867233</v>
      </c>
      <c r="AF134" s="2">
        <v>0.17523929476738001</v>
      </c>
      <c r="AG134" s="2">
        <v>4.8140520229935698E-3</v>
      </c>
      <c r="AH134" s="2">
        <v>-0.57435125112533603</v>
      </c>
      <c r="AI134" s="2">
        <v>0.39387038350105302</v>
      </c>
      <c r="AJ134" s="2">
        <v>1.3850535568522699</v>
      </c>
      <c r="AK134" s="2">
        <v>1.02654431943649</v>
      </c>
      <c r="AL134" s="2">
        <v>1.4958491398715099</v>
      </c>
      <c r="AM134" s="2">
        <v>0.56428796052932695</v>
      </c>
      <c r="AN134" s="2">
        <v>0.50953465700149503</v>
      </c>
      <c r="AO134" s="2">
        <v>0.82400721311569203</v>
      </c>
      <c r="AP134" s="2">
        <v>2.2881343364715598</v>
      </c>
    </row>
    <row r="135" spans="1:42" x14ac:dyDescent="0.3">
      <c r="A135" t="s">
        <v>98</v>
      </c>
      <c r="B135" s="3">
        <v>2016</v>
      </c>
      <c r="C135" s="3">
        <v>6.3449000000000005E-2</v>
      </c>
      <c r="D135" s="3"/>
      <c r="E135" t="s">
        <v>99</v>
      </c>
      <c r="G135" s="3">
        <v>3052.80444335938</v>
      </c>
      <c r="H135" s="3">
        <v>3832.88647460938</v>
      </c>
      <c r="I135" s="3">
        <v>5096.88232421875</v>
      </c>
      <c r="J135" s="3">
        <v>3069.23754882813</v>
      </c>
      <c r="K135" s="3">
        <v>11366.0771484375</v>
      </c>
      <c r="L135" s="3">
        <v>1.3904318620916499E-4</v>
      </c>
      <c r="M135" s="3"/>
      <c r="N135" s="3"/>
      <c r="O135" s="3">
        <v>3619.41162109375</v>
      </c>
      <c r="P135" s="3">
        <v>4434.22705078125</v>
      </c>
      <c r="Q135" s="3"/>
      <c r="R135" s="3">
        <v>0.59542250633239802</v>
      </c>
      <c r="S135" s="3">
        <v>1.4102985858917201</v>
      </c>
      <c r="T135" s="3">
        <v>1.3537513017654399</v>
      </c>
      <c r="U135" s="3">
        <v>2.24808645248413</v>
      </c>
      <c r="W135" t="s">
        <v>50</v>
      </c>
      <c r="X135" t="s">
        <v>51</v>
      </c>
      <c r="Y135" t="s">
        <v>52</v>
      </c>
      <c r="Z135" t="s">
        <v>53</v>
      </c>
      <c r="AA135" t="s">
        <v>53</v>
      </c>
      <c r="AC135" s="2">
        <v>0.59665177197591601</v>
      </c>
      <c r="AD135" s="2">
        <v>0.81254643201828003</v>
      </c>
      <c r="AE135" s="2">
        <v>0.254161536693573</v>
      </c>
      <c r="AF135" s="2">
        <v>0.18209944665432001</v>
      </c>
      <c r="AG135" s="2">
        <v>4.6553807333111798E-3</v>
      </c>
      <c r="AH135" s="2">
        <v>-0.64103996753692605</v>
      </c>
      <c r="AI135" s="2">
        <v>0.38757717609405501</v>
      </c>
      <c r="AJ135" s="2">
        <v>1.3907407778918099</v>
      </c>
      <c r="AK135" s="2">
        <v>1.1324572942020199</v>
      </c>
      <c r="AL135" s="2">
        <v>1.4975673414306501</v>
      </c>
      <c r="AM135" s="2">
        <v>0.58210492134094205</v>
      </c>
      <c r="AN135" s="2">
        <v>0.493736952543259</v>
      </c>
      <c r="AO135" s="2">
        <v>0.87965172529220603</v>
      </c>
      <c r="AP135" s="2">
        <v>2.59871602058411</v>
      </c>
    </row>
    <row r="136" spans="1:42" x14ac:dyDescent="0.3">
      <c r="A136" t="s">
        <v>98</v>
      </c>
      <c r="B136" s="3">
        <v>2017</v>
      </c>
      <c r="C136" s="3">
        <v>6.3577999999999996E-2</v>
      </c>
      <c r="D136" s="3"/>
      <c r="E136" t="s">
        <v>99</v>
      </c>
      <c r="G136" s="3">
        <v>3128.20092773438</v>
      </c>
      <c r="H136" s="3">
        <v>3920.78662109375</v>
      </c>
      <c r="I136" s="3">
        <v>5137.93701171875</v>
      </c>
      <c r="J136" s="3">
        <v>3112.76977539063</v>
      </c>
      <c r="K136" s="3">
        <v>10997.8125</v>
      </c>
      <c r="L136" s="3">
        <v>1.3172057515475899E-4</v>
      </c>
      <c r="M136" s="3"/>
      <c r="N136" s="3"/>
      <c r="O136" s="3">
        <v>3674.82666015625</v>
      </c>
      <c r="P136" s="3">
        <v>4569.66015625</v>
      </c>
      <c r="Q136" s="3"/>
      <c r="R136" s="3">
        <v>0.59902536869049094</v>
      </c>
      <c r="S136" s="3">
        <v>1.4225162267684901</v>
      </c>
      <c r="T136" s="3">
        <v>1.38568103313446</v>
      </c>
      <c r="U136" s="3">
        <v>2.2872049808502202</v>
      </c>
      <c r="W136" t="s">
        <v>51</v>
      </c>
      <c r="X136" t="s">
        <v>51</v>
      </c>
      <c r="Y136" t="s">
        <v>52</v>
      </c>
      <c r="Z136" t="s">
        <v>53</v>
      </c>
      <c r="AA136" t="s">
        <v>53</v>
      </c>
      <c r="AC136" s="2">
        <v>0.60776167896548705</v>
      </c>
      <c r="AD136" s="2">
        <v>0.81932908296585105</v>
      </c>
      <c r="AE136" s="2">
        <v>0.25462391972541798</v>
      </c>
      <c r="AF136" s="2">
        <v>0.18562826514244099</v>
      </c>
      <c r="AG136" s="2">
        <v>6.8227630108594903E-3</v>
      </c>
      <c r="AH136" s="2">
        <v>-0.65309381484985396</v>
      </c>
      <c r="AI136" s="2">
        <v>0.38668975234031699</v>
      </c>
      <c r="AJ136" s="2">
        <v>1.4191926911307799</v>
      </c>
      <c r="AK136" s="2">
        <v>1.24029882577335</v>
      </c>
      <c r="AL136" s="2">
        <v>1.43718572088481</v>
      </c>
      <c r="AM136" s="2">
        <v>0.55289274454116799</v>
      </c>
      <c r="AN136" s="2">
        <v>0.53037410974502597</v>
      </c>
      <c r="AO136" s="2">
        <v>0.94048434495925903</v>
      </c>
      <c r="AP136" s="2">
        <v>2.7040133476257302</v>
      </c>
    </row>
    <row r="137" spans="1:42" x14ac:dyDescent="0.3">
      <c r="A137" t="s">
        <v>98</v>
      </c>
      <c r="B137" s="3">
        <v>2018</v>
      </c>
      <c r="C137" s="3">
        <v>6.3830999999999999E-2</v>
      </c>
      <c r="D137" s="3"/>
      <c r="E137" t="s">
        <v>99</v>
      </c>
      <c r="G137" s="3">
        <v>3246.27172851563</v>
      </c>
      <c r="H137" s="3">
        <v>4058.3037109375</v>
      </c>
      <c r="I137" s="3">
        <v>5387.662109375</v>
      </c>
      <c r="J137" s="3">
        <v>3389.98583984375</v>
      </c>
      <c r="K137" s="3">
        <v>11520.6318359375</v>
      </c>
      <c r="L137" s="3">
        <v>1.33760535391048E-4</v>
      </c>
      <c r="M137" s="3"/>
      <c r="N137" s="3"/>
      <c r="O137" s="3">
        <v>3631.50903320313</v>
      </c>
      <c r="P137" s="3">
        <v>4503.57080078125</v>
      </c>
      <c r="Q137" s="3"/>
      <c r="R137" s="3">
        <v>0.59155493974685702</v>
      </c>
      <c r="S137" s="3">
        <v>1.3782099485397299</v>
      </c>
      <c r="T137" s="3">
        <v>1.3412082195282</v>
      </c>
      <c r="U137" s="3">
        <v>2.1315655708313002</v>
      </c>
      <c r="W137" t="s">
        <v>50</v>
      </c>
      <c r="X137" t="s">
        <v>51</v>
      </c>
      <c r="Y137" t="s">
        <v>52</v>
      </c>
      <c r="Z137" t="s">
        <v>53</v>
      </c>
      <c r="AA137" t="s">
        <v>53</v>
      </c>
      <c r="AC137" s="2">
        <v>0.60934242866374799</v>
      </c>
      <c r="AD137" s="2">
        <v>0.78232324123382602</v>
      </c>
      <c r="AE137" s="2">
        <v>0.23953844606876401</v>
      </c>
      <c r="AF137" s="2">
        <v>0.17528304457664501</v>
      </c>
      <c r="AG137" s="2">
        <v>1.18389036506414E-2</v>
      </c>
      <c r="AH137" s="2">
        <v>-0.60063219070434604</v>
      </c>
      <c r="AI137" s="2">
        <v>0.39164853096008301</v>
      </c>
      <c r="AJ137" s="2">
        <v>1.3674469529994699</v>
      </c>
      <c r="AK137" s="2">
        <v>1.1932858963206201</v>
      </c>
      <c r="AL137" s="2">
        <v>1.4262472013298899</v>
      </c>
      <c r="AM137" s="2">
        <v>0.57090216875076305</v>
      </c>
      <c r="AN137" s="2">
        <v>0.52550995349884</v>
      </c>
      <c r="AO137" s="2">
        <v>0.93097662925720204</v>
      </c>
      <c r="AP137" s="2">
        <v>2.6089632511138898</v>
      </c>
    </row>
    <row r="138" spans="1:42" x14ac:dyDescent="0.3">
      <c r="A138" t="s">
        <v>98</v>
      </c>
      <c r="B138" s="3">
        <v>2019</v>
      </c>
      <c r="C138" s="3">
        <v>6.4106999999999997E-2</v>
      </c>
      <c r="D138" s="3"/>
      <c r="E138" t="s">
        <v>99</v>
      </c>
      <c r="G138" s="3">
        <v>3469.88989257813</v>
      </c>
      <c r="H138" s="3">
        <v>4397.14501953125</v>
      </c>
      <c r="I138" s="3">
        <v>5744.12646484375</v>
      </c>
      <c r="J138" s="3">
        <v>3759.41064453125</v>
      </c>
      <c r="K138" s="3">
        <v>11881.6240234375</v>
      </c>
      <c r="L138" s="3">
        <v>1.3275450328365001E-4</v>
      </c>
      <c r="M138" s="3"/>
      <c r="N138" s="3"/>
      <c r="O138" s="3">
        <v>3659.13134765625</v>
      </c>
      <c r="P138" s="3">
        <v>4627.64501953125</v>
      </c>
      <c r="Q138" s="3"/>
      <c r="R138" s="3">
        <v>0.59385609626769997</v>
      </c>
      <c r="S138" s="3">
        <v>1.3221838474273699</v>
      </c>
      <c r="T138" s="3">
        <v>1.29235744476318</v>
      </c>
      <c r="U138" s="3">
        <v>1.9746350049972501</v>
      </c>
      <c r="W138" t="s">
        <v>50</v>
      </c>
      <c r="X138" t="s">
        <v>54</v>
      </c>
      <c r="Y138" t="s">
        <v>52</v>
      </c>
      <c r="Z138" t="s">
        <v>53</v>
      </c>
      <c r="AA138" t="s">
        <v>53</v>
      </c>
      <c r="AC138" s="2">
        <v>0.60108196718754903</v>
      </c>
      <c r="AD138" s="2">
        <v>0.74238687753677401</v>
      </c>
      <c r="AE138" s="2">
        <v>0.24664910137653401</v>
      </c>
      <c r="AF138" s="2">
        <v>0.180600881576538</v>
      </c>
      <c r="AG138" s="2">
        <v>1.19086382910609E-2</v>
      </c>
      <c r="AH138" s="2">
        <v>-0.56299990415573098</v>
      </c>
      <c r="AI138" s="2">
        <v>0.381454437971115</v>
      </c>
      <c r="AJ138" s="2">
        <v>1.3178221174689799</v>
      </c>
      <c r="AK138" s="2">
        <v>1.1807438269183601</v>
      </c>
      <c r="AL138" s="2">
        <v>1.34011367527221</v>
      </c>
      <c r="AM138" s="2">
        <v>0.59934943914413497</v>
      </c>
      <c r="AN138" s="2">
        <v>0.52810740470886197</v>
      </c>
      <c r="AO138" s="2">
        <v>0.94223016500473</v>
      </c>
      <c r="AP138" s="2">
        <v>2.5831739902496298</v>
      </c>
    </row>
    <row r="139" spans="1:42" x14ac:dyDescent="0.3">
      <c r="A139" t="s">
        <v>98</v>
      </c>
      <c r="B139" s="3">
        <v>2020</v>
      </c>
      <c r="C139" s="3">
        <v>6.4381999999999995E-2</v>
      </c>
      <c r="D139" s="3"/>
      <c r="E139" t="s">
        <v>99</v>
      </c>
      <c r="G139" s="3">
        <v>3332.67602539063</v>
      </c>
      <c r="H139" s="3">
        <v>4045.064453125</v>
      </c>
      <c r="I139" s="3">
        <v>5466.6884765625</v>
      </c>
      <c r="J139" s="3">
        <v>3961.22583007813</v>
      </c>
      <c r="K139" s="3">
        <v>12079.48046875</v>
      </c>
      <c r="L139" s="3">
        <v>1.2880159192718601E-4</v>
      </c>
      <c r="M139" s="3"/>
      <c r="N139" s="3"/>
      <c r="O139" s="3">
        <v>3359.19702148438</v>
      </c>
      <c r="P139" s="3">
        <v>4102.75927734375</v>
      </c>
      <c r="Q139" s="3"/>
      <c r="R139" s="3">
        <v>0.61058574914932295</v>
      </c>
      <c r="S139" s="3">
        <v>1.2762298583984399</v>
      </c>
      <c r="T139" s="3">
        <v>1.25983881950378</v>
      </c>
      <c r="U139" s="3">
        <v>1.7386403083801301</v>
      </c>
      <c r="W139" t="s">
        <v>50</v>
      </c>
      <c r="X139" t="s">
        <v>54</v>
      </c>
      <c r="Y139" t="s">
        <v>52</v>
      </c>
      <c r="Z139" t="s">
        <v>53</v>
      </c>
      <c r="AA139" t="s">
        <v>53</v>
      </c>
      <c r="AC139" s="2">
        <v>0.59081018644861205</v>
      </c>
      <c r="AD139" s="2">
        <v>0.66491460800170898</v>
      </c>
      <c r="AE139" s="2">
        <v>0.17984040081500999</v>
      </c>
      <c r="AF139" s="2">
        <v>0.17640984058380099</v>
      </c>
      <c r="AG139" s="2">
        <v>9.0256957337260298E-3</v>
      </c>
      <c r="AH139" s="2">
        <v>-0.41560995578765902</v>
      </c>
      <c r="AI139" s="2">
        <v>0.38541945815086398</v>
      </c>
      <c r="AJ139" s="2">
        <v>1.2820867874992301</v>
      </c>
      <c r="AK139" s="2">
        <v>1.1831590173447599</v>
      </c>
      <c r="AL139" s="2">
        <v>1.2541541488324299</v>
      </c>
      <c r="AM139" s="2">
        <v>0.63428312540054299</v>
      </c>
      <c r="AN139" s="2">
        <v>0.53822946548461903</v>
      </c>
      <c r="AO139" s="2">
        <v>0.95402622222900402</v>
      </c>
      <c r="AP139" s="2">
        <v>2.47260570526123</v>
      </c>
    </row>
    <row r="140" spans="1:42" x14ac:dyDescent="0.3">
      <c r="A140" t="s">
        <v>100</v>
      </c>
      <c r="B140" s="3">
        <v>2015</v>
      </c>
      <c r="C140" s="3">
        <v>11.014704999999999</v>
      </c>
      <c r="D140" s="3">
        <v>2228.73</v>
      </c>
      <c r="E140" t="s">
        <v>101</v>
      </c>
      <c r="G140" s="3">
        <v>79255.21875</v>
      </c>
      <c r="H140" s="3">
        <v>93405.6015625</v>
      </c>
      <c r="I140" s="3">
        <v>87955.640625</v>
      </c>
      <c r="J140" s="3">
        <v>87745.1796875</v>
      </c>
      <c r="K140" s="3">
        <v>183645.109375</v>
      </c>
      <c r="L140" s="3">
        <v>2.69310083240271E-3</v>
      </c>
      <c r="M140" s="3">
        <v>0.44216993451118503</v>
      </c>
      <c r="N140" s="3">
        <v>0.45409983396530201</v>
      </c>
      <c r="O140" s="3">
        <v>84442.2890625</v>
      </c>
      <c r="P140" s="3">
        <v>101992.9765625</v>
      </c>
      <c r="Q140" s="3">
        <v>1.0990364551544201</v>
      </c>
      <c r="R140" s="3">
        <v>0.49844121932983398</v>
      </c>
      <c r="S140" s="3">
        <v>0.35773181915283198</v>
      </c>
      <c r="T140" s="3">
        <v>0.375191360712051</v>
      </c>
      <c r="U140" s="3">
        <v>0.37609133124351501</v>
      </c>
      <c r="W140" t="s">
        <v>50</v>
      </c>
      <c r="X140" t="s">
        <v>51</v>
      </c>
      <c r="Y140" t="s">
        <v>52</v>
      </c>
      <c r="Z140" t="s">
        <v>53</v>
      </c>
      <c r="AA140" t="s">
        <v>53</v>
      </c>
      <c r="AC140" s="2">
        <v>0.58337216908020695</v>
      </c>
      <c r="AD140" s="2">
        <v>0.772214114665985</v>
      </c>
      <c r="AE140" s="2">
        <v>0.161266773939133</v>
      </c>
      <c r="AF140" s="2">
        <v>0.13102883100509599</v>
      </c>
      <c r="AG140" s="2">
        <v>0.205723762512207</v>
      </c>
      <c r="AH140" s="2">
        <v>-0.23614838719368</v>
      </c>
      <c r="AI140" s="2">
        <v>-3.4085094928741497E-2</v>
      </c>
      <c r="AJ140" s="2">
        <v>0.33322442269048203</v>
      </c>
      <c r="AK140" s="2">
        <v>0.472980983626555</v>
      </c>
      <c r="AL140" s="2">
        <v>0.50216536632553699</v>
      </c>
      <c r="AM140" s="2">
        <v>0.49432066082954401</v>
      </c>
      <c r="AN140" s="2">
        <v>0.47503170371055597</v>
      </c>
      <c r="AO140" s="2">
        <v>0.30415606498718301</v>
      </c>
      <c r="AP140" s="2">
        <v>0.82112216949462902</v>
      </c>
    </row>
    <row r="141" spans="1:42" x14ac:dyDescent="0.3">
      <c r="A141" t="s">
        <v>100</v>
      </c>
      <c r="B141" s="3">
        <v>2016</v>
      </c>
      <c r="C141" s="3">
        <v>11.180020000000001</v>
      </c>
      <c r="D141" s="3">
        <v>2230.69</v>
      </c>
      <c r="E141" t="s">
        <v>101</v>
      </c>
      <c r="G141" s="3">
        <v>82947.625</v>
      </c>
      <c r="H141" s="3">
        <v>98755.453125</v>
      </c>
      <c r="I141" s="3">
        <v>91929.65625</v>
      </c>
      <c r="J141" s="3">
        <v>92502.3125</v>
      </c>
      <c r="K141" s="3">
        <v>198099.875</v>
      </c>
      <c r="L141" s="3">
        <v>2.80580599792302E-3</v>
      </c>
      <c r="M141" s="3">
        <v>0.443442672491074</v>
      </c>
      <c r="N141" s="3">
        <v>0.45770710706710799</v>
      </c>
      <c r="O141" s="3">
        <v>86995.3671875</v>
      </c>
      <c r="P141" s="3">
        <v>106391.6796875</v>
      </c>
      <c r="Q141" s="3">
        <v>1.0920591354370099</v>
      </c>
      <c r="R141" s="3">
        <v>0.49844121932983398</v>
      </c>
      <c r="S141" s="3">
        <v>0.35340562462806702</v>
      </c>
      <c r="T141" s="3">
        <v>0.36920759081840498</v>
      </c>
      <c r="U141" s="3">
        <v>0.36692190170288103</v>
      </c>
      <c r="W141" t="s">
        <v>50</v>
      </c>
      <c r="X141" t="s">
        <v>51</v>
      </c>
      <c r="Y141" t="s">
        <v>52</v>
      </c>
      <c r="Z141" t="s">
        <v>53</v>
      </c>
      <c r="AA141" t="s">
        <v>53</v>
      </c>
      <c r="AC141" s="2">
        <v>0.56474629350568595</v>
      </c>
      <c r="AD141" s="2">
        <v>0.76307654380798295</v>
      </c>
      <c r="AE141" s="2">
        <v>0.17089116573333701</v>
      </c>
      <c r="AF141" s="2">
        <v>0.13363209366798401</v>
      </c>
      <c r="AG141" s="2">
        <v>0.15244275331497201</v>
      </c>
      <c r="AH141" s="2">
        <v>-0.18370838463306399</v>
      </c>
      <c r="AI141" s="2">
        <v>-3.6334175616502797E-2</v>
      </c>
      <c r="AJ141" s="2">
        <v>0.33134778728485298</v>
      </c>
      <c r="AK141" s="2">
        <v>0.45212448207343697</v>
      </c>
      <c r="AL141" s="2">
        <v>0.47936206833779699</v>
      </c>
      <c r="AM141" s="2">
        <v>0.51258850097656306</v>
      </c>
      <c r="AN141" s="2">
        <v>0.50108021497726396</v>
      </c>
      <c r="AO141" s="2">
        <v>0.295220196247101</v>
      </c>
      <c r="AP141" s="2">
        <v>0.78533273935318004</v>
      </c>
    </row>
    <row r="142" spans="1:42" x14ac:dyDescent="0.3">
      <c r="A142" t="s">
        <v>100</v>
      </c>
      <c r="B142" s="3">
        <v>2017</v>
      </c>
      <c r="C142" s="3">
        <v>11.344587000000001</v>
      </c>
      <c r="D142" s="3">
        <v>2141.62</v>
      </c>
      <c r="E142" t="s">
        <v>101</v>
      </c>
      <c r="G142" s="3">
        <v>90234.8359375</v>
      </c>
      <c r="H142" s="3">
        <v>108816.4765625</v>
      </c>
      <c r="I142" s="3">
        <v>101796.3203125</v>
      </c>
      <c r="J142" s="3">
        <v>100620.3046875</v>
      </c>
      <c r="K142" s="3">
        <v>216736.96875</v>
      </c>
      <c r="L142" s="3">
        <v>2.99745053052902E-3</v>
      </c>
      <c r="M142" s="3">
        <v>0.46226170659065202</v>
      </c>
      <c r="N142" s="3">
        <v>0.48142805695533802</v>
      </c>
      <c r="O142" s="3">
        <v>91147.15625</v>
      </c>
      <c r="P142" s="3">
        <v>113754.953125</v>
      </c>
      <c r="Q142" s="3">
        <v>1.10450875759125</v>
      </c>
      <c r="R142" s="3">
        <v>0.49844121932983398</v>
      </c>
      <c r="S142" s="3">
        <v>0.351979941129684</v>
      </c>
      <c r="T142" s="3">
        <v>0.368467926979065</v>
      </c>
      <c r="U142" s="3">
        <v>0.37277451157569902</v>
      </c>
      <c r="W142" t="s">
        <v>51</v>
      </c>
      <c r="X142" t="s">
        <v>51</v>
      </c>
      <c r="Y142" t="s">
        <v>52</v>
      </c>
      <c r="Z142" t="s">
        <v>53</v>
      </c>
      <c r="AA142" t="s">
        <v>53</v>
      </c>
      <c r="AC142" s="2">
        <v>0.65724835441469498</v>
      </c>
      <c r="AD142" s="2">
        <v>0.75951218605041504</v>
      </c>
      <c r="AE142" s="2">
        <v>0.184670850634575</v>
      </c>
      <c r="AF142" s="2">
        <v>0.13727341592311901</v>
      </c>
      <c r="AG142" s="2">
        <v>0.15391507744789101</v>
      </c>
      <c r="AH142" s="2">
        <v>-0.19211828708648701</v>
      </c>
      <c r="AI142" s="2">
        <v>-4.3253239244222599E-2</v>
      </c>
      <c r="AJ142" s="2">
        <v>0.332052961085612</v>
      </c>
      <c r="AK142" s="2">
        <v>0.44853579481960998</v>
      </c>
      <c r="AL142" s="2">
        <v>0.46223283681998001</v>
      </c>
      <c r="AM142" s="2">
        <v>0.53839135169982899</v>
      </c>
      <c r="AN142" s="2">
        <v>0.48121595382690402</v>
      </c>
      <c r="AO142" s="2">
        <v>0.28839233517646801</v>
      </c>
      <c r="AP142" s="2">
        <v>0.78306001424789395</v>
      </c>
    </row>
    <row r="143" spans="1:42" x14ac:dyDescent="0.3">
      <c r="A143" t="s">
        <v>100</v>
      </c>
      <c r="B143" s="3">
        <v>2018</v>
      </c>
      <c r="C143" s="3">
        <v>11.508368000000001</v>
      </c>
      <c r="D143" s="3">
        <v>2078.15</v>
      </c>
      <c r="E143" t="s">
        <v>101</v>
      </c>
      <c r="G143" s="3">
        <v>91883.6640625</v>
      </c>
      <c r="H143" s="3">
        <v>112536.2734375</v>
      </c>
      <c r="I143" s="3">
        <v>107042.453125</v>
      </c>
      <c r="J143" s="3">
        <v>105854.375</v>
      </c>
      <c r="K143" s="3">
        <v>255192.140625</v>
      </c>
      <c r="L143" s="3">
        <v>3.4343237057328198E-3</v>
      </c>
      <c r="M143" s="3">
        <v>0.44609951972961398</v>
      </c>
      <c r="N143" s="3">
        <v>0.45652168989181502</v>
      </c>
      <c r="O143" s="3">
        <v>95224.6484375</v>
      </c>
      <c r="P143" s="3">
        <v>117691.4609375</v>
      </c>
      <c r="Q143" s="3">
        <v>1.1146441698074301</v>
      </c>
      <c r="R143" s="3">
        <v>0.49844121932983398</v>
      </c>
      <c r="S143" s="3">
        <v>0.37065973877906799</v>
      </c>
      <c r="T143" s="3">
        <v>0.37637072801589999</v>
      </c>
      <c r="U143" s="3">
        <v>0.38059505820274397</v>
      </c>
      <c r="W143" t="s">
        <v>50</v>
      </c>
      <c r="X143" t="s">
        <v>51</v>
      </c>
      <c r="Y143" t="s">
        <v>52</v>
      </c>
      <c r="Z143" t="s">
        <v>53</v>
      </c>
      <c r="AA143" t="s">
        <v>53</v>
      </c>
      <c r="AC143" s="2">
        <v>0.67096567775131</v>
      </c>
      <c r="AD143" s="2">
        <v>0.73382049798965499</v>
      </c>
      <c r="AE143" s="2">
        <v>0.19510400295257599</v>
      </c>
      <c r="AF143" s="2">
        <v>0.134198993444443</v>
      </c>
      <c r="AG143" s="2">
        <v>0.156664803624153</v>
      </c>
      <c r="AH143" s="2">
        <v>-0.19278743863105799</v>
      </c>
      <c r="AI143" s="2">
        <v>-2.7000896632671401E-2</v>
      </c>
      <c r="AJ143" s="2">
        <v>0.34754841673206099</v>
      </c>
      <c r="AK143" s="2">
        <v>0.40177901187177301</v>
      </c>
      <c r="AL143" s="2">
        <v>0.49703602152670701</v>
      </c>
      <c r="AM143" s="2">
        <v>0.54660671949386597</v>
      </c>
      <c r="AN143" s="2">
        <v>0.49220627546310403</v>
      </c>
      <c r="AO143" s="2">
        <v>0.25626912713050798</v>
      </c>
      <c r="AP143" s="2">
        <v>0.69569396972656306</v>
      </c>
    </row>
    <row r="144" spans="1:42" x14ac:dyDescent="0.3">
      <c r="A144" t="s">
        <v>100</v>
      </c>
      <c r="B144" s="3">
        <v>2019</v>
      </c>
      <c r="C144" s="3">
        <v>11.671386</v>
      </c>
      <c r="D144" s="3">
        <v>2067.69</v>
      </c>
      <c r="E144" t="s">
        <v>101</v>
      </c>
      <c r="G144" s="3">
        <v>96958.2890625</v>
      </c>
      <c r="H144" s="3">
        <v>118383.875</v>
      </c>
      <c r="I144" s="3">
        <v>111197.421875</v>
      </c>
      <c r="J144" s="3">
        <v>110598.5546875</v>
      </c>
      <c r="K144" s="3">
        <v>283571.6875</v>
      </c>
      <c r="L144" s="3">
        <v>3.6264788359403602E-3</v>
      </c>
      <c r="M144" s="3">
        <v>0.43347513675689697</v>
      </c>
      <c r="N144" s="3">
        <v>0.44648590683937101</v>
      </c>
      <c r="O144" s="3">
        <v>98741.3359375</v>
      </c>
      <c r="P144" s="3">
        <v>121329.5546875</v>
      </c>
      <c r="Q144" s="3">
        <v>1.08589339256287</v>
      </c>
      <c r="R144" s="3">
        <v>0.49844121932983398</v>
      </c>
      <c r="S144" s="3">
        <v>0.365212202072144</v>
      </c>
      <c r="T144" s="3">
        <v>0.36777219176292397</v>
      </c>
      <c r="U144" s="3">
        <v>0.36976358294487</v>
      </c>
      <c r="W144" t="s">
        <v>50</v>
      </c>
      <c r="X144" t="s">
        <v>54</v>
      </c>
      <c r="Y144" t="s">
        <v>52</v>
      </c>
      <c r="Z144" t="s">
        <v>53</v>
      </c>
      <c r="AA144" t="s">
        <v>53</v>
      </c>
      <c r="AC144" s="2">
        <v>0.68534611471559703</v>
      </c>
      <c r="AD144" s="2">
        <v>0.73997497558593806</v>
      </c>
      <c r="AE144" s="2">
        <v>0.19372390210628501</v>
      </c>
      <c r="AF144" s="2">
        <v>0.13669365644455</v>
      </c>
      <c r="AG144" s="2">
        <v>0.146783217787743</v>
      </c>
      <c r="AH144" s="2">
        <v>-0.188189312815666</v>
      </c>
      <c r="AI144" s="2">
        <v>-2.8986452147364599E-2</v>
      </c>
      <c r="AJ144" s="2">
        <v>0.34201632151262801</v>
      </c>
      <c r="AK144" s="2">
        <v>0.37935722649510101</v>
      </c>
      <c r="AL144" s="2">
        <v>0.49078031381294202</v>
      </c>
      <c r="AM144" s="2">
        <v>0.54452252388000499</v>
      </c>
      <c r="AN144" s="2">
        <v>0.49474465847015398</v>
      </c>
      <c r="AO144" s="2">
        <v>0.239250138401985</v>
      </c>
      <c r="AP144" s="2">
        <v>0.64331948757171598</v>
      </c>
    </row>
    <row r="145" spans="1:42" x14ac:dyDescent="0.3">
      <c r="A145" t="s">
        <v>100</v>
      </c>
      <c r="B145" s="3">
        <v>2020</v>
      </c>
      <c r="C145" s="3">
        <v>11.816299000000001</v>
      </c>
      <c r="D145" s="3">
        <v>1874.79</v>
      </c>
      <c r="E145" t="s">
        <v>101</v>
      </c>
      <c r="G145" s="3">
        <v>89740.09375</v>
      </c>
      <c r="H145" s="3">
        <v>105935.6484375</v>
      </c>
      <c r="I145" s="3">
        <v>100931.3828125</v>
      </c>
      <c r="J145" s="3">
        <v>100978.140625</v>
      </c>
      <c r="K145" s="3">
        <v>310276.03125</v>
      </c>
      <c r="L145" s="3">
        <v>3.6726954858750101E-3</v>
      </c>
      <c r="M145" s="3">
        <v>0.39351350069045998</v>
      </c>
      <c r="N145" s="3">
        <v>0.396038979291916</v>
      </c>
      <c r="O145" s="3">
        <v>92044.8359375</v>
      </c>
      <c r="P145" s="3">
        <v>108913.8671875</v>
      </c>
      <c r="Q145" s="3">
        <v>1.0090081691741899</v>
      </c>
      <c r="R145" s="3">
        <v>0.49844121932983398</v>
      </c>
      <c r="S145" s="3">
        <v>0.36401209235191301</v>
      </c>
      <c r="T145" s="3">
        <v>0.36291825771331798</v>
      </c>
      <c r="U145" s="3">
        <v>0.36275023221969599</v>
      </c>
      <c r="W145" t="s">
        <v>50</v>
      </c>
      <c r="X145" t="s">
        <v>54</v>
      </c>
      <c r="Y145" t="s">
        <v>52</v>
      </c>
      <c r="Z145" t="s">
        <v>53</v>
      </c>
      <c r="AA145" t="s">
        <v>53</v>
      </c>
      <c r="AC145" s="2">
        <v>0.69714034731782104</v>
      </c>
      <c r="AD145" s="2">
        <v>0.74482846260070801</v>
      </c>
      <c r="AE145" s="2">
        <v>0.16038669645786299</v>
      </c>
      <c r="AF145" s="2">
        <v>0.14387962222099299</v>
      </c>
      <c r="AG145" s="2">
        <v>0.12648689746856701</v>
      </c>
      <c r="AH145" s="2">
        <v>-0.15262134373187999</v>
      </c>
      <c r="AI145" s="2">
        <v>-2.2960349917411801E-2</v>
      </c>
      <c r="AJ145" s="2">
        <v>0.33819671276227198</v>
      </c>
      <c r="AK145" s="2">
        <v>0.35685752457929398</v>
      </c>
      <c r="AL145" s="2">
        <v>0.49765171967372701</v>
      </c>
      <c r="AM145" s="2">
        <v>0.50334823131561302</v>
      </c>
      <c r="AN145" s="2">
        <v>0.48042780160903897</v>
      </c>
      <c r="AO145" s="2">
        <v>0.21924409270286599</v>
      </c>
      <c r="AP145" s="2">
        <v>0.59401440620422397</v>
      </c>
    </row>
    <row r="146" spans="1:42" x14ac:dyDescent="0.3">
      <c r="A146" t="s">
        <v>102</v>
      </c>
      <c r="B146" s="3">
        <v>2015</v>
      </c>
      <c r="C146" s="3">
        <v>201.675532</v>
      </c>
      <c r="D146" s="3">
        <v>2005.42</v>
      </c>
      <c r="E146" t="s">
        <v>103</v>
      </c>
      <c r="G146" s="3">
        <v>2738102.5</v>
      </c>
      <c r="H146" s="3">
        <v>3400544.25</v>
      </c>
      <c r="I146" s="3">
        <v>3361775</v>
      </c>
      <c r="J146" s="3">
        <v>3358240.5</v>
      </c>
      <c r="K146" s="3">
        <v>14585145</v>
      </c>
      <c r="L146" s="3">
        <v>0.17392440140247301</v>
      </c>
      <c r="M146" s="3">
        <v>0.52032548189163197</v>
      </c>
      <c r="N146" s="3">
        <v>0.50830513238906905</v>
      </c>
      <c r="O146" s="3">
        <v>2930551</v>
      </c>
      <c r="P146" s="3">
        <v>3624506</v>
      </c>
      <c r="Q146" s="3">
        <v>1.0751385688781701</v>
      </c>
      <c r="R146" s="3">
        <v>0.58119797706604004</v>
      </c>
      <c r="S146" s="3">
        <v>0.55118513107299805</v>
      </c>
      <c r="T146" s="3">
        <v>0.53608942031860396</v>
      </c>
      <c r="U146" s="3">
        <v>0.53665363788604703</v>
      </c>
      <c r="W146" t="s">
        <v>50</v>
      </c>
      <c r="X146" t="s">
        <v>51</v>
      </c>
      <c r="Y146" t="s">
        <v>52</v>
      </c>
      <c r="Z146" t="s">
        <v>53</v>
      </c>
      <c r="AA146" t="s">
        <v>53</v>
      </c>
      <c r="AC146" s="2">
        <v>0.78047812812408102</v>
      </c>
      <c r="AD146" s="2">
        <v>0.63918757438659701</v>
      </c>
      <c r="AE146" s="2">
        <v>0.197258591651917</v>
      </c>
      <c r="AF146" s="2">
        <v>0.176150843501091</v>
      </c>
      <c r="AG146" s="2">
        <v>0.12094471603632</v>
      </c>
      <c r="AH146" s="2">
        <v>-0.13354171812534299</v>
      </c>
      <c r="AI146" s="2">
        <v>1.66657161161654E-13</v>
      </c>
      <c r="AJ146" s="2">
        <v>0.53704016783666897</v>
      </c>
      <c r="AK146" s="2">
        <v>0.47369357336378098</v>
      </c>
      <c r="AL146" s="2">
        <v>0.602512180249824</v>
      </c>
      <c r="AM146" s="2">
        <v>0.57240492105483998</v>
      </c>
      <c r="AN146" s="2">
        <v>0.56475436687469505</v>
      </c>
      <c r="AO146" s="2">
        <v>0.30045491456985501</v>
      </c>
      <c r="AP146" s="2">
        <v>0.57979726791381803</v>
      </c>
    </row>
    <row r="147" spans="1:42" x14ac:dyDescent="0.3">
      <c r="A147" t="s">
        <v>102</v>
      </c>
      <c r="B147" s="3">
        <v>2016</v>
      </c>
      <c r="C147" s="3">
        <v>203.21811400000001</v>
      </c>
      <c r="D147" s="3">
        <v>1998.86</v>
      </c>
      <c r="E147" t="s">
        <v>103</v>
      </c>
      <c r="G147" s="3">
        <v>2642855.5</v>
      </c>
      <c r="H147" s="3">
        <v>3194553.75</v>
      </c>
      <c r="I147" s="3">
        <v>3207372.75</v>
      </c>
      <c r="J147" s="3">
        <v>3200957.25</v>
      </c>
      <c r="K147" s="3">
        <v>14273521</v>
      </c>
      <c r="L147" s="3">
        <v>0.16611504554748499</v>
      </c>
      <c r="M147" s="3">
        <v>0.50144720077514704</v>
      </c>
      <c r="N147" s="3">
        <v>0.48383507132530201</v>
      </c>
      <c r="O147" s="3">
        <v>2845949.5</v>
      </c>
      <c r="P147" s="3">
        <v>3463648.25</v>
      </c>
      <c r="Q147" s="3">
        <v>1.0378398895263701</v>
      </c>
      <c r="R147" s="3">
        <v>0.58019310235977195</v>
      </c>
      <c r="S147" s="3">
        <v>0.57502543926239003</v>
      </c>
      <c r="T147" s="3">
        <v>0.55986422300338801</v>
      </c>
      <c r="U147" s="3">
        <v>0.56098634004592896</v>
      </c>
      <c r="W147" t="s">
        <v>50</v>
      </c>
      <c r="X147" t="s">
        <v>51</v>
      </c>
      <c r="Y147" t="s">
        <v>52</v>
      </c>
      <c r="Z147" t="s">
        <v>53</v>
      </c>
      <c r="AA147" t="s">
        <v>53</v>
      </c>
      <c r="AC147" s="2">
        <v>0.76930384365223303</v>
      </c>
      <c r="AD147" s="2">
        <v>0.63924938440322898</v>
      </c>
      <c r="AE147" s="2">
        <v>0.17235411703586601</v>
      </c>
      <c r="AF147" s="2">
        <v>0.18639601767063099</v>
      </c>
      <c r="AG147" s="2">
        <v>0.124319970607758</v>
      </c>
      <c r="AH147" s="2">
        <v>-0.12231944501399999</v>
      </c>
      <c r="AI147" s="2">
        <v>0</v>
      </c>
      <c r="AJ147" s="2">
        <v>0.56385197235083295</v>
      </c>
      <c r="AK147" s="2">
        <v>0.487235896988575</v>
      </c>
      <c r="AL147" s="2">
        <v>0.61334506005134504</v>
      </c>
      <c r="AM147" s="2">
        <v>0.56255137920379605</v>
      </c>
      <c r="AN147" s="2">
        <v>0.55342173576355003</v>
      </c>
      <c r="AO147" s="2">
        <v>0.30631297826767001</v>
      </c>
      <c r="AP147" s="2">
        <v>0.58740288019180298</v>
      </c>
    </row>
    <row r="148" spans="1:42" x14ac:dyDescent="0.3">
      <c r="A148" t="s">
        <v>102</v>
      </c>
      <c r="B148" s="3">
        <v>2017</v>
      </c>
      <c r="C148" s="3">
        <v>204.70344499999999</v>
      </c>
      <c r="D148" s="3">
        <v>1976.01</v>
      </c>
      <c r="E148" t="s">
        <v>103</v>
      </c>
      <c r="G148" s="3">
        <v>2660546.75</v>
      </c>
      <c r="H148" s="3">
        <v>3221876</v>
      </c>
      <c r="I148" s="3">
        <v>3245183</v>
      </c>
      <c r="J148" s="3">
        <v>3243679</v>
      </c>
      <c r="K148" s="3">
        <v>14281321</v>
      </c>
      <c r="L148" s="3">
        <v>0.163589492440224</v>
      </c>
      <c r="M148" s="3">
        <v>0.50104653835296598</v>
      </c>
      <c r="N148" s="3">
        <v>0.47927337884902999</v>
      </c>
      <c r="O148" s="3">
        <v>2884008.5</v>
      </c>
      <c r="P148" s="3">
        <v>3489558</v>
      </c>
      <c r="Q148" s="3">
        <v>1.04225409030914</v>
      </c>
      <c r="R148" s="3">
        <v>0.57799535989761397</v>
      </c>
      <c r="S148" s="3">
        <v>0.65659183263778698</v>
      </c>
      <c r="T148" s="3">
        <v>0.63587003946304299</v>
      </c>
      <c r="U148" s="3">
        <v>0.63616490364074696</v>
      </c>
      <c r="W148" t="s">
        <v>51</v>
      </c>
      <c r="X148" t="s">
        <v>51</v>
      </c>
      <c r="Y148" t="s">
        <v>52</v>
      </c>
      <c r="Z148" t="s">
        <v>53</v>
      </c>
      <c r="AA148" t="s">
        <v>53</v>
      </c>
      <c r="AC148" s="2">
        <v>0.76804794023777301</v>
      </c>
      <c r="AD148" s="2">
        <v>0.63015419244766202</v>
      </c>
      <c r="AE148" s="2">
        <v>0.17305326461792001</v>
      </c>
      <c r="AF148" s="2">
        <v>0.19007091224193601</v>
      </c>
      <c r="AG148" s="2">
        <v>0.138266950845718</v>
      </c>
      <c r="AH148" s="2">
        <v>-0.131545275449753</v>
      </c>
      <c r="AI148" s="2">
        <v>1.5187197745063199E-13</v>
      </c>
      <c r="AJ148" s="2">
        <v>0.65109484572066401</v>
      </c>
      <c r="AK148" s="2">
        <v>0.53765442927302398</v>
      </c>
      <c r="AL148" s="2">
        <v>0.67481635759193004</v>
      </c>
      <c r="AM148" s="2">
        <v>0.57599651813507102</v>
      </c>
      <c r="AN148" s="2">
        <v>0.57069581747055098</v>
      </c>
      <c r="AO148" s="2">
        <v>0.34179875254630998</v>
      </c>
      <c r="AP148" s="2">
        <v>0.66414487361908003</v>
      </c>
    </row>
    <row r="149" spans="1:42" x14ac:dyDescent="0.3">
      <c r="A149" t="s">
        <v>102</v>
      </c>
      <c r="B149" s="3">
        <v>2018</v>
      </c>
      <c r="C149" s="3">
        <v>206.10726099999999</v>
      </c>
      <c r="D149" s="3">
        <v>1967.04</v>
      </c>
      <c r="E149" t="s">
        <v>103</v>
      </c>
      <c r="G149" s="3">
        <v>2791164</v>
      </c>
      <c r="H149" s="3">
        <v>3386655.5</v>
      </c>
      <c r="I149" s="3">
        <v>3400044.75</v>
      </c>
      <c r="J149" s="3">
        <v>3386371</v>
      </c>
      <c r="K149" s="3">
        <v>14923839</v>
      </c>
      <c r="L149" s="3">
        <v>0.165378123521805</v>
      </c>
      <c r="M149" s="3">
        <v>0.50237160921096802</v>
      </c>
      <c r="N149" s="3">
        <v>0.48362344503402699</v>
      </c>
      <c r="O149" s="3">
        <v>2941394.25</v>
      </c>
      <c r="P149" s="3">
        <v>3575672.75</v>
      </c>
      <c r="Q149" s="3">
        <v>1.03375899791718</v>
      </c>
      <c r="R149" s="3">
        <v>0.57187640666961703</v>
      </c>
      <c r="S149" s="3">
        <v>0.58041119575500499</v>
      </c>
      <c r="T149" s="3">
        <v>0.56379657983779896</v>
      </c>
      <c r="U149" s="3">
        <v>0.56607317924499501</v>
      </c>
      <c r="W149" t="s">
        <v>50</v>
      </c>
      <c r="X149" t="s">
        <v>51</v>
      </c>
      <c r="Y149" t="s">
        <v>52</v>
      </c>
      <c r="Z149" t="s">
        <v>53</v>
      </c>
      <c r="AA149" t="s">
        <v>53</v>
      </c>
      <c r="AC149" s="2">
        <v>0.77191689363948401</v>
      </c>
      <c r="AD149" s="2">
        <v>0.63643783330917403</v>
      </c>
      <c r="AE149" s="2">
        <v>0.17584945261478399</v>
      </c>
      <c r="AF149" s="2">
        <v>0.187796786427498</v>
      </c>
      <c r="AG149" s="2">
        <v>0.140628561377525</v>
      </c>
      <c r="AH149" s="2">
        <v>-0.14071257412433599</v>
      </c>
      <c r="AI149" s="2">
        <v>0</v>
      </c>
      <c r="AJ149" s="2">
        <v>0.57472112723147595</v>
      </c>
      <c r="AK149" s="2">
        <v>0.48592122036405899</v>
      </c>
      <c r="AL149" s="2">
        <v>0.59969477245269398</v>
      </c>
      <c r="AM149" s="2">
        <v>0.58910369873046897</v>
      </c>
      <c r="AN149" s="2">
        <v>0.57290989160537698</v>
      </c>
      <c r="AO149" s="2">
        <v>0.30302196741104098</v>
      </c>
      <c r="AP149" s="2">
        <v>0.58676463365554798</v>
      </c>
    </row>
    <row r="150" spans="1:42" x14ac:dyDescent="0.3">
      <c r="A150" t="s">
        <v>102</v>
      </c>
      <c r="B150" s="3">
        <v>2019</v>
      </c>
      <c r="C150" s="3">
        <v>207.45545899999999</v>
      </c>
      <c r="D150" s="3">
        <v>1972.91</v>
      </c>
      <c r="E150" t="s">
        <v>103</v>
      </c>
      <c r="G150" s="3">
        <v>2914592.25</v>
      </c>
      <c r="H150" s="3">
        <v>3536993</v>
      </c>
      <c r="I150" s="3">
        <v>3514346</v>
      </c>
      <c r="J150" s="3">
        <v>3518448.5</v>
      </c>
      <c r="K150" s="3">
        <v>15489833</v>
      </c>
      <c r="L150" s="3">
        <v>0.16563308238983199</v>
      </c>
      <c r="M150" s="3">
        <v>0.498758375644684</v>
      </c>
      <c r="N150" s="3">
        <v>0.48247361183166498</v>
      </c>
      <c r="O150" s="3">
        <v>2996175.25</v>
      </c>
      <c r="P150" s="3">
        <v>3653987.25</v>
      </c>
      <c r="Q150" s="3">
        <v>1.0113675594329801</v>
      </c>
      <c r="R150" s="3">
        <v>0.56970041990280196</v>
      </c>
      <c r="S150" s="3">
        <v>0.547138512134552</v>
      </c>
      <c r="T150" s="3">
        <v>0.53304034471511796</v>
      </c>
      <c r="U150" s="3">
        <v>0.53241878747940097</v>
      </c>
      <c r="W150" t="s">
        <v>50</v>
      </c>
      <c r="X150" t="s">
        <v>54</v>
      </c>
      <c r="Y150" t="s">
        <v>52</v>
      </c>
      <c r="Z150" t="s">
        <v>53</v>
      </c>
      <c r="AA150" t="s">
        <v>53</v>
      </c>
      <c r="AC150" s="2">
        <v>0.77695788054488601</v>
      </c>
      <c r="AD150" s="2">
        <v>0.648429155349731</v>
      </c>
      <c r="AE150" s="2">
        <v>0.17689634859561901</v>
      </c>
      <c r="AF150" s="2">
        <v>0.17994512617587999</v>
      </c>
      <c r="AG150" s="2">
        <v>0.13252153992652899</v>
      </c>
      <c r="AH150" s="2">
        <v>-0.13779221475124401</v>
      </c>
      <c r="AI150" s="2">
        <v>-1.3535160947771001E-13</v>
      </c>
      <c r="AJ150" s="2">
        <v>0.53489135459608905</v>
      </c>
      <c r="AK150" s="2">
        <v>0.46702101099972199</v>
      </c>
      <c r="AL150" s="2">
        <v>0.59127104101289696</v>
      </c>
      <c r="AM150" s="2">
        <v>0.56740272045135498</v>
      </c>
      <c r="AN150" s="2">
        <v>0.57059895992279097</v>
      </c>
      <c r="AO150" s="2">
        <v>0.28513872623443598</v>
      </c>
      <c r="AP150" s="2">
        <v>0.55353462696075395</v>
      </c>
    </row>
    <row r="151" spans="1:42" x14ac:dyDescent="0.3">
      <c r="A151" t="s">
        <v>102</v>
      </c>
      <c r="B151" s="3">
        <v>2020</v>
      </c>
      <c r="C151" s="3">
        <v>208.660842</v>
      </c>
      <c r="D151" s="3">
        <v>1836.49</v>
      </c>
      <c r="E151" t="s">
        <v>103</v>
      </c>
      <c r="G151" s="3">
        <v>2842988.5</v>
      </c>
      <c r="H151" s="3">
        <v>3431654.5</v>
      </c>
      <c r="I151" s="3">
        <v>3452543.25</v>
      </c>
      <c r="J151" s="3">
        <v>3449739.75</v>
      </c>
      <c r="K151" s="3">
        <v>16167975</v>
      </c>
      <c r="L151" s="3">
        <v>0.16204296052455899</v>
      </c>
      <c r="M151" s="3">
        <v>0.51898050308227495</v>
      </c>
      <c r="N151" s="3">
        <v>0.49525809288024902</v>
      </c>
      <c r="O151" s="3">
        <v>2865650.25</v>
      </c>
      <c r="P151" s="3">
        <v>3509712.75</v>
      </c>
      <c r="Q151" s="3">
        <v>1.0442489385604901</v>
      </c>
      <c r="R151" s="3">
        <v>0.54336071014404297</v>
      </c>
      <c r="S151" s="3">
        <v>0.43239349126815801</v>
      </c>
      <c r="T151" s="3">
        <v>0.42754203081130998</v>
      </c>
      <c r="U151" s="3">
        <v>0.42788946628570601</v>
      </c>
      <c r="W151" t="s">
        <v>50</v>
      </c>
      <c r="X151" t="s">
        <v>54</v>
      </c>
      <c r="Y151" t="s">
        <v>52</v>
      </c>
      <c r="Z151" t="s">
        <v>53</v>
      </c>
      <c r="AA151" t="s">
        <v>53</v>
      </c>
      <c r="AC151" s="2">
        <v>0.77761057758322705</v>
      </c>
      <c r="AD151" s="2">
        <v>0.64871656894683805</v>
      </c>
      <c r="AE151" s="2">
        <v>0.17064072191715199</v>
      </c>
      <c r="AF151" s="2">
        <v>0.17540019750595101</v>
      </c>
      <c r="AG151" s="2">
        <v>0.130535483360291</v>
      </c>
      <c r="AH151" s="2">
        <v>-0.12529295682907099</v>
      </c>
      <c r="AI151" s="2">
        <v>0</v>
      </c>
      <c r="AJ151" s="2">
        <v>0.416493950810018</v>
      </c>
      <c r="AK151" s="2">
        <v>0.40411161949053898</v>
      </c>
      <c r="AL151" s="2">
        <v>0.49119782229901798</v>
      </c>
      <c r="AM151" s="2">
        <v>0.53934007883071899</v>
      </c>
      <c r="AN151" s="2">
        <v>0.54124486446380604</v>
      </c>
      <c r="AO151" s="2">
        <v>0.237367764115334</v>
      </c>
      <c r="AP151" s="2">
        <v>0.493953406810761</v>
      </c>
    </row>
    <row r="152" spans="1:42" x14ac:dyDescent="0.3">
      <c r="A152" t="s">
        <v>104</v>
      </c>
      <c r="B152" s="3">
        <v>2015</v>
      </c>
      <c r="C152" s="3">
        <v>0.27899000000000002</v>
      </c>
      <c r="D152" s="3"/>
      <c r="E152" t="s">
        <v>105</v>
      </c>
      <c r="G152" s="3">
        <v>4527.19921875</v>
      </c>
      <c r="H152" s="3">
        <v>5779.53662109375</v>
      </c>
      <c r="I152" s="3">
        <v>5395.66259765625</v>
      </c>
      <c r="J152" s="3">
        <v>3876.50122070313</v>
      </c>
      <c r="K152" s="3">
        <v>25359.998046875</v>
      </c>
      <c r="L152" s="3">
        <v>2.9318427550606402E-4</v>
      </c>
      <c r="M152" s="3">
        <v>0.42553600668907199</v>
      </c>
      <c r="N152" s="3">
        <v>0.61207097768783603</v>
      </c>
      <c r="O152" s="3">
        <v>4161.7490234375</v>
      </c>
      <c r="P152" s="3">
        <v>5338.98046875</v>
      </c>
      <c r="Q152" s="3">
        <v>1.1312700510025</v>
      </c>
      <c r="R152" s="3">
        <v>0.750565946102142</v>
      </c>
      <c r="S152" s="3">
        <v>1.0542800426483201</v>
      </c>
      <c r="T152" s="3">
        <v>0.98005723953247104</v>
      </c>
      <c r="U152" s="3">
        <v>1.3641316890716599</v>
      </c>
      <c r="W152" t="s">
        <v>50</v>
      </c>
      <c r="X152" t="s">
        <v>51</v>
      </c>
      <c r="Y152" t="s">
        <v>52</v>
      </c>
      <c r="Z152" t="s">
        <v>53</v>
      </c>
      <c r="AA152" t="s">
        <v>53</v>
      </c>
      <c r="AC152" s="2">
        <v>0.48011550836075101</v>
      </c>
      <c r="AD152" s="2">
        <v>0.95631742477417003</v>
      </c>
      <c r="AE152" s="2">
        <v>0.32305866479873702</v>
      </c>
      <c r="AF152" s="2">
        <v>0.211539566516876</v>
      </c>
      <c r="AG152" s="2">
        <v>0.21974560618400599</v>
      </c>
      <c r="AH152" s="2">
        <v>-0.85417008399963401</v>
      </c>
      <c r="AI152" s="2">
        <v>0.143508791923523</v>
      </c>
      <c r="AJ152" s="2">
        <v>1.0937563669375401</v>
      </c>
      <c r="AK152" s="2">
        <v>0.71174150232811595</v>
      </c>
      <c r="AL152" s="2">
        <v>0.87581748762539702</v>
      </c>
      <c r="AM152" s="2">
        <v>0.56671392917633101</v>
      </c>
      <c r="AN152" s="2">
        <v>0.48860150575637801</v>
      </c>
      <c r="AO152" s="2">
        <v>0.49249169230461098</v>
      </c>
      <c r="AP152" s="2">
        <v>0.60108137130737305</v>
      </c>
    </row>
    <row r="153" spans="1:42" x14ac:dyDescent="0.3">
      <c r="A153" t="s">
        <v>104</v>
      </c>
      <c r="B153" s="3">
        <v>2016</v>
      </c>
      <c r="C153" s="3">
        <v>0.27959800000000001</v>
      </c>
      <c r="D153" s="3"/>
      <c r="E153" t="s">
        <v>105</v>
      </c>
      <c r="G153" s="3">
        <v>4540.8076171875</v>
      </c>
      <c r="H153" s="3">
        <v>5759.24755859375</v>
      </c>
      <c r="I153" s="3">
        <v>5348.1923828125</v>
      </c>
      <c r="J153" s="3">
        <v>3790.96166992188</v>
      </c>
      <c r="K153" s="3">
        <v>25868.833984375</v>
      </c>
      <c r="L153" s="3">
        <v>2.93293065624312E-4</v>
      </c>
      <c r="M153" s="3">
        <v>0.40422910451888999</v>
      </c>
      <c r="N153" s="3">
        <v>0.59372568130493197</v>
      </c>
      <c r="O153" s="3">
        <v>4286.90771484375</v>
      </c>
      <c r="P153" s="3">
        <v>5463.64111328125</v>
      </c>
      <c r="Q153" s="3">
        <v>1.11364817619324</v>
      </c>
      <c r="R153" s="3">
        <v>0.750565946102142</v>
      </c>
      <c r="S153" s="3">
        <v>1.07226073741913</v>
      </c>
      <c r="T153" s="3">
        <v>0.99674075841903698</v>
      </c>
      <c r="U153" s="3">
        <v>1.40617656707764</v>
      </c>
      <c r="W153" t="s">
        <v>50</v>
      </c>
      <c r="X153" t="s">
        <v>51</v>
      </c>
      <c r="Y153" t="s">
        <v>52</v>
      </c>
      <c r="Z153" t="s">
        <v>53</v>
      </c>
      <c r="AA153" t="s">
        <v>53</v>
      </c>
      <c r="AC153" s="2">
        <v>0.47380186562878801</v>
      </c>
      <c r="AD153" s="2">
        <v>0.98395919799804699</v>
      </c>
      <c r="AE153" s="2">
        <v>0.32140660285949701</v>
      </c>
      <c r="AF153" s="2">
        <v>0.21383920311927801</v>
      </c>
      <c r="AG153" s="2">
        <v>0.24321722984314001</v>
      </c>
      <c r="AH153" s="2">
        <v>-0.89274662733078003</v>
      </c>
      <c r="AI153" s="2">
        <v>0.13032437860965701</v>
      </c>
      <c r="AJ153" s="2">
        <v>1.11390936495363</v>
      </c>
      <c r="AK153" s="2">
        <v>0.71529731681814201</v>
      </c>
      <c r="AL153" s="2">
        <v>0.88061913539303005</v>
      </c>
      <c r="AM153" s="2">
        <v>0.56053215265274103</v>
      </c>
      <c r="AN153" s="2">
        <v>0.47904649376869202</v>
      </c>
      <c r="AO153" s="2">
        <v>0.48813790082931502</v>
      </c>
      <c r="AP153" s="2">
        <v>0.58682215213775601</v>
      </c>
    </row>
    <row r="154" spans="1:42" x14ac:dyDescent="0.3">
      <c r="A154" t="s">
        <v>104</v>
      </c>
      <c r="B154" s="3">
        <v>2017</v>
      </c>
      <c r="C154" s="3">
        <v>0.280171</v>
      </c>
      <c r="D154" s="3"/>
      <c r="E154" t="s">
        <v>105</v>
      </c>
      <c r="G154" s="3">
        <v>4397.92333984375</v>
      </c>
      <c r="H154" s="3">
        <v>5509.74267578125</v>
      </c>
      <c r="I154" s="3">
        <v>5278.70703125</v>
      </c>
      <c r="J154" s="3">
        <v>3652.43090820313</v>
      </c>
      <c r="K154" s="3">
        <v>25794.609375</v>
      </c>
      <c r="L154" s="3">
        <v>2.7972061070613601E-4</v>
      </c>
      <c r="M154" s="3">
        <v>0.39669346809387201</v>
      </c>
      <c r="N154" s="3">
        <v>0.57628691196441695</v>
      </c>
      <c r="O154" s="3">
        <v>4172.68017578125</v>
      </c>
      <c r="P154" s="3">
        <v>5302.54833984375</v>
      </c>
      <c r="Q154" s="3">
        <v>1.1392303705215501</v>
      </c>
      <c r="R154" s="3">
        <v>0.750565946102142</v>
      </c>
      <c r="S154" s="3">
        <v>1.1138840913772601</v>
      </c>
      <c r="T154" s="3">
        <v>1.0452069044113199</v>
      </c>
      <c r="U154" s="3">
        <v>1.5105941295623799</v>
      </c>
      <c r="W154" t="s">
        <v>51</v>
      </c>
      <c r="X154" t="s">
        <v>51</v>
      </c>
      <c r="Y154" t="s">
        <v>52</v>
      </c>
      <c r="Z154" t="s">
        <v>53</v>
      </c>
      <c r="AA154" t="s">
        <v>53</v>
      </c>
      <c r="AC154" s="2">
        <v>0.53426938050358896</v>
      </c>
      <c r="AD154" s="2">
        <v>1.0042079687118499</v>
      </c>
      <c r="AE154" s="2">
        <v>0.30440524220466603</v>
      </c>
      <c r="AF154" s="2">
        <v>0.199900537729263</v>
      </c>
      <c r="AG154" s="2">
        <v>0.22569933533668499</v>
      </c>
      <c r="AH154" s="2">
        <v>-0.89239251613616899</v>
      </c>
      <c r="AI154" s="2">
        <v>0.158179447054863</v>
      </c>
      <c r="AJ154" s="2">
        <v>1.1532902900545201</v>
      </c>
      <c r="AK154" s="2">
        <v>0.77354608797959501</v>
      </c>
      <c r="AL154" s="2">
        <v>0.91592581470503698</v>
      </c>
      <c r="AM154" s="2">
        <v>0.58881205320358299</v>
      </c>
      <c r="AN154" s="2">
        <v>0.49076408147811901</v>
      </c>
      <c r="AO154" s="2">
        <v>0.51541763544082597</v>
      </c>
      <c r="AP154" s="2">
        <v>0.61383903026580799</v>
      </c>
    </row>
    <row r="155" spans="1:42" x14ac:dyDescent="0.3">
      <c r="A155" t="s">
        <v>104</v>
      </c>
      <c r="B155" s="3">
        <v>2018</v>
      </c>
      <c r="C155" s="3">
        <v>0.28071099999999999</v>
      </c>
      <c r="D155" s="3"/>
      <c r="E155" t="s">
        <v>105</v>
      </c>
      <c r="G155" s="3">
        <v>4159.34814453125</v>
      </c>
      <c r="H155" s="3">
        <v>5163.53125</v>
      </c>
      <c r="I155" s="3">
        <v>5123.626953125</v>
      </c>
      <c r="J155" s="3">
        <v>3319.0849609375</v>
      </c>
      <c r="K155" s="3">
        <v>25742.015625</v>
      </c>
      <c r="L155" s="3">
        <v>2.6764950598590098E-4</v>
      </c>
      <c r="M155" s="3">
        <v>0.36242282390594499</v>
      </c>
      <c r="N155" s="3">
        <v>0.54273700714111295</v>
      </c>
      <c r="O155" s="3">
        <v>4019.83203125</v>
      </c>
      <c r="P155" s="3">
        <v>5059.65771484375</v>
      </c>
      <c r="Q155" s="3">
        <v>1.1334420442581199</v>
      </c>
      <c r="R155" s="3">
        <v>0.750565946102142</v>
      </c>
      <c r="S155" s="3">
        <v>1.1715379953384399</v>
      </c>
      <c r="T155" s="3">
        <v>1.09881460666657</v>
      </c>
      <c r="U155" s="3">
        <v>1.6962256431579601</v>
      </c>
      <c r="W155" t="s">
        <v>67</v>
      </c>
      <c r="X155" t="s">
        <v>51</v>
      </c>
      <c r="Y155" t="s">
        <v>52</v>
      </c>
      <c r="Z155" t="s">
        <v>53</v>
      </c>
      <c r="AA155" t="s">
        <v>53</v>
      </c>
      <c r="AC155" s="2">
        <v>0.49684309066015597</v>
      </c>
      <c r="AD155" s="2">
        <v>1.0038636922836299</v>
      </c>
      <c r="AE155" s="2">
        <v>0.30254817008972201</v>
      </c>
      <c r="AF155" s="2">
        <v>0.249297380447388</v>
      </c>
      <c r="AG155" s="2">
        <v>0.22696579992771199</v>
      </c>
      <c r="AH155" s="2">
        <v>-0.97776746749877896</v>
      </c>
      <c r="AI155" s="2">
        <v>0.19509242475032801</v>
      </c>
      <c r="AJ155" s="2">
        <v>1.26373888782413</v>
      </c>
      <c r="AK155" s="2">
        <v>0.79759289035270797</v>
      </c>
      <c r="AL155" s="2">
        <v>0.80026585889270696</v>
      </c>
      <c r="AM155" s="2">
        <v>0.607591032981873</v>
      </c>
      <c r="AN155" s="2">
        <v>0.49299427866935702</v>
      </c>
      <c r="AO155" s="2">
        <v>0.54079854488372803</v>
      </c>
      <c r="AP155" s="2">
        <v>0.62037873268127397</v>
      </c>
    </row>
    <row r="156" spans="1:42" x14ac:dyDescent="0.3">
      <c r="A156" t="s">
        <v>104</v>
      </c>
      <c r="B156" s="3">
        <v>2019</v>
      </c>
      <c r="C156" s="3">
        <v>0.28120699999999998</v>
      </c>
      <c r="D156" s="3"/>
      <c r="E156" t="s">
        <v>105</v>
      </c>
      <c r="G156" s="3">
        <v>3908.93579101563</v>
      </c>
      <c r="H156" s="3">
        <v>4909.39794921875</v>
      </c>
      <c r="I156" s="3">
        <v>5000.39794921875</v>
      </c>
      <c r="J156" s="3">
        <v>3158.18627929688</v>
      </c>
      <c r="K156" s="3">
        <v>25161.486328125</v>
      </c>
      <c r="L156" s="3">
        <v>2.5043211644515401E-4</v>
      </c>
      <c r="M156" s="3">
        <v>0.35298165678978</v>
      </c>
      <c r="N156" s="3">
        <v>0.52801120281219505</v>
      </c>
      <c r="O156" s="3">
        <v>3914.16235351563</v>
      </c>
      <c r="P156" s="3">
        <v>4961.35693359375</v>
      </c>
      <c r="Q156" s="3">
        <v>1.1647875308990501</v>
      </c>
      <c r="R156" s="3">
        <v>0.750565946102142</v>
      </c>
      <c r="S156" s="3">
        <v>1.23987305164337</v>
      </c>
      <c r="T156" s="3">
        <v>1.15756547451019</v>
      </c>
      <c r="U156" s="3">
        <v>1.8327884674072299</v>
      </c>
      <c r="W156" t="s">
        <v>67</v>
      </c>
      <c r="X156" t="s">
        <v>54</v>
      </c>
      <c r="Y156" t="s">
        <v>52</v>
      </c>
      <c r="Z156" t="s">
        <v>53</v>
      </c>
      <c r="AA156" t="s">
        <v>53</v>
      </c>
      <c r="AC156" s="2">
        <v>0.51873597679383998</v>
      </c>
      <c r="AD156" s="2">
        <v>0.99437296390533503</v>
      </c>
      <c r="AE156" s="2">
        <v>0.31678375601768499</v>
      </c>
      <c r="AF156" s="2">
        <v>0.24334247410297399</v>
      </c>
      <c r="AG156" s="2">
        <v>0.22956861555576299</v>
      </c>
      <c r="AH156" s="2">
        <v>-0.99865543842315696</v>
      </c>
      <c r="AI156" s="2">
        <v>0.214587703347206</v>
      </c>
      <c r="AJ156" s="2">
        <v>1.34290047484352</v>
      </c>
      <c r="AK156" s="2">
        <v>0.83597905815280305</v>
      </c>
      <c r="AL156" s="2">
        <v>0.81887117990685698</v>
      </c>
      <c r="AM156" s="2">
        <v>0.61251425743103005</v>
      </c>
      <c r="AN156" s="2">
        <v>0.50122785568237305</v>
      </c>
      <c r="AO156" s="2">
        <v>0.57484203577041604</v>
      </c>
      <c r="AP156" s="2">
        <v>0.65574079751968395</v>
      </c>
    </row>
    <row r="157" spans="1:42" x14ac:dyDescent="0.3">
      <c r="A157" t="s">
        <v>104</v>
      </c>
      <c r="B157" s="3">
        <v>2020</v>
      </c>
      <c r="C157" s="3">
        <v>0.281698</v>
      </c>
      <c r="D157" s="3"/>
      <c r="E157" t="s">
        <v>105</v>
      </c>
      <c r="G157" s="3">
        <v>3639.29345703125</v>
      </c>
      <c r="H157" s="3">
        <v>4765.8271484375</v>
      </c>
      <c r="I157" s="3">
        <v>4334.3408203125</v>
      </c>
      <c r="J157" s="3">
        <v>3061.61791992188</v>
      </c>
      <c r="K157" s="3">
        <v>26168.61328125</v>
      </c>
      <c r="L157" s="3">
        <v>2.4564133491367102E-4</v>
      </c>
      <c r="M157" s="3">
        <v>0.34486913681030301</v>
      </c>
      <c r="N157" s="3">
        <v>0.51499760150909402</v>
      </c>
      <c r="O157" s="3">
        <v>3654.61645507813</v>
      </c>
      <c r="P157" s="3">
        <v>4719.90234375</v>
      </c>
      <c r="Q157" s="3">
        <v>1.0195618867874101</v>
      </c>
      <c r="R157" s="3">
        <v>0.750565946102142</v>
      </c>
      <c r="S157" s="3">
        <v>1.30701923370361</v>
      </c>
      <c r="T157" s="3">
        <v>1.1924176216125499</v>
      </c>
      <c r="U157" s="3">
        <v>1.6881089210510301</v>
      </c>
      <c r="W157" t="s">
        <v>67</v>
      </c>
      <c r="X157" t="s">
        <v>54</v>
      </c>
      <c r="Y157" t="s">
        <v>52</v>
      </c>
      <c r="Z157" t="s">
        <v>53</v>
      </c>
      <c r="AA157" t="s">
        <v>53</v>
      </c>
      <c r="AC157" s="2">
        <v>0.52020697703201202</v>
      </c>
      <c r="AD157" s="2">
        <v>0.93850916624069203</v>
      </c>
      <c r="AE157" s="2">
        <v>0.36795368790626498</v>
      </c>
      <c r="AF157" s="2">
        <v>0.25017392635345498</v>
      </c>
      <c r="AG157" s="2">
        <v>0.140573084354401</v>
      </c>
      <c r="AH157" s="2">
        <v>-0.79566615819930997</v>
      </c>
      <c r="AI157" s="2">
        <v>9.8456352949142498E-2</v>
      </c>
      <c r="AJ157" s="2">
        <v>1.43749411805005</v>
      </c>
      <c r="AK157" s="2">
        <v>0.82219432917746305</v>
      </c>
      <c r="AL157" s="2">
        <v>0.81755206976220696</v>
      </c>
      <c r="AM157" s="2">
        <v>0.64639878273010298</v>
      </c>
      <c r="AN157" s="2">
        <v>0.53429871797561701</v>
      </c>
      <c r="AO157" s="2">
        <v>0.59342837333679199</v>
      </c>
      <c r="AP157" s="2">
        <v>0.62320464849472101</v>
      </c>
    </row>
    <row r="158" spans="1:42" x14ac:dyDescent="0.3">
      <c r="A158" t="s">
        <v>106</v>
      </c>
      <c r="B158" s="3">
        <v>2015</v>
      </c>
      <c r="C158" s="3">
        <v>0.42221199999999998</v>
      </c>
      <c r="D158" s="3"/>
      <c r="E158" t="s">
        <v>107</v>
      </c>
      <c r="G158" s="3">
        <v>16085.0009765625</v>
      </c>
      <c r="H158" s="3">
        <v>24996.083984375</v>
      </c>
      <c r="I158" s="3">
        <v>31208.20703125</v>
      </c>
      <c r="J158" s="3">
        <v>31653.466796875</v>
      </c>
      <c r="K158" s="3">
        <v>171973.234375</v>
      </c>
      <c r="L158" s="3"/>
      <c r="M158" s="3"/>
      <c r="N158" s="3"/>
      <c r="O158" s="3">
        <v>16303.5849609375</v>
      </c>
      <c r="P158" s="3">
        <v>27722.626953125</v>
      </c>
      <c r="Q158" s="3"/>
      <c r="R158" s="3"/>
      <c r="S158" s="3">
        <v>0.36051502823829701</v>
      </c>
      <c r="T158" s="3">
        <v>0.41432362794876099</v>
      </c>
      <c r="U158" s="3">
        <v>0.40849551558494601</v>
      </c>
      <c r="W158" t="s">
        <v>50</v>
      </c>
      <c r="X158" t="s">
        <v>51</v>
      </c>
      <c r="Y158" t="s">
        <v>52</v>
      </c>
      <c r="Z158" t="s">
        <v>53</v>
      </c>
      <c r="AC158" s="2">
        <v>0.51937742097430395</v>
      </c>
      <c r="AD158" s="2">
        <v>0.168650597333908</v>
      </c>
      <c r="AE158" s="2">
        <v>0.28151997923851002</v>
      </c>
      <c r="AF158" s="2">
        <v>0.33950862288474998</v>
      </c>
      <c r="AG158" s="2">
        <v>0.46789455413818398</v>
      </c>
      <c r="AH158" s="2">
        <v>-0.31132951378822299</v>
      </c>
      <c r="AI158" s="2">
        <v>5.3755775094032301E-2</v>
      </c>
      <c r="AJ158" s="2">
        <v>0.47923499138561299</v>
      </c>
      <c r="AK158" s="2">
        <v>0.51145122339642002</v>
      </c>
      <c r="AL158" s="2">
        <v>0.30154100322084598</v>
      </c>
      <c r="AM158" s="2">
        <v>0.45584586262702897</v>
      </c>
      <c r="AN158" s="2">
        <v>0.49444100260734603</v>
      </c>
      <c r="AO158" s="2">
        <v>0.31827184557914701</v>
      </c>
      <c r="AP158" s="2"/>
    </row>
    <row r="159" spans="1:42" x14ac:dyDescent="0.3">
      <c r="A159" t="s">
        <v>106</v>
      </c>
      <c r="B159" s="3">
        <v>2016</v>
      </c>
      <c r="C159" s="3">
        <v>0.427564</v>
      </c>
      <c r="D159" s="3"/>
      <c r="E159" t="s">
        <v>107</v>
      </c>
      <c r="G159" s="3">
        <v>15381.3935546875</v>
      </c>
      <c r="H159" s="3">
        <v>23141.11328125</v>
      </c>
      <c r="I159" s="3">
        <v>28223</v>
      </c>
      <c r="J159" s="3">
        <v>29174.33203125</v>
      </c>
      <c r="K159" s="3">
        <v>182030.5625</v>
      </c>
      <c r="L159" s="3"/>
      <c r="M159" s="3"/>
      <c r="N159" s="3"/>
      <c r="O159" s="3">
        <v>15618.291015625</v>
      </c>
      <c r="P159" s="3">
        <v>25716.107421875</v>
      </c>
      <c r="Q159" s="3"/>
      <c r="R159" s="3"/>
      <c r="S159" s="3">
        <v>0.35111975669860801</v>
      </c>
      <c r="T159" s="3">
        <v>0.40393534302711498</v>
      </c>
      <c r="U159" s="3">
        <v>0.390763610601425</v>
      </c>
      <c r="W159" t="s">
        <v>50</v>
      </c>
      <c r="X159" t="s">
        <v>51</v>
      </c>
      <c r="Y159" t="s">
        <v>52</v>
      </c>
      <c r="Z159" t="s">
        <v>53</v>
      </c>
      <c r="AC159" s="2">
        <v>0.49336692907144603</v>
      </c>
      <c r="AD159" s="2">
        <v>0.18303845822811099</v>
      </c>
      <c r="AE159" s="2">
        <v>0.26597765088081399</v>
      </c>
      <c r="AF159" s="2">
        <v>0.34418505430221602</v>
      </c>
      <c r="AG159" s="2">
        <v>0.42844617366790799</v>
      </c>
      <c r="AH159" s="2">
        <v>-0.28335165977478</v>
      </c>
      <c r="AI159" s="2">
        <v>6.1704333871602998E-2</v>
      </c>
      <c r="AJ159" s="2">
        <v>0.45153329353931299</v>
      </c>
      <c r="AK159" s="2">
        <v>0.50862690611151695</v>
      </c>
      <c r="AL159" s="2">
        <v>0.29771960690233301</v>
      </c>
      <c r="AM159" s="2">
        <v>0.45217326283454901</v>
      </c>
      <c r="AN159" s="2">
        <v>0.52049136161804199</v>
      </c>
      <c r="AO159" s="2">
        <v>0.29976236820220997</v>
      </c>
      <c r="AP159" s="2"/>
    </row>
    <row r="160" spans="1:42" x14ac:dyDescent="0.3">
      <c r="A160" t="s">
        <v>106</v>
      </c>
      <c r="B160" s="3">
        <v>2017</v>
      </c>
      <c r="C160" s="3">
        <v>0.43277199999999999</v>
      </c>
      <c r="D160" s="3"/>
      <c r="E160" t="s">
        <v>107</v>
      </c>
      <c r="G160" s="3">
        <v>16796.05078125</v>
      </c>
      <c r="H160" s="3">
        <v>25580.740234375</v>
      </c>
      <c r="I160" s="3">
        <v>31288.517578125</v>
      </c>
      <c r="J160" s="3">
        <v>31337.265625</v>
      </c>
      <c r="K160" s="3">
        <v>202089.71875</v>
      </c>
      <c r="L160" s="3"/>
      <c r="M160" s="3"/>
      <c r="N160" s="3"/>
      <c r="O160" s="3">
        <v>16588.95703125</v>
      </c>
      <c r="P160" s="3">
        <v>27505.8125</v>
      </c>
      <c r="Q160" s="3"/>
      <c r="R160" s="3"/>
      <c r="S160" s="3">
        <v>0.339039146900177</v>
      </c>
      <c r="T160" s="3">
        <v>0.38762357831001298</v>
      </c>
      <c r="U160" s="3">
        <v>0.38702058792114302</v>
      </c>
      <c r="W160" t="s">
        <v>51</v>
      </c>
      <c r="X160" t="s">
        <v>51</v>
      </c>
      <c r="Y160" t="s">
        <v>52</v>
      </c>
      <c r="Z160" t="s">
        <v>53</v>
      </c>
      <c r="AC160" s="2">
        <v>0.47778842638435698</v>
      </c>
      <c r="AD160" s="2">
        <v>0.18841332197189301</v>
      </c>
      <c r="AE160" s="2">
        <v>0.28032726049423201</v>
      </c>
      <c r="AF160" s="2">
        <v>0.34756356477737399</v>
      </c>
      <c r="AG160" s="2">
        <v>0.41765871644020103</v>
      </c>
      <c r="AH160" s="2">
        <v>-0.27668938040733299</v>
      </c>
      <c r="AI160" s="2">
        <v>4.2726483196020099E-2</v>
      </c>
      <c r="AJ160" s="2">
        <v>0.420589968912013</v>
      </c>
      <c r="AK160" s="2">
        <v>0.48051544870847801</v>
      </c>
      <c r="AL160" s="2">
        <v>0.29483065239346801</v>
      </c>
      <c r="AM160" s="2">
        <v>0.45936763286590598</v>
      </c>
      <c r="AN160" s="2">
        <v>0.49800640344619801</v>
      </c>
      <c r="AO160" s="2">
        <v>0.27550551295280501</v>
      </c>
      <c r="AP160" s="2"/>
    </row>
    <row r="161" spans="1:42" x14ac:dyDescent="0.3">
      <c r="A161" t="s">
        <v>106</v>
      </c>
      <c r="B161" s="3">
        <v>2018</v>
      </c>
      <c r="C161" s="3">
        <v>0.43780999999999998</v>
      </c>
      <c r="D161" s="3"/>
      <c r="E161" t="s">
        <v>107</v>
      </c>
      <c r="G161" s="3">
        <v>15855.166015625</v>
      </c>
      <c r="H161" s="3">
        <v>26820.30078125</v>
      </c>
      <c r="I161" s="3">
        <v>31649.78515625</v>
      </c>
      <c r="J161" s="3">
        <v>32512.919921875</v>
      </c>
      <c r="K161" s="3">
        <v>206132.65625</v>
      </c>
      <c r="L161" s="3"/>
      <c r="M161" s="3"/>
      <c r="N161" s="3"/>
      <c r="O161" s="3">
        <v>16895.892578125</v>
      </c>
      <c r="P161" s="3">
        <v>31092.09375</v>
      </c>
      <c r="Q161" s="3"/>
      <c r="R161" s="3"/>
      <c r="S161" s="3">
        <v>0.37371096014976501</v>
      </c>
      <c r="T161" s="3">
        <v>0.42865735292434698</v>
      </c>
      <c r="U161" s="3">
        <v>0.41727760434150701</v>
      </c>
      <c r="W161" t="s">
        <v>50</v>
      </c>
      <c r="X161" t="s">
        <v>51</v>
      </c>
      <c r="Y161" t="s">
        <v>52</v>
      </c>
      <c r="Z161" t="s">
        <v>53</v>
      </c>
      <c r="AC161" s="2">
        <v>0.471068271077204</v>
      </c>
      <c r="AD161" s="2">
        <v>0.188189536333084</v>
      </c>
      <c r="AE161" s="2">
        <v>0.33725467324256903</v>
      </c>
      <c r="AF161" s="2">
        <v>0.29946789145469699</v>
      </c>
      <c r="AG161" s="2">
        <v>0.450806945562363</v>
      </c>
      <c r="AH161" s="2">
        <v>-0.32862624526023898</v>
      </c>
      <c r="AI161" s="2">
        <v>5.2907209843397099E-2</v>
      </c>
      <c r="AJ161" s="2">
        <v>0.43310006423987502</v>
      </c>
      <c r="AK161" s="2">
        <v>0.50810772034468898</v>
      </c>
      <c r="AL161" s="2">
        <v>0.33639006860587101</v>
      </c>
      <c r="AM161" s="2">
        <v>0.48070636391639698</v>
      </c>
      <c r="AN161" s="2">
        <v>0.53285396099090598</v>
      </c>
      <c r="AO161" s="2">
        <v>0.29204195737838701</v>
      </c>
      <c r="AP161" s="2"/>
    </row>
    <row r="162" spans="1:42" x14ac:dyDescent="0.3">
      <c r="A162" t="s">
        <v>106</v>
      </c>
      <c r="B162" s="3">
        <v>2019</v>
      </c>
      <c r="C162" s="3">
        <v>0.44268000000000002</v>
      </c>
      <c r="D162" s="3"/>
      <c r="E162" t="s">
        <v>107</v>
      </c>
      <c r="G162" s="3">
        <v>17145.109375</v>
      </c>
      <c r="H162" s="3">
        <v>28423.9765625</v>
      </c>
      <c r="I162" s="3">
        <v>33761.22265625</v>
      </c>
      <c r="J162" s="3">
        <v>35759.4609375</v>
      </c>
      <c r="K162" s="3">
        <v>229846.9375</v>
      </c>
      <c r="L162" s="3"/>
      <c r="M162" s="3"/>
      <c r="N162" s="3"/>
      <c r="O162" s="3">
        <v>17518.62890625</v>
      </c>
      <c r="P162" s="3">
        <v>31028.806640625</v>
      </c>
      <c r="Q162" s="3"/>
      <c r="R162" s="3"/>
      <c r="S162" s="3">
        <v>0.35755470395088201</v>
      </c>
      <c r="T162" s="3">
        <v>0.39895594120025601</v>
      </c>
      <c r="U162" s="3">
        <v>0.37666225433349598</v>
      </c>
      <c r="W162" t="s">
        <v>50</v>
      </c>
      <c r="X162" t="s">
        <v>54</v>
      </c>
      <c r="Y162" t="s">
        <v>52</v>
      </c>
      <c r="Z162" t="s">
        <v>53</v>
      </c>
      <c r="AC162" s="2">
        <v>0.459034727161093</v>
      </c>
      <c r="AD162" s="2">
        <v>0.183035314083099</v>
      </c>
      <c r="AE162" s="2">
        <v>0.31540933251380898</v>
      </c>
      <c r="AF162" s="2">
        <v>0.29642125964164701</v>
      </c>
      <c r="AG162" s="2">
        <v>0.46222224831581099</v>
      </c>
      <c r="AH162" s="2">
        <v>-0.34135204553604098</v>
      </c>
      <c r="AI162" s="2">
        <v>8.4263838827610002E-2</v>
      </c>
      <c r="AJ162" s="2">
        <v>0.42130795429461199</v>
      </c>
      <c r="AK162" s="2">
        <v>0.46189030651276097</v>
      </c>
      <c r="AL162" s="2">
        <v>0.31818812231041199</v>
      </c>
      <c r="AM162" s="2">
        <v>0.47219896316528298</v>
      </c>
      <c r="AN162" s="2">
        <v>0.55794030427932695</v>
      </c>
      <c r="AO162" s="2">
        <v>0.26612812280654902</v>
      </c>
      <c r="AP162" s="2"/>
    </row>
    <row r="163" spans="1:42" x14ac:dyDescent="0.3">
      <c r="A163" t="s">
        <v>106</v>
      </c>
      <c r="B163" s="3">
        <v>2020</v>
      </c>
      <c r="C163" s="3">
        <v>0.44740400000000002</v>
      </c>
      <c r="D163" s="3"/>
      <c r="E163" t="s">
        <v>107</v>
      </c>
      <c r="G163" s="3">
        <v>18132.240234375</v>
      </c>
      <c r="H163" s="3">
        <v>30833.896484375</v>
      </c>
      <c r="I163" s="3">
        <v>34336.02734375</v>
      </c>
      <c r="J163" s="3">
        <v>37775.63671875</v>
      </c>
      <c r="K163" s="3">
        <v>296895.875</v>
      </c>
      <c r="L163" s="3"/>
      <c r="M163" s="3"/>
      <c r="N163" s="3"/>
      <c r="O163" s="3">
        <v>18187.234375</v>
      </c>
      <c r="P163" s="3">
        <v>30300.744140625</v>
      </c>
      <c r="Q163" s="3"/>
      <c r="R163" s="3"/>
      <c r="S163" s="3">
        <v>0.32584843039512601</v>
      </c>
      <c r="T163" s="3">
        <v>0.34965589642524703</v>
      </c>
      <c r="U163" s="3">
        <v>0.317818492650986</v>
      </c>
      <c r="W163" t="s">
        <v>50</v>
      </c>
      <c r="X163" t="s">
        <v>54</v>
      </c>
      <c r="Y163" t="s">
        <v>52</v>
      </c>
      <c r="Z163" t="s">
        <v>53</v>
      </c>
      <c r="AC163" s="2">
        <v>0.44370531583343698</v>
      </c>
      <c r="AD163" s="2">
        <v>0.18165066838264499</v>
      </c>
      <c r="AE163" s="2">
        <v>0.33623933792114302</v>
      </c>
      <c r="AF163" s="2">
        <v>0.29834759235382102</v>
      </c>
      <c r="AG163" s="2">
        <v>0.43822029232978799</v>
      </c>
      <c r="AH163" s="2">
        <v>-0.31224158406257602</v>
      </c>
      <c r="AI163" s="2">
        <v>5.77836818993092E-2</v>
      </c>
      <c r="AJ163" s="2">
        <v>0.41608606125556602</v>
      </c>
      <c r="AK163" s="2">
        <v>0.38364228446277998</v>
      </c>
      <c r="AL163" s="2">
        <v>0.27090673790893399</v>
      </c>
      <c r="AM163" s="2">
        <v>0.41597419977188099</v>
      </c>
      <c r="AN163" s="2">
        <v>0.53880357742309604</v>
      </c>
      <c r="AO163" s="2">
        <v>0.21813805401325201</v>
      </c>
      <c r="AP163" s="2"/>
    </row>
    <row r="164" spans="1:42" x14ac:dyDescent="0.3">
      <c r="A164" t="s">
        <v>108</v>
      </c>
      <c r="B164" s="3">
        <v>2015</v>
      </c>
      <c r="C164" s="3">
        <v>0.740618</v>
      </c>
      <c r="D164" s="3"/>
      <c r="E164" t="s">
        <v>109</v>
      </c>
      <c r="G164" s="3">
        <v>6948.0576171875</v>
      </c>
      <c r="H164" s="3">
        <v>10475.0185546875</v>
      </c>
      <c r="I164" s="3">
        <v>8276.265625</v>
      </c>
      <c r="J164" s="3">
        <v>8698.2177734375</v>
      </c>
      <c r="K164" s="3">
        <v>58907.4765625</v>
      </c>
      <c r="L164" s="3"/>
      <c r="M164" s="3"/>
      <c r="N164" s="3"/>
      <c r="O164" s="3">
        <v>8106.48681640625</v>
      </c>
      <c r="P164" s="3">
        <v>11598.9580078125</v>
      </c>
      <c r="Q164" s="3"/>
      <c r="R164" s="3"/>
      <c r="S164" s="3">
        <v>0.22084496915340401</v>
      </c>
      <c r="T164" s="3">
        <v>0.26434817910194403</v>
      </c>
      <c r="U164" s="3">
        <v>0.25152462720870999</v>
      </c>
      <c r="W164" t="s">
        <v>50</v>
      </c>
      <c r="X164" t="s">
        <v>51</v>
      </c>
      <c r="Y164" t="s">
        <v>52</v>
      </c>
      <c r="Z164" t="s">
        <v>53</v>
      </c>
      <c r="AC164" s="2">
        <v>0.43350080968731203</v>
      </c>
      <c r="AD164" s="2">
        <v>0.50569504499435403</v>
      </c>
      <c r="AE164" s="2">
        <v>0.40548092126846302</v>
      </c>
      <c r="AF164" s="2">
        <v>0.29309591650962802</v>
      </c>
      <c r="AG164" s="2">
        <v>5.97643665969372E-2</v>
      </c>
      <c r="AH164" s="2">
        <v>-0.10891730338335</v>
      </c>
      <c r="AI164" s="2">
        <v>-0.15511898696422599</v>
      </c>
      <c r="AJ164" s="2">
        <v>0.25367576159286698</v>
      </c>
      <c r="AK164" s="2">
        <v>0.35004883672177201</v>
      </c>
      <c r="AL164" s="2">
        <v>0.16420014699506</v>
      </c>
      <c r="AM164" s="2">
        <v>0.52183532714843806</v>
      </c>
      <c r="AN164" s="2">
        <v>0.54163473844528198</v>
      </c>
      <c r="AO164" s="2">
        <v>0.19412149488925901</v>
      </c>
      <c r="AP164" s="2"/>
    </row>
    <row r="165" spans="1:42" x14ac:dyDescent="0.3">
      <c r="A165" t="s">
        <v>108</v>
      </c>
      <c r="B165" s="3">
        <v>2016</v>
      </c>
      <c r="C165" s="3">
        <v>0.74786600000000003</v>
      </c>
      <c r="D165" s="3"/>
      <c r="E165" t="s">
        <v>109</v>
      </c>
      <c r="G165" s="3">
        <v>7280.9228515625</v>
      </c>
      <c r="H165" s="3">
        <v>11086.6162109375</v>
      </c>
      <c r="I165" s="3">
        <v>9077.04296875</v>
      </c>
      <c r="J165" s="3">
        <v>9605.6416015625</v>
      </c>
      <c r="K165" s="3">
        <v>62862.48046875</v>
      </c>
      <c r="L165" s="3"/>
      <c r="M165" s="3"/>
      <c r="N165" s="3"/>
      <c r="O165" s="3">
        <v>7925.0302734375</v>
      </c>
      <c r="P165" s="3">
        <v>12015.361328125</v>
      </c>
      <c r="Q165" s="3"/>
      <c r="R165" s="3"/>
      <c r="S165" s="3">
        <v>0.21285989880561801</v>
      </c>
      <c r="T165" s="3">
        <v>0.25972169637680098</v>
      </c>
      <c r="U165" s="3">
        <v>0.245429188013077</v>
      </c>
      <c r="W165" t="s">
        <v>50</v>
      </c>
      <c r="X165" t="s">
        <v>51</v>
      </c>
      <c r="Y165" t="s">
        <v>52</v>
      </c>
      <c r="Z165" t="s">
        <v>53</v>
      </c>
      <c r="AC165" s="2">
        <v>0.383986641270537</v>
      </c>
      <c r="AD165" s="2">
        <v>0.47894728183746299</v>
      </c>
      <c r="AE165" s="2">
        <v>0.39619362354278598</v>
      </c>
      <c r="AF165" s="2">
        <v>0.27903676033019997</v>
      </c>
      <c r="AG165" s="2">
        <v>2.9726672917604401E-2</v>
      </c>
      <c r="AH165" s="2">
        <v>-8.6472816765308394E-2</v>
      </c>
      <c r="AI165" s="2">
        <v>-9.7431518137455E-2</v>
      </c>
      <c r="AJ165" s="2">
        <v>0.24409503416870701</v>
      </c>
      <c r="AK165" s="2">
        <v>0.34937604269893102</v>
      </c>
      <c r="AL165" s="2">
        <v>0.15924694279004101</v>
      </c>
      <c r="AM165" s="2">
        <v>0.48966339230537398</v>
      </c>
      <c r="AN165" s="2">
        <v>0.520155370235443</v>
      </c>
      <c r="AO165" s="2">
        <v>0.18806909024715401</v>
      </c>
      <c r="AP165" s="2"/>
    </row>
    <row r="166" spans="1:42" x14ac:dyDescent="0.3">
      <c r="A166" t="s">
        <v>108</v>
      </c>
      <c r="B166" s="3">
        <v>2017</v>
      </c>
      <c r="C166" s="3">
        <v>0.75433499999999998</v>
      </c>
      <c r="D166" s="3"/>
      <c r="E166" t="s">
        <v>109</v>
      </c>
      <c r="G166" s="3">
        <v>7404.447265625</v>
      </c>
      <c r="H166" s="3">
        <v>11251.0830078125</v>
      </c>
      <c r="I166" s="3">
        <v>9384.068359375</v>
      </c>
      <c r="J166" s="3">
        <v>9913.1953125</v>
      </c>
      <c r="K166" s="3">
        <v>68486.96875</v>
      </c>
      <c r="L166" s="3"/>
      <c r="M166" s="3"/>
      <c r="N166" s="3"/>
      <c r="O166" s="3">
        <v>8168.94287109375</v>
      </c>
      <c r="P166" s="3">
        <v>12137.3603515625</v>
      </c>
      <c r="Q166" s="3"/>
      <c r="R166" s="3"/>
      <c r="S166" s="3">
        <v>0.230029731988907</v>
      </c>
      <c r="T166" s="3">
        <v>0.27614441514015198</v>
      </c>
      <c r="U166" s="3">
        <v>0.26140490174293501</v>
      </c>
      <c r="W166" t="s">
        <v>51</v>
      </c>
      <c r="X166" t="s">
        <v>51</v>
      </c>
      <c r="Y166" t="s">
        <v>52</v>
      </c>
      <c r="Z166" t="s">
        <v>53</v>
      </c>
      <c r="AC166" s="2">
        <v>0.36039337885067502</v>
      </c>
      <c r="AD166" s="2">
        <v>0.45732846856117298</v>
      </c>
      <c r="AE166" s="2">
        <v>0.38803189992904702</v>
      </c>
      <c r="AF166" s="2">
        <v>0.28959995508193997</v>
      </c>
      <c r="AG166" s="2">
        <v>3.2717939466238001E-2</v>
      </c>
      <c r="AH166" s="2">
        <v>-8.6365126073360401E-2</v>
      </c>
      <c r="AI166" s="2">
        <v>-8.13131183385849E-2</v>
      </c>
      <c r="AJ166" s="2">
        <v>0.27174995378823003</v>
      </c>
      <c r="AK166" s="2">
        <v>0.364911262829691</v>
      </c>
      <c r="AL166" s="2">
        <v>0.16414628057156799</v>
      </c>
      <c r="AM166" s="2">
        <v>0.496978849172592</v>
      </c>
      <c r="AN166" s="2">
        <v>0.54434609413146995</v>
      </c>
      <c r="AO166" s="2">
        <v>0.19452480971813199</v>
      </c>
      <c r="AP166" s="2"/>
    </row>
    <row r="167" spans="1:42" x14ac:dyDescent="0.3">
      <c r="A167" t="s">
        <v>108</v>
      </c>
      <c r="B167" s="3">
        <v>2018</v>
      </c>
      <c r="C167" s="3">
        <v>0.75975899999999996</v>
      </c>
      <c r="D167" s="3"/>
      <c r="E167" t="s">
        <v>109</v>
      </c>
      <c r="G167" s="3">
        <v>7682.2451171875</v>
      </c>
      <c r="H167" s="3">
        <v>11422.8154296875</v>
      </c>
      <c r="I167" s="3">
        <v>9412.3173828125</v>
      </c>
      <c r="J167" s="3">
        <v>9941.9072265625</v>
      </c>
      <c r="K167" s="3">
        <v>71455.9921875</v>
      </c>
      <c r="L167" s="3"/>
      <c r="M167" s="3"/>
      <c r="N167" s="3"/>
      <c r="O167" s="3">
        <v>8717.5537109375</v>
      </c>
      <c r="P167" s="3">
        <v>12554.09375</v>
      </c>
      <c r="Q167" s="3"/>
      <c r="R167" s="3"/>
      <c r="S167" s="3">
        <v>0.226462617516518</v>
      </c>
      <c r="T167" s="3">
        <v>0.27446329593658497</v>
      </c>
      <c r="U167" s="3">
        <v>0.25984308123588601</v>
      </c>
      <c r="W167" t="s">
        <v>50</v>
      </c>
      <c r="X167" t="s">
        <v>51</v>
      </c>
      <c r="Y167" t="s">
        <v>52</v>
      </c>
      <c r="Z167" t="s">
        <v>53</v>
      </c>
      <c r="AC167" s="2">
        <v>0.36820859168289899</v>
      </c>
      <c r="AD167" s="2">
        <v>0.47579017281532299</v>
      </c>
      <c r="AE167" s="2">
        <v>0.37624269723892201</v>
      </c>
      <c r="AF167" s="2">
        <v>0.29692324995994601</v>
      </c>
      <c r="AG167" s="2">
        <v>3.1161073595285398E-2</v>
      </c>
      <c r="AH167" s="2">
        <v>-9.0746171772479997E-2</v>
      </c>
      <c r="AI167" s="2">
        <v>-8.9371047914028195E-2</v>
      </c>
      <c r="AJ167" s="2">
        <v>0.26678340651716498</v>
      </c>
      <c r="AK167" s="2">
        <v>0.373045340783416</v>
      </c>
      <c r="AL167" s="2">
        <v>0.161852536495035</v>
      </c>
      <c r="AM167" s="2">
        <v>0.53224462270736705</v>
      </c>
      <c r="AN167" s="2">
        <v>0.53849190473556496</v>
      </c>
      <c r="AO167" s="2">
        <v>0.199102863669395</v>
      </c>
      <c r="AP167" s="2"/>
    </row>
    <row r="168" spans="1:42" x14ac:dyDescent="0.3">
      <c r="A168" t="s">
        <v>108</v>
      </c>
      <c r="B168" s="3">
        <v>2019</v>
      </c>
      <c r="C168" s="3">
        <v>0.76482399999999995</v>
      </c>
      <c r="D168" s="3"/>
      <c r="E168" t="s">
        <v>109</v>
      </c>
      <c r="G168" s="3">
        <v>8224.1533203125</v>
      </c>
      <c r="H168" s="3">
        <v>11601.359375</v>
      </c>
      <c r="I168" s="3">
        <v>10247.78125</v>
      </c>
      <c r="J168" s="3">
        <v>10745.384765625</v>
      </c>
      <c r="K168" s="3">
        <v>72202.859375</v>
      </c>
      <c r="L168" s="3"/>
      <c r="M168" s="3"/>
      <c r="N168" s="3"/>
      <c r="O168" s="3">
        <v>8823.12890625</v>
      </c>
      <c r="P168" s="3">
        <v>12232.677734375</v>
      </c>
      <c r="Q168" s="3"/>
      <c r="R168" s="3"/>
      <c r="S168" s="3">
        <v>0.22327853739261599</v>
      </c>
      <c r="T168" s="3">
        <v>0.26695373654365501</v>
      </c>
      <c r="U168" s="3">
        <v>0.25459149479866</v>
      </c>
      <c r="W168" t="s">
        <v>50</v>
      </c>
      <c r="X168" t="s">
        <v>54</v>
      </c>
      <c r="Y168" t="s">
        <v>52</v>
      </c>
      <c r="Z168" t="s">
        <v>53</v>
      </c>
      <c r="AC168" s="2">
        <v>0.37063744427075102</v>
      </c>
      <c r="AD168" s="2">
        <v>0.46578550338745101</v>
      </c>
      <c r="AE168" s="2">
        <v>0.314293682575226</v>
      </c>
      <c r="AF168" s="2">
        <v>0.29958066344261203</v>
      </c>
      <c r="AG168" s="2">
        <v>3.6499794572591802E-2</v>
      </c>
      <c r="AH168" s="2">
        <v>-8.1457391381263705E-2</v>
      </c>
      <c r="AI168" s="2">
        <v>-3.4702282398939098E-2</v>
      </c>
      <c r="AJ168" s="2">
        <v>0.26239047781089903</v>
      </c>
      <c r="AK168" s="2">
        <v>0.37331136856438502</v>
      </c>
      <c r="AL168" s="2">
        <v>0.162467628407265</v>
      </c>
      <c r="AM168" s="2">
        <v>0.479800134897232</v>
      </c>
      <c r="AN168" s="2">
        <v>0.51935678720474199</v>
      </c>
      <c r="AO168" s="2">
        <v>0.19957064092159299</v>
      </c>
      <c r="AP168" s="2"/>
    </row>
    <row r="169" spans="1:42" x14ac:dyDescent="0.3">
      <c r="A169" t="s">
        <v>108</v>
      </c>
      <c r="B169" s="3">
        <v>2020</v>
      </c>
      <c r="C169" s="3">
        <v>0.77000599999999997</v>
      </c>
      <c r="D169" s="3"/>
      <c r="E169" t="s">
        <v>109</v>
      </c>
      <c r="G169" s="3">
        <v>8788.7890625</v>
      </c>
      <c r="H169" s="3">
        <v>11334.876953125</v>
      </c>
      <c r="I169" s="3">
        <v>9796.8603515625</v>
      </c>
      <c r="J169" s="3">
        <v>10289.466796875</v>
      </c>
      <c r="K169" s="3">
        <v>72763.828125</v>
      </c>
      <c r="L169" s="3"/>
      <c r="M169" s="3"/>
      <c r="N169" s="3"/>
      <c r="O169" s="3">
        <v>9133.4423828125</v>
      </c>
      <c r="P169" s="3">
        <v>11406.091796875</v>
      </c>
      <c r="Q169" s="3"/>
      <c r="R169" s="3"/>
      <c r="S169" s="3">
        <v>0.21427586674690199</v>
      </c>
      <c r="T169" s="3">
        <v>0.25085631012916598</v>
      </c>
      <c r="U169" s="3">
        <v>0.238846614956856</v>
      </c>
      <c r="W169" t="s">
        <v>50</v>
      </c>
      <c r="X169" t="s">
        <v>54</v>
      </c>
      <c r="Y169" t="s">
        <v>52</v>
      </c>
      <c r="Z169" t="s">
        <v>53</v>
      </c>
      <c r="AC169" s="2">
        <v>0.36435191179135701</v>
      </c>
      <c r="AD169" s="2">
        <v>0.50727379322052002</v>
      </c>
      <c r="AE169" s="2">
        <v>0.24744607508182501</v>
      </c>
      <c r="AF169" s="2">
        <v>0.34688019752502403</v>
      </c>
      <c r="AG169" s="2">
        <v>3.01434174180031E-2</v>
      </c>
      <c r="AH169" s="2">
        <v>-7.6199330389499706E-2</v>
      </c>
      <c r="AI169" s="2">
        <v>-5.55441714823246E-2</v>
      </c>
      <c r="AJ169" s="2">
        <v>0.25572999206212499</v>
      </c>
      <c r="AK169" s="2">
        <v>0.377127582193231</v>
      </c>
      <c r="AL169" s="2">
        <v>0.15365382021503299</v>
      </c>
      <c r="AM169" s="2">
        <v>0.48627749085426297</v>
      </c>
      <c r="AN169" s="2">
        <v>0.51034891605377197</v>
      </c>
      <c r="AO169" s="2">
        <v>0.198783189058304</v>
      </c>
      <c r="AP169" s="2"/>
    </row>
    <row r="170" spans="1:42" x14ac:dyDescent="0.3">
      <c r="A170" t="s">
        <v>110</v>
      </c>
      <c r="B170" s="3">
        <v>2015</v>
      </c>
      <c r="C170" s="3">
        <v>2.2032729999999998</v>
      </c>
      <c r="D170" s="3">
        <v>2374.19</v>
      </c>
      <c r="E170" t="s">
        <v>111</v>
      </c>
      <c r="G170" s="3">
        <v>28051.513671875</v>
      </c>
      <c r="H170" s="3">
        <v>38021.87109375</v>
      </c>
      <c r="I170" s="3">
        <v>35842.46875</v>
      </c>
      <c r="J170" s="3">
        <v>34500.71875</v>
      </c>
      <c r="K170" s="3">
        <v>146967.625</v>
      </c>
      <c r="L170" s="3">
        <v>1.3883396750316E-3</v>
      </c>
      <c r="M170" s="3">
        <v>0.58798301219940197</v>
      </c>
      <c r="N170" s="3">
        <v>0.62514758110046398</v>
      </c>
      <c r="O170" s="3">
        <v>27803.263671875</v>
      </c>
      <c r="P170" s="3">
        <v>36334.33203125</v>
      </c>
      <c r="Q170" s="3">
        <v>1.09917688369751</v>
      </c>
      <c r="R170" s="3">
        <v>0.277960985898972</v>
      </c>
      <c r="S170" s="3">
        <v>0.37448588013648998</v>
      </c>
      <c r="T170" s="3">
        <v>0.37750595808029203</v>
      </c>
      <c r="U170" s="3">
        <v>0.39218735694885298</v>
      </c>
      <c r="W170" t="s">
        <v>50</v>
      </c>
      <c r="X170" t="s">
        <v>51</v>
      </c>
      <c r="Y170" t="s">
        <v>52</v>
      </c>
      <c r="Z170" t="s">
        <v>53</v>
      </c>
      <c r="AA170" t="s">
        <v>53</v>
      </c>
      <c r="AC170" s="2">
        <v>0.41454530146702701</v>
      </c>
      <c r="AD170" s="2">
        <v>0.43301597237586997</v>
      </c>
      <c r="AE170" s="2">
        <v>0.28898984193801902</v>
      </c>
      <c r="AF170" s="2">
        <v>0.38005444407463101</v>
      </c>
      <c r="AG170" s="2">
        <v>0.325436681509018</v>
      </c>
      <c r="AH170" s="2">
        <v>-0.49368125200271601</v>
      </c>
      <c r="AI170" s="2">
        <v>6.6184319555759402E-2</v>
      </c>
      <c r="AJ170" s="2">
        <v>0.416607318422336</v>
      </c>
      <c r="AK170" s="2">
        <v>0.38600284892229397</v>
      </c>
      <c r="AL170" s="2">
        <v>0.326494709558103</v>
      </c>
      <c r="AM170" s="2">
        <v>0.5637566447258</v>
      </c>
      <c r="AN170" s="2">
        <v>0.47251275181770303</v>
      </c>
      <c r="AO170" s="2">
        <v>0.22499734163284299</v>
      </c>
      <c r="AP170" s="2">
        <v>0.94017487764358498</v>
      </c>
    </row>
    <row r="171" spans="1:42" x14ac:dyDescent="0.3">
      <c r="A171" t="s">
        <v>110</v>
      </c>
      <c r="B171" s="3">
        <v>2016</v>
      </c>
      <c r="C171" s="3">
        <v>2.2347760000000001</v>
      </c>
      <c r="D171" s="3">
        <v>2364.67</v>
      </c>
      <c r="E171" t="s">
        <v>111</v>
      </c>
      <c r="G171" s="3">
        <v>29551.8046875</v>
      </c>
      <c r="H171" s="3">
        <v>38033.87890625</v>
      </c>
      <c r="I171" s="3">
        <v>41684.60546875</v>
      </c>
      <c r="J171" s="3">
        <v>37994.75</v>
      </c>
      <c r="K171" s="3">
        <v>148042.140625</v>
      </c>
      <c r="L171" s="3">
        <v>1.3575674965977699E-3</v>
      </c>
      <c r="M171" s="3">
        <v>0.635381400585175</v>
      </c>
      <c r="N171" s="3">
        <v>0.61492657661437999</v>
      </c>
      <c r="O171" s="3">
        <v>28696.263671875</v>
      </c>
      <c r="P171" s="3">
        <v>36238.3515625</v>
      </c>
      <c r="Q171" s="3">
        <v>1.1103109121322601</v>
      </c>
      <c r="R171" s="3">
        <v>0.277960985898972</v>
      </c>
      <c r="S171" s="3">
        <v>0.35305163264274603</v>
      </c>
      <c r="T171" s="3">
        <v>0.361827492713928</v>
      </c>
      <c r="U171" s="3">
        <v>0.39696627855300898</v>
      </c>
      <c r="W171" t="s">
        <v>50</v>
      </c>
      <c r="X171" t="s">
        <v>51</v>
      </c>
      <c r="Y171" t="s">
        <v>52</v>
      </c>
      <c r="Z171" t="s">
        <v>53</v>
      </c>
      <c r="AA171" t="s">
        <v>53</v>
      </c>
      <c r="AC171" s="2">
        <v>0.39595423733428697</v>
      </c>
      <c r="AD171" s="2">
        <v>0.40793615579605103</v>
      </c>
      <c r="AE171" s="2">
        <v>0.22324331104755399</v>
      </c>
      <c r="AF171" s="2">
        <v>0.36985039710998502</v>
      </c>
      <c r="AG171" s="2">
        <v>0.33463233709335299</v>
      </c>
      <c r="AH171" s="2">
        <v>-0.342487812042236</v>
      </c>
      <c r="AI171" s="2">
        <v>6.82561146095395E-3</v>
      </c>
      <c r="AJ171" s="2">
        <v>0.396041679123732</v>
      </c>
      <c r="AK171" s="2">
        <v>0.39240277714814098</v>
      </c>
      <c r="AL171" s="2">
        <v>0.30563464953340602</v>
      </c>
      <c r="AM171" s="2">
        <v>0.57578653097152699</v>
      </c>
      <c r="AN171" s="2">
        <v>0.46898055076599099</v>
      </c>
      <c r="AO171" s="2">
        <v>0.229132920503616</v>
      </c>
      <c r="AP171" s="2">
        <v>1.0383403301239</v>
      </c>
    </row>
    <row r="172" spans="1:42" x14ac:dyDescent="0.3">
      <c r="A172" t="s">
        <v>110</v>
      </c>
      <c r="B172" s="3">
        <v>2017</v>
      </c>
      <c r="C172" s="3">
        <v>2.2667470000000001</v>
      </c>
      <c r="D172" s="3">
        <v>2353.87</v>
      </c>
      <c r="E172" t="s">
        <v>111</v>
      </c>
      <c r="G172" s="3">
        <v>30146.111328125</v>
      </c>
      <c r="H172" s="3">
        <v>39232.0234375</v>
      </c>
      <c r="I172" s="3">
        <v>40898.265625</v>
      </c>
      <c r="J172" s="3">
        <v>39433.98046875</v>
      </c>
      <c r="K172" s="3">
        <v>148938.359375</v>
      </c>
      <c r="L172" s="3">
        <v>1.3338864082470499E-3</v>
      </c>
      <c r="M172" s="3">
        <v>0.644556224346161</v>
      </c>
      <c r="N172" s="3">
        <v>0.61754006147384599</v>
      </c>
      <c r="O172" s="3">
        <v>28539.259765625</v>
      </c>
      <c r="P172" s="3">
        <v>37290.109375</v>
      </c>
      <c r="Q172" s="3">
        <v>1.09849989414215</v>
      </c>
      <c r="R172" s="3">
        <v>0.277960985898972</v>
      </c>
      <c r="S172" s="3">
        <v>0.378881305456162</v>
      </c>
      <c r="T172" s="3">
        <v>0.393786370754242</v>
      </c>
      <c r="U172" s="3">
        <v>0.40840870141982999</v>
      </c>
      <c r="W172" t="s">
        <v>51</v>
      </c>
      <c r="X172" t="s">
        <v>51</v>
      </c>
      <c r="Y172" t="s">
        <v>52</v>
      </c>
      <c r="Z172" t="s">
        <v>53</v>
      </c>
      <c r="AA172" t="s">
        <v>53</v>
      </c>
      <c r="AC172" s="2">
        <v>0.385649334877534</v>
      </c>
      <c r="AD172" s="2">
        <v>0.39551401138305697</v>
      </c>
      <c r="AE172" s="2">
        <v>0.23040816187858601</v>
      </c>
      <c r="AF172" s="2">
        <v>0.36895638704299899</v>
      </c>
      <c r="AG172" s="2">
        <v>0.26946237683296198</v>
      </c>
      <c r="AH172" s="2">
        <v>-0.26625323295593301</v>
      </c>
      <c r="AI172" s="2">
        <v>1.9122427329421E-3</v>
      </c>
      <c r="AJ172" s="2">
        <v>0.43412644717111099</v>
      </c>
      <c r="AK172" s="2">
        <v>0.443239761481517</v>
      </c>
      <c r="AL172" s="2">
        <v>0.319659599434512</v>
      </c>
      <c r="AM172" s="2">
        <v>0.56039929389953602</v>
      </c>
      <c r="AN172" s="2">
        <v>0.50759363174438499</v>
      </c>
      <c r="AO172" s="2">
        <v>0.26285561919212302</v>
      </c>
      <c r="AP172" s="2">
        <v>1.08767914772034</v>
      </c>
    </row>
    <row r="173" spans="1:42" x14ac:dyDescent="0.3">
      <c r="A173" t="s">
        <v>110</v>
      </c>
      <c r="B173" s="3">
        <v>2018</v>
      </c>
      <c r="C173" s="3">
        <v>2.2991410000000001</v>
      </c>
      <c r="D173" s="3">
        <v>2343.37</v>
      </c>
      <c r="E173" t="s">
        <v>111</v>
      </c>
      <c r="G173" s="3">
        <v>30562.60546875</v>
      </c>
      <c r="H173" s="3">
        <v>39964.38671875</v>
      </c>
      <c r="I173" s="3">
        <v>40585.83984375</v>
      </c>
      <c r="J173" s="3">
        <v>38727.6640625</v>
      </c>
      <c r="K173" s="3">
        <v>155545.984375</v>
      </c>
      <c r="L173" s="3">
        <v>1.35067664086819E-3</v>
      </c>
      <c r="M173" s="3">
        <v>0.60609698295593295</v>
      </c>
      <c r="N173" s="3">
        <v>0.60205978155136097</v>
      </c>
      <c r="O173" s="3">
        <v>29701.302734375</v>
      </c>
      <c r="P173" s="3">
        <v>38337.0390625</v>
      </c>
      <c r="Q173" s="3">
        <v>1.0833108425140401</v>
      </c>
      <c r="R173" s="3">
        <v>0.277960985898972</v>
      </c>
      <c r="S173" s="3">
        <v>0.40439432859420799</v>
      </c>
      <c r="T173" s="3">
        <v>0.419651389122009</v>
      </c>
      <c r="U173" s="3">
        <v>0.43978652358055098</v>
      </c>
      <c r="W173" t="s">
        <v>50</v>
      </c>
      <c r="X173" t="s">
        <v>51</v>
      </c>
      <c r="Y173" t="s">
        <v>52</v>
      </c>
      <c r="Z173" t="s">
        <v>53</v>
      </c>
      <c r="AA173" t="s">
        <v>53</v>
      </c>
      <c r="AC173" s="2">
        <v>0.37899409585065702</v>
      </c>
      <c r="AD173" s="2">
        <v>0.41998127102851901</v>
      </c>
      <c r="AE173" s="2">
        <v>0.24276649951934801</v>
      </c>
      <c r="AF173" s="2">
        <v>0.36918601393699602</v>
      </c>
      <c r="AG173" s="2">
        <v>0.25546574592590299</v>
      </c>
      <c r="AH173" s="2">
        <v>-0.29090312123298601</v>
      </c>
      <c r="AI173" s="2">
        <v>3.5036201588809499E-3</v>
      </c>
      <c r="AJ173" s="2">
        <v>0.45517067122350702</v>
      </c>
      <c r="AK173" s="2">
        <v>0.469247954322909</v>
      </c>
      <c r="AL173" s="2">
        <v>0.34663179652236797</v>
      </c>
      <c r="AM173" s="2">
        <v>0.61882257461547896</v>
      </c>
      <c r="AN173" s="2">
        <v>0.52558642625808705</v>
      </c>
      <c r="AO173" s="2">
        <v>0.28699669241905201</v>
      </c>
      <c r="AP173" s="2">
        <v>1.0765597820282</v>
      </c>
    </row>
    <row r="174" spans="1:42" x14ac:dyDescent="0.3">
      <c r="A174" t="s">
        <v>110</v>
      </c>
      <c r="B174" s="3">
        <v>2019</v>
      </c>
      <c r="C174" s="3">
        <v>2.3320829999999999</v>
      </c>
      <c r="D174" s="3">
        <v>2333.63</v>
      </c>
      <c r="E174" t="s">
        <v>111</v>
      </c>
      <c r="G174" s="3">
        <v>32273.984375</v>
      </c>
      <c r="H174" s="3">
        <v>43610.921875</v>
      </c>
      <c r="I174" s="3">
        <v>40793.53515625</v>
      </c>
      <c r="J174" s="3">
        <v>40213.16015625</v>
      </c>
      <c r="K174" s="3">
        <v>161149.609375</v>
      </c>
      <c r="L174" s="3">
        <v>1.3632657937705499E-3</v>
      </c>
      <c r="M174" s="3">
        <v>0.60782772302627597</v>
      </c>
      <c r="N174" s="3">
        <v>0.63431912660598799</v>
      </c>
      <c r="O174" s="3">
        <v>31483.9453125</v>
      </c>
      <c r="P174" s="3">
        <v>42484.453125</v>
      </c>
      <c r="Q174" s="3">
        <v>1.0569918155670199</v>
      </c>
      <c r="R174" s="3">
        <v>0.277960985898972</v>
      </c>
      <c r="S174" s="3">
        <v>0.39332315325737</v>
      </c>
      <c r="T174" s="3">
        <v>0.40928062796592701</v>
      </c>
      <c r="U174" s="3">
        <v>0.415187537670136</v>
      </c>
      <c r="W174" t="s">
        <v>50</v>
      </c>
      <c r="X174" t="s">
        <v>54</v>
      </c>
      <c r="Y174" t="s">
        <v>52</v>
      </c>
      <c r="Z174" t="s">
        <v>53</v>
      </c>
      <c r="AA174" t="s">
        <v>53</v>
      </c>
      <c r="AC174" s="2">
        <v>0.373739483724705</v>
      </c>
      <c r="AD174" s="2">
        <v>0.423178911209106</v>
      </c>
      <c r="AE174" s="2">
        <v>0.28192108869552601</v>
      </c>
      <c r="AF174" s="2">
        <v>0.37939375638961798</v>
      </c>
      <c r="AG174" s="2">
        <v>0.239352777600288</v>
      </c>
      <c r="AH174" s="2">
        <v>-0.33386945724487299</v>
      </c>
      <c r="AI174" s="2">
        <v>1.00229401141405E-2</v>
      </c>
      <c r="AJ174" s="2">
        <v>0.43494991772738101</v>
      </c>
      <c r="AK174" s="2">
        <v>0.45470839879653402</v>
      </c>
      <c r="AL174" s="2">
        <v>0.34689231136648402</v>
      </c>
      <c r="AM174" s="2">
        <v>0.54420858621597301</v>
      </c>
      <c r="AN174" s="2">
        <v>0.48849618434906</v>
      </c>
      <c r="AO174" s="2">
        <v>0.28761962056160001</v>
      </c>
      <c r="AP174" s="2">
        <v>1.00579392910004</v>
      </c>
    </row>
    <row r="175" spans="1:42" x14ac:dyDescent="0.3">
      <c r="A175" t="s">
        <v>110</v>
      </c>
      <c r="B175" s="3">
        <v>2020</v>
      </c>
      <c r="C175" s="3">
        <v>2.3658939999999999</v>
      </c>
      <c r="D175" s="3">
        <v>2314.13</v>
      </c>
      <c r="E175" t="s">
        <v>111</v>
      </c>
      <c r="G175" s="3">
        <v>33743.77734375</v>
      </c>
      <c r="H175" s="3">
        <v>44985.1640625</v>
      </c>
      <c r="I175" s="3">
        <v>38235.796875</v>
      </c>
      <c r="J175" s="3">
        <v>37107.2109375</v>
      </c>
      <c r="K175" s="3">
        <v>163299.546875</v>
      </c>
      <c r="L175" s="3">
        <v>1.32504245266318E-3</v>
      </c>
      <c r="M175" s="3">
        <v>0.55245035886764504</v>
      </c>
      <c r="N175" s="3">
        <v>0.64249175786972101</v>
      </c>
      <c r="O175" s="3">
        <v>32440.49609375</v>
      </c>
      <c r="P175" s="3">
        <v>44332.6171875</v>
      </c>
      <c r="Q175" s="3">
        <v>0.918251752853394</v>
      </c>
      <c r="R175" s="3">
        <v>0.277960985898972</v>
      </c>
      <c r="S175" s="3">
        <v>0.37545847892761203</v>
      </c>
      <c r="T175" s="3">
        <v>0.390472501516342</v>
      </c>
      <c r="U175" s="3">
        <v>0.40234839916229298</v>
      </c>
      <c r="W175" t="s">
        <v>50</v>
      </c>
      <c r="X175" t="s">
        <v>54</v>
      </c>
      <c r="Y175" t="s">
        <v>52</v>
      </c>
      <c r="Z175" t="s">
        <v>53</v>
      </c>
      <c r="AA175" t="s">
        <v>53</v>
      </c>
      <c r="AC175" s="2">
        <v>0.36601035936840598</v>
      </c>
      <c r="AD175" s="2">
        <v>0.480679541826248</v>
      </c>
      <c r="AE175" s="2">
        <v>0.30294343829155002</v>
      </c>
      <c r="AF175" s="2">
        <v>0.42867943644523598</v>
      </c>
      <c r="AG175" s="2">
        <v>0.20600582659244501</v>
      </c>
      <c r="AH175" s="2">
        <v>-0.37308964133262601</v>
      </c>
      <c r="AI175" s="2">
        <v>-4.5218605548143401E-2</v>
      </c>
      <c r="AJ175" s="2">
        <v>0.40715197000729803</v>
      </c>
      <c r="AK175" s="2">
        <v>0.435540805914302</v>
      </c>
      <c r="AL175" s="2">
        <v>0.33992048587095602</v>
      </c>
      <c r="AM175" s="2">
        <v>0.51708585023880005</v>
      </c>
      <c r="AN175" s="2">
        <v>0.427112966775894</v>
      </c>
      <c r="AO175" s="2">
        <v>0.28114077448844899</v>
      </c>
      <c r="AP175" s="2">
        <v>0.96608734130859397</v>
      </c>
    </row>
    <row r="176" spans="1:42" x14ac:dyDescent="0.3">
      <c r="A176" t="s">
        <v>112</v>
      </c>
      <c r="B176" s="3">
        <v>2015</v>
      </c>
      <c r="C176" s="3">
        <v>4.6293199999999999</v>
      </c>
      <c r="D176" s="3"/>
      <c r="E176" t="s">
        <v>113</v>
      </c>
      <c r="G176" s="3">
        <v>4127.16357421875</v>
      </c>
      <c r="H176" s="3">
        <v>4880.32666015625</v>
      </c>
      <c r="I176" s="3">
        <v>4100.7763671875</v>
      </c>
      <c r="J176" s="3">
        <v>4317.17724609375</v>
      </c>
      <c r="K176" s="3">
        <v>30546.64453125</v>
      </c>
      <c r="L176" s="3">
        <v>3.2526414724998198E-4</v>
      </c>
      <c r="M176" s="3">
        <v>0.22106339037418399</v>
      </c>
      <c r="N176" s="3">
        <v>0.241089567542076</v>
      </c>
      <c r="O176" s="3">
        <v>4674.5947265625</v>
      </c>
      <c r="P176" s="3">
        <v>6074.9658203125</v>
      </c>
      <c r="Q176" s="3">
        <v>0.97962749004364003</v>
      </c>
      <c r="R176" s="3">
        <v>0.16431578993797299</v>
      </c>
      <c r="S176" s="3">
        <v>0.39940679073333701</v>
      </c>
      <c r="T176" s="3">
        <v>0.41353780031204201</v>
      </c>
      <c r="U176" s="3">
        <v>0.39280903339385997</v>
      </c>
      <c r="W176" t="s">
        <v>50</v>
      </c>
      <c r="X176" t="s">
        <v>51</v>
      </c>
      <c r="Y176" t="s">
        <v>52</v>
      </c>
      <c r="Z176" t="s">
        <v>53</v>
      </c>
      <c r="AA176" t="s">
        <v>53</v>
      </c>
      <c r="AC176" s="2">
        <v>0.25888756861123602</v>
      </c>
      <c r="AD176" s="2">
        <v>0.76545196771621704</v>
      </c>
      <c r="AE176" s="2">
        <v>0.17445734143257099</v>
      </c>
      <c r="AF176" s="2">
        <v>0.19053462147712699</v>
      </c>
      <c r="AG176" s="2">
        <v>3.5499513149261502E-2</v>
      </c>
      <c r="AH176" s="2">
        <v>-0.18797975778579701</v>
      </c>
      <c r="AI176" s="2">
        <v>2.2036282345652601E-2</v>
      </c>
      <c r="AJ176" s="2">
        <v>0.422995780063118</v>
      </c>
      <c r="AK176" s="2">
        <v>0.490972454670977</v>
      </c>
      <c r="AL176" s="2">
        <v>0.30464061173528101</v>
      </c>
      <c r="AM176" s="2">
        <v>0.631966233253479</v>
      </c>
      <c r="AN176" s="2">
        <v>0.56262886524200395</v>
      </c>
      <c r="AO176" s="2">
        <v>0.28994566202163702</v>
      </c>
      <c r="AP176" s="2">
        <v>0.58211570978164695</v>
      </c>
    </row>
    <row r="177" spans="1:42" x14ac:dyDescent="0.3">
      <c r="A177" t="s">
        <v>112</v>
      </c>
      <c r="B177" s="3">
        <v>2016</v>
      </c>
      <c r="C177" s="3">
        <v>4.7136630000000004</v>
      </c>
      <c r="D177" s="3"/>
      <c r="E177" t="s">
        <v>113</v>
      </c>
      <c r="G177" s="3">
        <v>4465.67822265625</v>
      </c>
      <c r="H177" s="3">
        <v>5312.904296875</v>
      </c>
      <c r="I177" s="3">
        <v>4394.93896484375</v>
      </c>
      <c r="J177" s="3">
        <v>4591.02587890625</v>
      </c>
      <c r="K177" s="3">
        <v>31662.302734375</v>
      </c>
      <c r="L177" s="3">
        <v>3.3373624319210697E-4</v>
      </c>
      <c r="M177" s="3">
        <v>0.225501343607903</v>
      </c>
      <c r="N177" s="3">
        <v>0.25229772925376898</v>
      </c>
      <c r="O177" s="3">
        <v>5046.9609375</v>
      </c>
      <c r="P177" s="3">
        <v>6640.13232421875</v>
      </c>
      <c r="Q177" s="3">
        <v>1.00455093383789</v>
      </c>
      <c r="R177" s="3">
        <v>0.16431578993797299</v>
      </c>
      <c r="S177" s="3">
        <v>0.40223366022110002</v>
      </c>
      <c r="T177" s="3">
        <v>0.41525462269782998</v>
      </c>
      <c r="U177" s="3">
        <v>0.39751872420311002</v>
      </c>
      <c r="W177" t="s">
        <v>50</v>
      </c>
      <c r="X177" t="s">
        <v>51</v>
      </c>
      <c r="Y177" t="s">
        <v>52</v>
      </c>
      <c r="Z177" t="s">
        <v>53</v>
      </c>
      <c r="AA177" t="s">
        <v>53</v>
      </c>
      <c r="AC177" s="2">
        <v>0.24783470574272501</v>
      </c>
      <c r="AD177" s="2">
        <v>0.77465987205505404</v>
      </c>
      <c r="AE177" s="2">
        <v>0.18453961610794101</v>
      </c>
      <c r="AF177" s="2">
        <v>0.19803741574287401</v>
      </c>
      <c r="AG177" s="2">
        <v>3.4542802721261999E-2</v>
      </c>
      <c r="AH177" s="2">
        <v>-0.154343917965889</v>
      </c>
      <c r="AI177" s="2">
        <v>-3.7435770034789997E-2</v>
      </c>
      <c r="AJ177" s="2">
        <v>0.43112687275251999</v>
      </c>
      <c r="AK177" s="2">
        <v>0.48388742851793698</v>
      </c>
      <c r="AL177" s="2">
        <v>0.28921257310051002</v>
      </c>
      <c r="AM177" s="2">
        <v>0.55774629116058405</v>
      </c>
      <c r="AN177" s="2">
        <v>0.56635820865631104</v>
      </c>
      <c r="AO177" s="2">
        <v>0.288780927658081</v>
      </c>
      <c r="AP177" s="2">
        <v>0.59152007102966297</v>
      </c>
    </row>
    <row r="178" spans="1:42" x14ac:dyDescent="0.3">
      <c r="A178" t="s">
        <v>112</v>
      </c>
      <c r="B178" s="3">
        <v>2017</v>
      </c>
      <c r="C178" s="3">
        <v>4.7935109999999996</v>
      </c>
      <c r="D178" s="3"/>
      <c r="E178" t="s">
        <v>113</v>
      </c>
      <c r="G178" s="3">
        <v>4663.23681640625</v>
      </c>
      <c r="H178" s="3">
        <v>5729.5439453125</v>
      </c>
      <c r="I178" s="3">
        <v>4672.44921875</v>
      </c>
      <c r="J178" s="3">
        <v>4750.26318359375</v>
      </c>
      <c r="K178" s="3">
        <v>36172.21875</v>
      </c>
      <c r="L178" s="3">
        <v>3.7983950460329701E-4</v>
      </c>
      <c r="M178" s="3">
        <v>0.209781408309937</v>
      </c>
      <c r="N178" s="3">
        <v>0.243670955300331</v>
      </c>
      <c r="O178" s="3">
        <v>5095.13134765625</v>
      </c>
      <c r="P178" s="3">
        <v>6825.53466796875</v>
      </c>
      <c r="Q178" s="3">
        <v>1.01727199554443</v>
      </c>
      <c r="R178" s="3">
        <v>0.16431578993797299</v>
      </c>
      <c r="S178" s="3">
        <v>0.43117067217826799</v>
      </c>
      <c r="T178" s="3">
        <v>0.44352543354034402</v>
      </c>
      <c r="U178" s="3">
        <v>0.43626001477241499</v>
      </c>
      <c r="W178" t="s">
        <v>51</v>
      </c>
      <c r="X178" t="s">
        <v>51</v>
      </c>
      <c r="Y178" t="s">
        <v>52</v>
      </c>
      <c r="Z178" t="s">
        <v>53</v>
      </c>
      <c r="AA178" t="s">
        <v>53</v>
      </c>
      <c r="AC178" s="2">
        <v>0.20665420421314401</v>
      </c>
      <c r="AD178" s="2">
        <v>0.77135509252548196</v>
      </c>
      <c r="AE178" s="2">
        <v>0.22447329759597801</v>
      </c>
      <c r="AF178" s="2">
        <v>0.21032452583312999</v>
      </c>
      <c r="AG178" s="2">
        <v>6.5998643636703505E-2</v>
      </c>
      <c r="AH178" s="2">
        <v>-0.152906268835068</v>
      </c>
      <c r="AI178" s="2">
        <v>-0.119245305657387</v>
      </c>
      <c r="AJ178" s="2">
        <v>0.46917770143043602</v>
      </c>
      <c r="AK178" s="2">
        <v>0.49755595819322002</v>
      </c>
      <c r="AL178" s="2">
        <v>0.29178171429810401</v>
      </c>
      <c r="AM178" s="2">
        <v>0.62833833694457997</v>
      </c>
      <c r="AN178" s="2">
        <v>0.57647716999053999</v>
      </c>
      <c r="AO178" s="2">
        <v>0.28157275915145902</v>
      </c>
      <c r="AP178" s="2">
        <v>0.56885111331939697</v>
      </c>
    </row>
    <row r="179" spans="1:42" x14ac:dyDescent="0.3">
      <c r="A179" t="s">
        <v>112</v>
      </c>
      <c r="B179" s="3">
        <v>2018</v>
      </c>
      <c r="C179" s="3">
        <v>4.8786569999999996</v>
      </c>
      <c r="D179" s="3"/>
      <c r="E179" t="s">
        <v>113</v>
      </c>
      <c r="G179" s="3">
        <v>5046.6923828125</v>
      </c>
      <c r="H179" s="3">
        <v>6174.42724609375</v>
      </c>
      <c r="I179" s="3">
        <v>4820.14111328125</v>
      </c>
      <c r="J179" s="3">
        <v>4963.77001953125</v>
      </c>
      <c r="K179" s="3">
        <v>37489.5859375</v>
      </c>
      <c r="L179" s="3">
        <v>3.9039197145029902E-4</v>
      </c>
      <c r="M179" s="3">
        <v>0.20920169353485099</v>
      </c>
      <c r="N179" s="3">
        <v>0.25049331784248402</v>
      </c>
      <c r="O179" s="3">
        <v>5699.2177734375</v>
      </c>
      <c r="P179" s="3">
        <v>7311.865234375</v>
      </c>
      <c r="Q179" s="3">
        <v>1.02247262001038</v>
      </c>
      <c r="R179" s="3">
        <v>0.16431578993797299</v>
      </c>
      <c r="S179" s="3">
        <v>0.44974517822265597</v>
      </c>
      <c r="T179" s="3">
        <v>0.46077042818069502</v>
      </c>
      <c r="U179" s="3">
        <v>0.44743788242340099</v>
      </c>
      <c r="W179" t="s">
        <v>50</v>
      </c>
      <c r="X179" t="s">
        <v>51</v>
      </c>
      <c r="Y179" t="s">
        <v>52</v>
      </c>
      <c r="Z179" t="s">
        <v>53</v>
      </c>
      <c r="AA179" t="s">
        <v>53</v>
      </c>
      <c r="AC179" s="2">
        <v>0.18784519313837</v>
      </c>
      <c r="AD179" s="2">
        <v>0.80195635557174705</v>
      </c>
      <c r="AE179" s="2">
        <v>0.22719325125217399</v>
      </c>
      <c r="AF179" s="2">
        <v>0.21474917232990301</v>
      </c>
      <c r="AG179" s="2">
        <v>1.8220212310552601E-2</v>
      </c>
      <c r="AH179" s="2">
        <v>-0.12979316711425801</v>
      </c>
      <c r="AI179" s="2">
        <v>-0.13232579827308699</v>
      </c>
      <c r="AJ179" s="2">
        <v>0.490936861148631</v>
      </c>
      <c r="AK179" s="2">
        <v>0.51010936088893499</v>
      </c>
      <c r="AL179" s="2">
        <v>0.29591946373616301</v>
      </c>
      <c r="AM179" s="2">
        <v>0.59999483823776301</v>
      </c>
      <c r="AN179" s="2">
        <v>0.59662926197052002</v>
      </c>
      <c r="AO179" s="2">
        <v>0.29286980628967302</v>
      </c>
      <c r="AP179" s="2">
        <v>0.56214892864227295</v>
      </c>
    </row>
    <row r="180" spans="1:42" x14ac:dyDescent="0.3">
      <c r="A180" t="s">
        <v>112</v>
      </c>
      <c r="B180" s="3">
        <v>2019</v>
      </c>
      <c r="C180" s="3">
        <v>4.9447029999999996</v>
      </c>
      <c r="D180" s="3"/>
      <c r="E180" t="s">
        <v>113</v>
      </c>
      <c r="G180" s="3">
        <v>5585.42041015625</v>
      </c>
      <c r="H180" s="3">
        <v>6805.46533203125</v>
      </c>
      <c r="I180" s="3">
        <v>5195.99462890625</v>
      </c>
      <c r="J180" s="3">
        <v>5371.67822265625</v>
      </c>
      <c r="K180" s="3">
        <v>39371.8671875</v>
      </c>
      <c r="L180" s="3">
        <v>4.0028037619777002E-4</v>
      </c>
      <c r="M180" s="3">
        <v>0.21706129610538499</v>
      </c>
      <c r="N180" s="3">
        <v>0.264624863862991</v>
      </c>
      <c r="O180" s="3">
        <v>6041.25244140625</v>
      </c>
      <c r="P180" s="3">
        <v>7508.46435546875</v>
      </c>
      <c r="Q180" s="3">
        <v>1.03339087963104</v>
      </c>
      <c r="R180" s="3">
        <v>0.16431578993797299</v>
      </c>
      <c r="S180" s="3">
        <v>0.41787412762641901</v>
      </c>
      <c r="T180" s="3">
        <v>0.427502602338791</v>
      </c>
      <c r="U180" s="3">
        <v>0.41352087259292603</v>
      </c>
      <c r="W180" t="s">
        <v>50</v>
      </c>
      <c r="X180" t="s">
        <v>54</v>
      </c>
      <c r="Y180" t="s">
        <v>52</v>
      </c>
      <c r="Z180" t="s">
        <v>53</v>
      </c>
      <c r="AA180" t="s">
        <v>53</v>
      </c>
      <c r="AC180" s="2">
        <v>0.20554806602467801</v>
      </c>
      <c r="AD180" s="2">
        <v>0.81417322158813499</v>
      </c>
      <c r="AE180" s="2">
        <v>0.22712551057338701</v>
      </c>
      <c r="AF180" s="2">
        <v>0.22561736404895799</v>
      </c>
      <c r="AG180" s="2">
        <v>1.7303518950939199E-2</v>
      </c>
      <c r="AH180" s="2">
        <v>-0.12641806900501301</v>
      </c>
      <c r="AI180" s="2">
        <v>-0.157801508903503</v>
      </c>
      <c r="AJ180" s="2">
        <v>0.458307428633973</v>
      </c>
      <c r="AK180" s="2">
        <v>0.47158227715077899</v>
      </c>
      <c r="AL180" s="2">
        <v>0.27196467822458698</v>
      </c>
      <c r="AM180" s="2">
        <v>0.577126324176788</v>
      </c>
      <c r="AN180" s="2">
        <v>0.57603412866592396</v>
      </c>
      <c r="AO180" s="2">
        <v>0.27376887202262901</v>
      </c>
      <c r="AP180" s="2">
        <v>0.52747482061386097</v>
      </c>
    </row>
    <row r="181" spans="1:42" x14ac:dyDescent="0.3">
      <c r="A181" t="s">
        <v>112</v>
      </c>
      <c r="B181" s="3">
        <v>2020</v>
      </c>
      <c r="C181" s="3">
        <v>5.0266279999999997</v>
      </c>
      <c r="D181" s="3"/>
      <c r="E181" t="s">
        <v>113</v>
      </c>
      <c r="G181" s="3">
        <v>5914.3447265625</v>
      </c>
      <c r="H181" s="3">
        <v>7205.25732421875</v>
      </c>
      <c r="I181" s="3">
        <v>5568.4013671875</v>
      </c>
      <c r="J181" s="3">
        <v>5800.96826171875</v>
      </c>
      <c r="K181" s="3">
        <v>42546.33203125</v>
      </c>
      <c r="L181" s="3">
        <v>4.1466078255325599E-4</v>
      </c>
      <c r="M181" s="3">
        <v>0.22619386017322499</v>
      </c>
      <c r="N181" s="3">
        <v>0.269521504640579</v>
      </c>
      <c r="O181" s="3">
        <v>6004.40234375</v>
      </c>
      <c r="P181" s="3">
        <v>7556.20166015625</v>
      </c>
      <c r="Q181" s="3">
        <v>1.01186203956604</v>
      </c>
      <c r="R181" s="3">
        <v>0.16431578993797299</v>
      </c>
      <c r="S181" s="3">
        <v>0.40714803338050798</v>
      </c>
      <c r="T181" s="3">
        <v>0.41784363985061601</v>
      </c>
      <c r="U181" s="3">
        <v>0.40109184384346003</v>
      </c>
      <c r="W181" t="s">
        <v>50</v>
      </c>
      <c r="X181" t="s">
        <v>54</v>
      </c>
      <c r="Y181" t="s">
        <v>52</v>
      </c>
      <c r="Z181" t="s">
        <v>53</v>
      </c>
      <c r="AA181" t="s">
        <v>53</v>
      </c>
      <c r="AC181" s="2">
        <v>0.200162372356463</v>
      </c>
      <c r="AD181" s="2">
        <v>0.75088560581207298</v>
      </c>
      <c r="AE181" s="2">
        <v>0.22253395617008201</v>
      </c>
      <c r="AF181" s="2">
        <v>0.2686587870121</v>
      </c>
      <c r="AG181" s="2">
        <v>1.5474408864975E-2</v>
      </c>
      <c r="AH181" s="2">
        <v>-0.116638228297234</v>
      </c>
      <c r="AI181" s="2">
        <v>-0.14091458916664101</v>
      </c>
      <c r="AJ181" s="2">
        <v>0.45747719075035398</v>
      </c>
      <c r="AK181" s="2">
        <v>0.46684574820712299</v>
      </c>
      <c r="AL181" s="2">
        <v>0.26648096398106702</v>
      </c>
      <c r="AM181" s="2">
        <v>0.60278892517089799</v>
      </c>
      <c r="AN181" s="2">
        <v>0.60624057054519698</v>
      </c>
      <c r="AO181" s="2">
        <v>0.26916196942329401</v>
      </c>
      <c r="AP181" s="2">
        <v>0.55682468414306596</v>
      </c>
    </row>
    <row r="182" spans="1:42" x14ac:dyDescent="0.3">
      <c r="A182" t="s">
        <v>114</v>
      </c>
      <c r="B182" s="3">
        <v>2015</v>
      </c>
      <c r="C182" s="3">
        <v>35.962234000000002</v>
      </c>
      <c r="D182" s="3">
        <v>1746.9</v>
      </c>
      <c r="E182" t="s">
        <v>115</v>
      </c>
      <c r="G182" s="3">
        <v>1385189.625</v>
      </c>
      <c r="H182" s="3">
        <v>1850398.375</v>
      </c>
      <c r="I182" s="3">
        <v>1805118.125</v>
      </c>
      <c r="J182" s="3">
        <v>1834896.625</v>
      </c>
      <c r="K182" s="3">
        <v>9023346</v>
      </c>
      <c r="L182" s="3">
        <v>0.107895828783512</v>
      </c>
      <c r="M182" s="3">
        <v>0.83298981189727805</v>
      </c>
      <c r="N182" s="3">
        <v>0.81041157245635997</v>
      </c>
      <c r="O182" s="3">
        <v>1409904.375</v>
      </c>
      <c r="P182" s="3">
        <v>1883232.5</v>
      </c>
      <c r="Q182" s="3">
        <v>0.987293541431427</v>
      </c>
      <c r="R182" s="3">
        <v>0.67025935649871804</v>
      </c>
      <c r="S182" s="3">
        <v>0.88418716192245495</v>
      </c>
      <c r="T182" s="3">
        <v>0.86227494478225697</v>
      </c>
      <c r="U182" s="3">
        <v>0.84828108549117998</v>
      </c>
      <c r="W182" t="s">
        <v>50</v>
      </c>
      <c r="X182" t="s">
        <v>51</v>
      </c>
      <c r="Y182" t="s">
        <v>52</v>
      </c>
      <c r="Z182" t="s">
        <v>53</v>
      </c>
      <c r="AA182" t="s">
        <v>53</v>
      </c>
      <c r="AC182" s="2">
        <v>0.777784239694014</v>
      </c>
      <c r="AD182" s="2">
        <v>0.57505142688751198</v>
      </c>
      <c r="AE182" s="2">
        <v>0.25353404879570002</v>
      </c>
      <c r="AF182" s="2">
        <v>0.17986284196376801</v>
      </c>
      <c r="AG182" s="2">
        <v>0.38687312602996798</v>
      </c>
      <c r="AH182" s="2">
        <v>-0.377097278833389</v>
      </c>
      <c r="AI182" s="2">
        <v>-1.8224181607365601E-2</v>
      </c>
      <c r="AJ182" s="2">
        <v>0.85276333169431495</v>
      </c>
      <c r="AK182" s="2">
        <v>0.79702973320449899</v>
      </c>
      <c r="AL182" s="2">
        <v>0.98465430530189602</v>
      </c>
      <c r="AM182" s="2">
        <v>0.57573318481445301</v>
      </c>
      <c r="AN182" s="2">
        <v>0.60609054565429699</v>
      </c>
      <c r="AO182" s="2">
        <v>0.65788745880126998</v>
      </c>
      <c r="AP182" s="2">
        <v>0.63553744554519698</v>
      </c>
    </row>
    <row r="183" spans="1:42" x14ac:dyDescent="0.3">
      <c r="A183" t="s">
        <v>114</v>
      </c>
      <c r="B183" s="3">
        <v>2016</v>
      </c>
      <c r="C183" s="3">
        <v>36.353343000000002</v>
      </c>
      <c r="D183" s="3">
        <v>1742.45</v>
      </c>
      <c r="E183" t="s">
        <v>115</v>
      </c>
      <c r="G183" s="3">
        <v>1433129.625</v>
      </c>
      <c r="H183" s="3">
        <v>1875667</v>
      </c>
      <c r="I183" s="3">
        <v>1833615.375</v>
      </c>
      <c r="J183" s="3">
        <v>1863500.375</v>
      </c>
      <c r="K183" s="3">
        <v>9250848</v>
      </c>
      <c r="L183" s="3">
        <v>0.10638901591301</v>
      </c>
      <c r="M183" s="3">
        <v>0.83756768703460704</v>
      </c>
      <c r="N183" s="3">
        <v>0.81505733728408802</v>
      </c>
      <c r="O183" s="3">
        <v>1438363.375</v>
      </c>
      <c r="P183" s="3">
        <v>1891400.75</v>
      </c>
      <c r="Q183" s="3">
        <v>0.98691278696060203</v>
      </c>
      <c r="R183" s="3">
        <v>0.66117763519287098</v>
      </c>
      <c r="S183" s="3">
        <v>0.84796941280365001</v>
      </c>
      <c r="T183" s="3">
        <v>0.83332431316375699</v>
      </c>
      <c r="U183" s="3">
        <v>0.819960236549377</v>
      </c>
      <c r="W183" t="s">
        <v>50</v>
      </c>
      <c r="X183" t="s">
        <v>51</v>
      </c>
      <c r="Y183" t="s">
        <v>52</v>
      </c>
      <c r="Z183" t="s">
        <v>53</v>
      </c>
      <c r="AA183" t="s">
        <v>53</v>
      </c>
      <c r="AC183" s="2">
        <v>0.76592110625772003</v>
      </c>
      <c r="AD183" s="2">
        <v>0.57781171798706099</v>
      </c>
      <c r="AE183" s="2">
        <v>0.23747637867927601</v>
      </c>
      <c r="AF183" s="2">
        <v>0.19124081730842599</v>
      </c>
      <c r="AG183" s="2">
        <v>0.37012800574302701</v>
      </c>
      <c r="AH183" s="2">
        <v>-0.36251577734947199</v>
      </c>
      <c r="AI183" s="2">
        <v>-1.4141140505671499E-2</v>
      </c>
      <c r="AJ183" s="2">
        <v>0.82993756266946395</v>
      </c>
      <c r="AK183" s="2">
        <v>0.78589693078214595</v>
      </c>
      <c r="AL183" s="2">
        <v>0.90245063146848703</v>
      </c>
      <c r="AM183" s="2">
        <v>0.56377267837524403</v>
      </c>
      <c r="AN183" s="2">
        <v>0.59549850225448597</v>
      </c>
      <c r="AO183" s="2">
        <v>0.646828472614288</v>
      </c>
      <c r="AP183" s="2">
        <v>0.62988442182540905</v>
      </c>
    </row>
    <row r="184" spans="1:42" x14ac:dyDescent="0.3">
      <c r="A184" t="s">
        <v>114</v>
      </c>
      <c r="B184" s="3">
        <v>2017</v>
      </c>
      <c r="C184" s="3">
        <v>36.808497000000003</v>
      </c>
      <c r="D184" s="3">
        <v>1737.97</v>
      </c>
      <c r="E184" t="s">
        <v>115</v>
      </c>
      <c r="G184" s="3">
        <v>1499810.375</v>
      </c>
      <c r="H184" s="3">
        <v>1970584.125</v>
      </c>
      <c r="I184" s="3">
        <v>1927598</v>
      </c>
      <c r="J184" s="3">
        <v>1954618.5</v>
      </c>
      <c r="K184" s="3">
        <v>9160874</v>
      </c>
      <c r="L184" s="3">
        <v>0.104423478245735</v>
      </c>
      <c r="M184" s="3">
        <v>0.85762184858322099</v>
      </c>
      <c r="N184" s="3">
        <v>0.83265107870101895</v>
      </c>
      <c r="O184" s="3">
        <v>1485309.625</v>
      </c>
      <c r="P184" s="3">
        <v>1970785.125</v>
      </c>
      <c r="Q184" s="3">
        <v>0.99730181694030795</v>
      </c>
      <c r="R184" s="3">
        <v>0.65170246362686202</v>
      </c>
      <c r="S184" s="3">
        <v>0.86519938707351696</v>
      </c>
      <c r="T184" s="3">
        <v>0.85560661554336603</v>
      </c>
      <c r="U184" s="3">
        <v>0.84377878904342696</v>
      </c>
      <c r="W184" t="s">
        <v>51</v>
      </c>
      <c r="X184" t="s">
        <v>51</v>
      </c>
      <c r="Y184" t="s">
        <v>52</v>
      </c>
      <c r="Z184" t="s">
        <v>53</v>
      </c>
      <c r="AA184" t="s">
        <v>53</v>
      </c>
      <c r="AC184" s="2">
        <v>0.76645230376180695</v>
      </c>
      <c r="AD184" s="2">
        <v>0.57019174098968495</v>
      </c>
      <c r="AE184" s="2">
        <v>0.24085196852683999</v>
      </c>
      <c r="AF184" s="2">
        <v>0.19712445139884999</v>
      </c>
      <c r="AG184" s="2">
        <v>0.363224446773529</v>
      </c>
      <c r="AH184" s="2">
        <v>-0.35695692896843001</v>
      </c>
      <c r="AI184" s="2">
        <v>-1.4435629360377801E-2</v>
      </c>
      <c r="AJ184" s="2">
        <v>0.85794153207614599</v>
      </c>
      <c r="AK184" s="2">
        <v>0.82504562030950002</v>
      </c>
      <c r="AL184" s="2">
        <v>0.88619307258634405</v>
      </c>
      <c r="AM184" s="2">
        <v>0.59168249368667603</v>
      </c>
      <c r="AN184" s="2">
        <v>0.62066203355789196</v>
      </c>
      <c r="AO184" s="2">
        <v>0.70075696706771895</v>
      </c>
      <c r="AP184" s="2">
        <v>0.68633526563644398</v>
      </c>
    </row>
    <row r="185" spans="1:42" x14ac:dyDescent="0.3">
      <c r="A185" t="s">
        <v>114</v>
      </c>
      <c r="B185" s="3">
        <v>2018</v>
      </c>
      <c r="C185" s="3">
        <v>37.295005000000003</v>
      </c>
      <c r="D185" s="3">
        <v>1757.75</v>
      </c>
      <c r="E185" t="s">
        <v>115</v>
      </c>
      <c r="G185" s="3">
        <v>1535934.5</v>
      </c>
      <c r="H185" s="3">
        <v>2017005.625</v>
      </c>
      <c r="I185" s="3">
        <v>1978512.875</v>
      </c>
      <c r="J185" s="3">
        <v>2000714.875</v>
      </c>
      <c r="K185" s="3">
        <v>9392771</v>
      </c>
      <c r="L185" s="3">
        <v>0.104529216885567</v>
      </c>
      <c r="M185" s="3">
        <v>0.85186988115310702</v>
      </c>
      <c r="N185" s="3">
        <v>0.82668644189834595</v>
      </c>
      <c r="O185" s="3">
        <v>1526509.125</v>
      </c>
      <c r="P185" s="3">
        <v>2023300.75</v>
      </c>
      <c r="Q185" s="3">
        <v>0.99964737892150901</v>
      </c>
      <c r="R185" s="3">
        <v>0.65416061878204401</v>
      </c>
      <c r="S185" s="3">
        <v>0.88254958391189597</v>
      </c>
      <c r="T185" s="3">
        <v>0.87201875448226895</v>
      </c>
      <c r="U185" s="3">
        <v>0.86234194040298495</v>
      </c>
      <c r="W185" t="s">
        <v>50</v>
      </c>
      <c r="X185" t="s">
        <v>51</v>
      </c>
      <c r="Y185" t="s">
        <v>52</v>
      </c>
      <c r="Z185" t="s">
        <v>53</v>
      </c>
      <c r="AA185" t="s">
        <v>53</v>
      </c>
      <c r="AC185" s="2">
        <v>0.76926889033883405</v>
      </c>
      <c r="AD185" s="2">
        <v>0.57113975286483798</v>
      </c>
      <c r="AE185" s="2">
        <v>0.24044962227344499</v>
      </c>
      <c r="AF185" s="2">
        <v>0.19655312597751601</v>
      </c>
      <c r="AG185" s="2">
        <v>0.37278628349304199</v>
      </c>
      <c r="AH185" s="2">
        <v>-0.36701792478561401</v>
      </c>
      <c r="AI185" s="2">
        <v>-1.39108700677753E-2</v>
      </c>
      <c r="AJ185" s="2">
        <v>0.87401134019164906</v>
      </c>
      <c r="AK185" s="2">
        <v>0.83839631940404902</v>
      </c>
      <c r="AL185" s="2">
        <v>0.90735988313927796</v>
      </c>
      <c r="AM185" s="2">
        <v>0.60385948419570901</v>
      </c>
      <c r="AN185" s="2">
        <v>0.62637764215469405</v>
      </c>
      <c r="AO185" s="2">
        <v>0.715983986854553</v>
      </c>
      <c r="AP185" s="2">
        <v>0.67494308948516901</v>
      </c>
    </row>
    <row r="186" spans="1:42" x14ac:dyDescent="0.3">
      <c r="A186" t="s">
        <v>114</v>
      </c>
      <c r="B186" s="3">
        <v>2019</v>
      </c>
      <c r="C186" s="3">
        <v>37.782935000000002</v>
      </c>
      <c r="D186" s="3">
        <v>1748.33</v>
      </c>
      <c r="E186" t="s">
        <v>115</v>
      </c>
      <c r="G186" s="3">
        <v>1509071.375</v>
      </c>
      <c r="H186" s="3">
        <v>1997293</v>
      </c>
      <c r="I186" s="3">
        <v>1968543</v>
      </c>
      <c r="J186" s="3">
        <v>1996845.75</v>
      </c>
      <c r="K186" s="3">
        <v>9715520</v>
      </c>
      <c r="L186" s="3">
        <v>0.106005512177944</v>
      </c>
      <c r="M186" s="3">
        <v>0.82398277521133401</v>
      </c>
      <c r="N186" s="3">
        <v>0.79307717084884599</v>
      </c>
      <c r="O186" s="3">
        <v>1548649.5</v>
      </c>
      <c r="P186" s="3">
        <v>2045623.625</v>
      </c>
      <c r="Q186" s="3">
        <v>1.00013959407806</v>
      </c>
      <c r="R186" s="3">
        <v>0.65880703926086404</v>
      </c>
      <c r="S186" s="3">
        <v>0.90611702203750599</v>
      </c>
      <c r="T186" s="3">
        <v>0.885794818401337</v>
      </c>
      <c r="U186" s="3">
        <v>0.87323975563049305</v>
      </c>
      <c r="W186" t="s">
        <v>50</v>
      </c>
      <c r="X186" t="s">
        <v>54</v>
      </c>
      <c r="Y186" t="s">
        <v>52</v>
      </c>
      <c r="Z186" t="s">
        <v>53</v>
      </c>
      <c r="AA186" t="s">
        <v>53</v>
      </c>
      <c r="AC186" s="2">
        <v>0.77233574342891398</v>
      </c>
      <c r="AD186" s="2">
        <v>0.56211680173873901</v>
      </c>
      <c r="AE186" s="2">
        <v>0.244496420025826</v>
      </c>
      <c r="AF186" s="2">
        <v>0.19361077249050099</v>
      </c>
      <c r="AG186" s="2">
        <v>0.37481597065925598</v>
      </c>
      <c r="AH186" s="2">
        <v>-0.364610224962235</v>
      </c>
      <c r="AI186" s="2">
        <v>-1.0429773479700101E-2</v>
      </c>
      <c r="AJ186" s="2">
        <v>0.897208118815083</v>
      </c>
      <c r="AK186" s="2">
        <v>0.82297979274746902</v>
      </c>
      <c r="AL186" s="2">
        <v>0.93198260861929505</v>
      </c>
      <c r="AM186" s="2">
        <v>0.59600532054901101</v>
      </c>
      <c r="AN186" s="2">
        <v>0.62268710136413596</v>
      </c>
      <c r="AO186" s="2">
        <v>0.70570379495620705</v>
      </c>
      <c r="AP186" s="2">
        <v>0.63836050033569303</v>
      </c>
    </row>
    <row r="187" spans="1:42" x14ac:dyDescent="0.3">
      <c r="A187" t="s">
        <v>114</v>
      </c>
      <c r="B187" s="3">
        <v>2020</v>
      </c>
      <c r="C187" s="3">
        <v>38.171902000000003</v>
      </c>
      <c r="D187" s="3">
        <v>1626.34</v>
      </c>
      <c r="E187" t="s">
        <v>115</v>
      </c>
      <c r="G187" s="3">
        <v>1482867.125</v>
      </c>
      <c r="H187" s="3">
        <v>1923844.125</v>
      </c>
      <c r="I187" s="3">
        <v>1882438.625</v>
      </c>
      <c r="J187" s="3">
        <v>1919651</v>
      </c>
      <c r="K187" s="3">
        <v>9756801</v>
      </c>
      <c r="L187" s="3">
        <v>0.101829163730145</v>
      </c>
      <c r="M187" s="3">
        <v>0.84426552057266202</v>
      </c>
      <c r="N187" s="3">
        <v>0.811689972877502</v>
      </c>
      <c r="O187" s="3">
        <v>1482800.25</v>
      </c>
      <c r="P187" s="3">
        <v>1936764.875</v>
      </c>
      <c r="Q187" s="3">
        <v>1.0243055820465099</v>
      </c>
      <c r="R187" s="3">
        <v>0.652546226978302</v>
      </c>
      <c r="S187" s="3">
        <v>0.88792955875396695</v>
      </c>
      <c r="T187" s="3">
        <v>0.87954282760620095</v>
      </c>
      <c r="U187" s="3">
        <v>0.86249297857284601</v>
      </c>
      <c r="W187" t="s">
        <v>50</v>
      </c>
      <c r="X187" t="s">
        <v>54</v>
      </c>
      <c r="Y187" t="s">
        <v>52</v>
      </c>
      <c r="Z187" t="s">
        <v>53</v>
      </c>
      <c r="AA187" t="s">
        <v>53</v>
      </c>
      <c r="AC187" s="2">
        <v>0.77610957924576196</v>
      </c>
      <c r="AD187" s="2">
        <v>0.55748462677001998</v>
      </c>
      <c r="AE187" s="2">
        <v>0.22971729934215501</v>
      </c>
      <c r="AF187" s="2">
        <v>0.21498242020607</v>
      </c>
      <c r="AG187" s="2">
        <v>0.34791761636733998</v>
      </c>
      <c r="AH187" s="2">
        <v>-0.33862778544425998</v>
      </c>
      <c r="AI187" s="2">
        <v>-1.14741763100028E-2</v>
      </c>
      <c r="AJ187" s="2">
        <v>0.87912911145849304</v>
      </c>
      <c r="AK187" s="2">
        <v>0.85134099396789198</v>
      </c>
      <c r="AL187" s="2">
        <v>0.91075057074243604</v>
      </c>
      <c r="AM187" s="2">
        <v>0.57774615287780795</v>
      </c>
      <c r="AN187" s="2">
        <v>0.62039440870285001</v>
      </c>
      <c r="AO187" s="2">
        <v>0.72556579113006603</v>
      </c>
      <c r="AP187" s="2">
        <v>0.67085343599319502</v>
      </c>
    </row>
    <row r="188" spans="1:42" x14ac:dyDescent="0.3">
      <c r="A188" t="s">
        <v>116</v>
      </c>
      <c r="B188" s="3">
        <v>2015</v>
      </c>
      <c r="C188" s="3">
        <v>8.2839340000000004</v>
      </c>
      <c r="D188" s="3">
        <v>1576.67</v>
      </c>
      <c r="E188" t="s">
        <v>117</v>
      </c>
      <c r="G188" s="3">
        <v>347193.15625</v>
      </c>
      <c r="H188" s="3">
        <v>543464.3125</v>
      </c>
      <c r="I188" s="3">
        <v>607354.5625</v>
      </c>
      <c r="J188" s="3">
        <v>644042.0625</v>
      </c>
      <c r="K188" s="3">
        <v>2930689.25</v>
      </c>
      <c r="L188" s="3">
        <v>4.5729182660579702E-2</v>
      </c>
      <c r="M188" s="3">
        <v>0.95565271377563499</v>
      </c>
      <c r="N188" s="3">
        <v>0.777981877326965</v>
      </c>
      <c r="O188" s="3">
        <v>351381.8125</v>
      </c>
      <c r="P188" s="3">
        <v>585296.75</v>
      </c>
      <c r="Q188" s="3">
        <v>0.96196752786636397</v>
      </c>
      <c r="R188" s="3">
        <v>0.66509622335434004</v>
      </c>
      <c r="S188" s="3">
        <v>1.2876167297363299</v>
      </c>
      <c r="T188" s="3">
        <v>1.14285504817963</v>
      </c>
      <c r="U188" s="3">
        <v>1.07775282859802</v>
      </c>
      <c r="W188" t="s">
        <v>50</v>
      </c>
      <c r="X188" t="s">
        <v>51</v>
      </c>
      <c r="Y188" t="s">
        <v>52</v>
      </c>
      <c r="Z188" t="s">
        <v>53</v>
      </c>
      <c r="AA188" t="s">
        <v>53</v>
      </c>
      <c r="AC188" s="2">
        <v>0.888858794497983</v>
      </c>
      <c r="AD188" s="2">
        <v>0.46198946237564098</v>
      </c>
      <c r="AE188" s="2">
        <v>0.30474901199340798</v>
      </c>
      <c r="AF188" s="2">
        <v>7.7095121145248399E-2</v>
      </c>
      <c r="AG188" s="2">
        <v>0.75969314575195301</v>
      </c>
      <c r="AH188" s="2">
        <v>-0.652812659740448</v>
      </c>
      <c r="AI188" s="2">
        <v>4.9285985529422802E-2</v>
      </c>
      <c r="AJ188" s="2">
        <v>1.2333352530871</v>
      </c>
      <c r="AK188" s="2">
        <v>0.88677914509630595</v>
      </c>
      <c r="AL188" s="2">
        <v>1.6128965521234699</v>
      </c>
      <c r="AM188" s="2">
        <v>0.59671837091445901</v>
      </c>
      <c r="AN188" s="2">
        <v>0.60211378335952803</v>
      </c>
      <c r="AO188" s="2">
        <v>0.83684730529785201</v>
      </c>
      <c r="AP188" s="2">
        <v>0.67917555570602395</v>
      </c>
    </row>
    <row r="189" spans="1:42" x14ac:dyDescent="0.3">
      <c r="A189" t="s">
        <v>116</v>
      </c>
      <c r="B189" s="3">
        <v>2016</v>
      </c>
      <c r="C189" s="3">
        <v>8.3749009999999995</v>
      </c>
      <c r="D189" s="3">
        <v>1577.06</v>
      </c>
      <c r="E189" t="s">
        <v>117</v>
      </c>
      <c r="G189" s="3">
        <v>350810.46875</v>
      </c>
      <c r="H189" s="3">
        <v>556427.5625</v>
      </c>
      <c r="I189" s="3">
        <v>618730.875</v>
      </c>
      <c r="J189" s="3">
        <v>665354.5625</v>
      </c>
      <c r="K189" s="3">
        <v>2989458.75</v>
      </c>
      <c r="L189" s="3">
        <v>4.6231031417846701E-2</v>
      </c>
      <c r="M189" s="3">
        <v>0.96303778886795</v>
      </c>
      <c r="N189" s="3">
        <v>0.77864694595336903</v>
      </c>
      <c r="O189" s="3">
        <v>356279.71875</v>
      </c>
      <c r="P189" s="3">
        <v>592286.6875</v>
      </c>
      <c r="Q189" s="3">
        <v>0.96263748407363903</v>
      </c>
      <c r="R189" s="3">
        <v>0.66072899103164695</v>
      </c>
      <c r="S189" s="3">
        <v>1.2621866464614899</v>
      </c>
      <c r="T189" s="3">
        <v>1.1117845773696899</v>
      </c>
      <c r="U189" s="3">
        <v>1.0338779687881501</v>
      </c>
      <c r="W189" t="s">
        <v>50</v>
      </c>
      <c r="X189" t="s">
        <v>51</v>
      </c>
      <c r="Y189" t="s">
        <v>52</v>
      </c>
      <c r="Z189" t="s">
        <v>53</v>
      </c>
      <c r="AA189" t="s">
        <v>53</v>
      </c>
      <c r="AC189" s="2">
        <v>0.88509698634663703</v>
      </c>
      <c r="AD189" s="2">
        <v>0.45079627633094799</v>
      </c>
      <c r="AE189" s="2">
        <v>0.30903390049934398</v>
      </c>
      <c r="AF189" s="2">
        <v>7.6457142829895006E-2</v>
      </c>
      <c r="AG189" s="2">
        <v>0.78413277864456199</v>
      </c>
      <c r="AH189" s="2">
        <v>-0.66945928335189797</v>
      </c>
      <c r="AI189" s="2">
        <v>4.9039181321859401E-2</v>
      </c>
      <c r="AJ189" s="2">
        <v>1.2121696363710199</v>
      </c>
      <c r="AK189" s="2">
        <v>0.85517856288015803</v>
      </c>
      <c r="AL189" s="2">
        <v>1.55709010444953</v>
      </c>
      <c r="AM189" s="2">
        <v>0.58400541543960605</v>
      </c>
      <c r="AN189" s="2">
        <v>0.60426628589630105</v>
      </c>
      <c r="AO189" s="2">
        <v>0.82651996612548795</v>
      </c>
      <c r="AP189" s="2">
        <v>0.65342974662780795</v>
      </c>
    </row>
    <row r="190" spans="1:42" x14ac:dyDescent="0.3">
      <c r="A190" t="s">
        <v>116</v>
      </c>
      <c r="B190" s="3">
        <v>2017</v>
      </c>
      <c r="C190" s="3">
        <v>8.4536280000000001</v>
      </c>
      <c r="D190" s="3">
        <v>1559.22</v>
      </c>
      <c r="E190" t="s">
        <v>117</v>
      </c>
      <c r="G190" s="3">
        <v>360618.875</v>
      </c>
      <c r="H190" s="3">
        <v>580655.5</v>
      </c>
      <c r="I190" s="3">
        <v>638610.5</v>
      </c>
      <c r="J190" s="3">
        <v>672795.9375</v>
      </c>
      <c r="K190" s="3">
        <v>3153717.25</v>
      </c>
      <c r="L190" s="3">
        <v>4.9173686653375598E-2</v>
      </c>
      <c r="M190" s="3">
        <v>0.93245881795883201</v>
      </c>
      <c r="N190" s="3">
        <v>0.77499610185623202</v>
      </c>
      <c r="O190" s="3">
        <v>360260.96875</v>
      </c>
      <c r="P190" s="3">
        <v>601470.5</v>
      </c>
      <c r="Q190" s="3">
        <v>0.966078341007233</v>
      </c>
      <c r="R190" s="3">
        <v>0.66080886125564597</v>
      </c>
      <c r="S190" s="3">
        <v>1.25076603889465</v>
      </c>
      <c r="T190" s="3">
        <v>1.0886147022247299</v>
      </c>
      <c r="U190" s="3">
        <v>1.0333012342453001</v>
      </c>
      <c r="W190" t="s">
        <v>51</v>
      </c>
      <c r="X190" t="s">
        <v>51</v>
      </c>
      <c r="Y190" t="s">
        <v>52</v>
      </c>
      <c r="Z190" t="s">
        <v>53</v>
      </c>
      <c r="AA190" t="s">
        <v>53</v>
      </c>
      <c r="AC190" s="2">
        <v>0.88199821344665197</v>
      </c>
      <c r="AD190" s="2">
        <v>0.45768558979034402</v>
      </c>
      <c r="AE190" s="2">
        <v>0.32704806327819802</v>
      </c>
      <c r="AF190" s="2">
        <v>7.8314796090125996E-2</v>
      </c>
      <c r="AG190" s="2">
        <v>0.73599010705947898</v>
      </c>
      <c r="AH190" s="2">
        <v>-0.64403659105300903</v>
      </c>
      <c r="AI190" s="2">
        <v>4.4998057186603498E-2</v>
      </c>
      <c r="AJ190" s="2">
        <v>1.20494161726086</v>
      </c>
      <c r="AK190" s="2">
        <v>0.82286438173860699</v>
      </c>
      <c r="AL190" s="2">
        <v>1.5185723151613</v>
      </c>
      <c r="AM190" s="2">
        <v>0.60445559024810802</v>
      </c>
      <c r="AN190" s="2">
        <v>0.61735004186630305</v>
      </c>
      <c r="AO190" s="2">
        <v>0.79646950960159302</v>
      </c>
      <c r="AP190" s="2">
        <v>0.59829515218734697</v>
      </c>
    </row>
    <row r="191" spans="1:42" x14ac:dyDescent="0.3">
      <c r="A191" t="s">
        <v>116</v>
      </c>
      <c r="B191" s="3">
        <v>2018</v>
      </c>
      <c r="C191" s="3">
        <v>8.5163440000000001</v>
      </c>
      <c r="D191" s="3">
        <v>1551.45</v>
      </c>
      <c r="E191" t="s">
        <v>117</v>
      </c>
      <c r="G191" s="3">
        <v>359322.59375</v>
      </c>
      <c r="H191" s="3">
        <v>581042.5</v>
      </c>
      <c r="I191" s="3">
        <v>649411.6875</v>
      </c>
      <c r="J191" s="3">
        <v>681345.5625</v>
      </c>
      <c r="K191" s="3">
        <v>3091113.5</v>
      </c>
      <c r="L191" s="3">
        <v>4.6183548867702498E-2</v>
      </c>
      <c r="M191" s="3">
        <v>0.94010245800018299</v>
      </c>
      <c r="N191" s="3">
        <v>0.77172321081161499</v>
      </c>
      <c r="O191" s="3">
        <v>362734.90625</v>
      </c>
      <c r="P191" s="3">
        <v>608422.4375</v>
      </c>
      <c r="Q191" s="3">
        <v>0.97990900278091397</v>
      </c>
      <c r="R191" s="3">
        <v>0.64784592390060403</v>
      </c>
      <c r="S191" s="3">
        <v>1.2870237827301001</v>
      </c>
      <c r="T191" s="3">
        <v>1.1172612905502299</v>
      </c>
      <c r="U191" s="3">
        <v>1.06489646434784</v>
      </c>
      <c r="W191" t="s">
        <v>50</v>
      </c>
      <c r="X191" t="s">
        <v>51</v>
      </c>
      <c r="Y191" t="s">
        <v>52</v>
      </c>
      <c r="Z191" t="s">
        <v>53</v>
      </c>
      <c r="AA191" t="s">
        <v>53</v>
      </c>
      <c r="AC191" s="2">
        <v>0.88223783369065201</v>
      </c>
      <c r="AD191" s="2">
        <v>0.450561612844467</v>
      </c>
      <c r="AE191" s="2">
        <v>0.32541477680206299</v>
      </c>
      <c r="AF191" s="2">
        <v>7.6810404658317594E-2</v>
      </c>
      <c r="AG191" s="2">
        <v>0.72547608613967896</v>
      </c>
      <c r="AH191" s="2">
        <v>-0.63963353633880604</v>
      </c>
      <c r="AI191" s="2">
        <v>6.1370663344860098E-2</v>
      </c>
      <c r="AJ191" s="2">
        <v>1.2401868365194</v>
      </c>
      <c r="AK191" s="2">
        <v>0.84214157543523405</v>
      </c>
      <c r="AL191" s="2">
        <v>1.56176440437227</v>
      </c>
      <c r="AM191" s="2">
        <v>0.62820971012115501</v>
      </c>
      <c r="AN191" s="2">
        <v>0.63941872119903598</v>
      </c>
      <c r="AO191" s="2">
        <v>0.81866705417633101</v>
      </c>
      <c r="AP191" s="2">
        <v>0.65416294336319003</v>
      </c>
    </row>
    <row r="192" spans="1:42" x14ac:dyDescent="0.3">
      <c r="A192" t="s">
        <v>116</v>
      </c>
      <c r="B192" s="3">
        <v>2019</v>
      </c>
      <c r="C192" s="3">
        <v>8.5775240000000004</v>
      </c>
      <c r="D192" s="3">
        <v>1549.12</v>
      </c>
      <c r="E192" t="s">
        <v>117</v>
      </c>
      <c r="G192" s="3">
        <v>379732.9375</v>
      </c>
      <c r="H192" s="3">
        <v>612616.5</v>
      </c>
      <c r="I192" s="3">
        <v>679199.625</v>
      </c>
      <c r="J192" s="3">
        <v>718392.0625</v>
      </c>
      <c r="K192" s="3">
        <v>3202209.5</v>
      </c>
      <c r="L192" s="3">
        <v>4.7235582023859003E-2</v>
      </c>
      <c r="M192" s="3">
        <v>0.97015136480331399</v>
      </c>
      <c r="N192" s="3">
        <v>0.79609858989715598</v>
      </c>
      <c r="O192" s="3">
        <v>366888.5625</v>
      </c>
      <c r="P192" s="3">
        <v>620375.5</v>
      </c>
      <c r="Q192" s="3">
        <v>0.97795271873474099</v>
      </c>
      <c r="R192" s="3">
        <v>0.660974562168121</v>
      </c>
      <c r="S192" s="3">
        <v>1.2112945318221999</v>
      </c>
      <c r="T192" s="3">
        <v>1.0621573925018299</v>
      </c>
      <c r="U192" s="3">
        <v>1.00421059131622</v>
      </c>
      <c r="W192" t="s">
        <v>50</v>
      </c>
      <c r="X192" t="s">
        <v>54</v>
      </c>
      <c r="Y192" t="s">
        <v>52</v>
      </c>
      <c r="Z192" t="s">
        <v>53</v>
      </c>
      <c r="AA192" t="s">
        <v>53</v>
      </c>
      <c r="AC192" s="2">
        <v>0.87540086436028497</v>
      </c>
      <c r="AD192" s="2">
        <v>0.451133042573929</v>
      </c>
      <c r="AE192" s="2">
        <v>0.32417336106300398</v>
      </c>
      <c r="AF192" s="2">
        <v>7.7454313635826097E-2</v>
      </c>
      <c r="AG192" s="2">
        <v>0.70847731828689597</v>
      </c>
      <c r="AH192" s="2">
        <v>-0.60751330852508501</v>
      </c>
      <c r="AI192" s="2">
        <v>4.6275295317172997E-2</v>
      </c>
      <c r="AJ192" s="2">
        <v>1.16650247076063</v>
      </c>
      <c r="AK192" s="2">
        <v>0.81897883071633804</v>
      </c>
      <c r="AL192" s="2">
        <v>1.47218583077355</v>
      </c>
      <c r="AM192" s="2">
        <v>0.61621195077896096</v>
      </c>
      <c r="AN192" s="2">
        <v>0.63306891918182395</v>
      </c>
      <c r="AO192" s="2">
        <v>0.79510855674743697</v>
      </c>
      <c r="AP192" s="2">
        <v>0.58893275260925304</v>
      </c>
    </row>
    <row r="193" spans="1:42" x14ac:dyDescent="0.3">
      <c r="A193" t="s">
        <v>116</v>
      </c>
      <c r="B193" s="3">
        <v>2020</v>
      </c>
      <c r="C193" s="3">
        <v>8.6405820000000002</v>
      </c>
      <c r="D193" s="3">
        <v>1498.8</v>
      </c>
      <c r="E193" t="s">
        <v>117</v>
      </c>
      <c r="G193" s="3">
        <v>359746.03125</v>
      </c>
      <c r="H193" s="3">
        <v>621378.1875</v>
      </c>
      <c r="I193" s="3">
        <v>663901.9375</v>
      </c>
      <c r="J193" s="3">
        <v>709308.875</v>
      </c>
      <c r="K193" s="3">
        <v>3693924.25</v>
      </c>
      <c r="L193" s="3">
        <v>5.3109306842088699E-2</v>
      </c>
      <c r="M193" s="3">
        <v>0.91953200101852395</v>
      </c>
      <c r="N193" s="3">
        <v>0.77277141809463501</v>
      </c>
      <c r="O193" s="3">
        <v>359260.1875</v>
      </c>
      <c r="P193" s="3">
        <v>617478.25</v>
      </c>
      <c r="Q193" s="3">
        <v>0.97406923770904497</v>
      </c>
      <c r="R193" s="3">
        <v>0.67181831598281905</v>
      </c>
      <c r="S193" s="3">
        <v>1.3202003240585301</v>
      </c>
      <c r="T193" s="3">
        <v>1.11748719215393</v>
      </c>
      <c r="U193" s="3">
        <v>1.0459505319595299</v>
      </c>
      <c r="W193" t="s">
        <v>50</v>
      </c>
      <c r="X193" t="s">
        <v>54</v>
      </c>
      <c r="Y193" t="s">
        <v>52</v>
      </c>
      <c r="Z193" t="s">
        <v>53</v>
      </c>
      <c r="AA193" t="s">
        <v>53</v>
      </c>
      <c r="AC193" s="2">
        <v>0.87933212120619397</v>
      </c>
      <c r="AD193" s="2">
        <v>0.42547470331192</v>
      </c>
      <c r="AE193" s="2">
        <v>0.368854999542236</v>
      </c>
      <c r="AF193" s="2">
        <v>8.1703513860702501E-2</v>
      </c>
      <c r="AG193" s="2">
        <v>0.67654109001159701</v>
      </c>
      <c r="AH193" s="2">
        <v>-0.58703923225402799</v>
      </c>
      <c r="AI193" s="2">
        <v>3.4464925527572597E-2</v>
      </c>
      <c r="AJ193" s="2">
        <v>1.27561077061522</v>
      </c>
      <c r="AK193" s="2">
        <v>0.83875524104001897</v>
      </c>
      <c r="AL193" s="2">
        <v>1.55240210338969</v>
      </c>
      <c r="AM193" s="2">
        <v>0.64331799745559703</v>
      </c>
      <c r="AN193" s="2">
        <v>0.68868499994277999</v>
      </c>
      <c r="AO193" s="2">
        <v>0.80572402477264404</v>
      </c>
      <c r="AP193" s="2">
        <v>0.54439634084701505</v>
      </c>
    </row>
    <row r="194" spans="1:42" x14ac:dyDescent="0.3">
      <c r="A194" t="s">
        <v>118</v>
      </c>
      <c r="B194" s="3">
        <v>2015</v>
      </c>
      <c r="C194" s="3">
        <v>18.047625</v>
      </c>
      <c r="D194" s="3">
        <v>1993.7</v>
      </c>
      <c r="E194" t="s">
        <v>119</v>
      </c>
      <c r="G194" s="3">
        <v>347396</v>
      </c>
      <c r="H194" s="3">
        <v>466671.8125</v>
      </c>
      <c r="I194" s="3">
        <v>462202.53125</v>
      </c>
      <c r="J194" s="3">
        <v>457616.28125</v>
      </c>
      <c r="K194" s="3">
        <v>1929007.375</v>
      </c>
      <c r="L194" s="3">
        <v>1.3904285617172701E-2</v>
      </c>
      <c r="M194" s="3">
        <v>0.83895725011825595</v>
      </c>
      <c r="N194" s="3">
        <v>0.82539606094360396</v>
      </c>
      <c r="O194" s="3">
        <v>330176.28125</v>
      </c>
      <c r="P194" s="3">
        <v>440987.40625</v>
      </c>
      <c r="Q194" s="3">
        <v>0.99244135618209794</v>
      </c>
      <c r="R194" s="3">
        <v>0.44022360444068898</v>
      </c>
      <c r="S194" s="3">
        <v>0.52609610557556197</v>
      </c>
      <c r="T194" s="3">
        <v>0.52465450763702404</v>
      </c>
      <c r="U194" s="3">
        <v>0.529912710189819</v>
      </c>
      <c r="W194" t="s">
        <v>50</v>
      </c>
      <c r="X194" t="s">
        <v>51</v>
      </c>
      <c r="Y194" t="s">
        <v>52</v>
      </c>
      <c r="Z194" t="s">
        <v>53</v>
      </c>
      <c r="AA194" t="s">
        <v>53</v>
      </c>
      <c r="AC194" s="2">
        <v>0.72549741679429403</v>
      </c>
      <c r="AD194" s="2">
        <v>0.58481532335281405</v>
      </c>
      <c r="AE194" s="2">
        <v>0.26064589619636502</v>
      </c>
      <c r="AF194" s="2">
        <v>0.17432728409767201</v>
      </c>
      <c r="AG194" s="2">
        <v>0.23232665657997101</v>
      </c>
      <c r="AH194" s="2">
        <v>-0.243904054164886</v>
      </c>
      <c r="AI194" s="2">
        <v>-8.2110865041613596E-3</v>
      </c>
      <c r="AJ194" s="2">
        <v>0.55975900079653895</v>
      </c>
      <c r="AK194" s="2">
        <v>0.52045578125675696</v>
      </c>
      <c r="AL194" s="2">
        <v>0.41316740078889302</v>
      </c>
      <c r="AM194" s="2">
        <v>0.58347558975219704</v>
      </c>
      <c r="AN194" s="2">
        <v>0.55894833803176902</v>
      </c>
      <c r="AO194" s="2">
        <v>0.350630313158035</v>
      </c>
      <c r="AP194" s="2">
        <v>1.30434858798981</v>
      </c>
    </row>
    <row r="195" spans="1:42" x14ac:dyDescent="0.3">
      <c r="A195" t="s">
        <v>118</v>
      </c>
      <c r="B195" s="3">
        <v>2016</v>
      </c>
      <c r="C195" s="3">
        <v>18.267220999999999</v>
      </c>
      <c r="D195" s="3">
        <v>1977.5</v>
      </c>
      <c r="E195" t="s">
        <v>119</v>
      </c>
      <c r="G195" s="3">
        <v>348955.75</v>
      </c>
      <c r="H195" s="3">
        <v>462627.875</v>
      </c>
      <c r="I195" s="3">
        <v>461651.28125</v>
      </c>
      <c r="J195" s="3">
        <v>456222.46875</v>
      </c>
      <c r="K195" s="3">
        <v>1998954.625</v>
      </c>
      <c r="L195" s="3">
        <v>1.3708638027310399E-2</v>
      </c>
      <c r="M195" s="3">
        <v>0.82907766103744496</v>
      </c>
      <c r="N195" s="3">
        <v>0.812816262245178</v>
      </c>
      <c r="O195" s="3">
        <v>343643.1875</v>
      </c>
      <c r="P195" s="3">
        <v>449450.25</v>
      </c>
      <c r="Q195" s="3">
        <v>0.98208850622177102</v>
      </c>
      <c r="R195" s="3">
        <v>0.44022360444068898</v>
      </c>
      <c r="S195" s="3">
        <v>0.54654604196548495</v>
      </c>
      <c r="T195" s="3">
        <v>0.54001516103744496</v>
      </c>
      <c r="U195" s="3">
        <v>0.54644107818603505</v>
      </c>
      <c r="W195" t="s">
        <v>50</v>
      </c>
      <c r="X195" t="s">
        <v>51</v>
      </c>
      <c r="Y195" t="s">
        <v>52</v>
      </c>
      <c r="Z195" t="s">
        <v>53</v>
      </c>
      <c r="AA195" t="s">
        <v>53</v>
      </c>
      <c r="AC195" s="2">
        <v>0.74192430924174102</v>
      </c>
      <c r="AD195" s="2">
        <v>0.581595659255981</v>
      </c>
      <c r="AE195" s="2">
        <v>0.249159440398216</v>
      </c>
      <c r="AF195" s="2">
        <v>0.18328498303890201</v>
      </c>
      <c r="AG195" s="2">
        <v>0.231005653738976</v>
      </c>
      <c r="AH195" s="2">
        <v>-0.23745298385620101</v>
      </c>
      <c r="AI195" s="2">
        <v>-7.5927558355033398E-3</v>
      </c>
      <c r="AJ195" s="2">
        <v>0.58402818164138504</v>
      </c>
      <c r="AK195" s="2">
        <v>0.51996655206784603</v>
      </c>
      <c r="AL195" s="2">
        <v>0.42760857266381103</v>
      </c>
      <c r="AM195" s="2">
        <v>0.57612246274948098</v>
      </c>
      <c r="AN195" s="2">
        <v>0.54787486791610696</v>
      </c>
      <c r="AO195" s="2">
        <v>0.35296693444251998</v>
      </c>
      <c r="AP195" s="2">
        <v>1.31766068935394</v>
      </c>
    </row>
    <row r="196" spans="1:42" x14ac:dyDescent="0.3">
      <c r="A196" t="s">
        <v>118</v>
      </c>
      <c r="B196" s="3">
        <v>2017</v>
      </c>
      <c r="C196" s="3">
        <v>18.558868</v>
      </c>
      <c r="D196" s="3">
        <v>1963.1</v>
      </c>
      <c r="E196" t="s">
        <v>119</v>
      </c>
      <c r="G196" s="3">
        <v>359812.65625</v>
      </c>
      <c r="H196" s="3">
        <v>479968.5</v>
      </c>
      <c r="I196" s="3">
        <v>483043.5625</v>
      </c>
      <c r="J196" s="3">
        <v>475889.28125</v>
      </c>
      <c r="K196" s="3">
        <v>2175640.25</v>
      </c>
      <c r="L196" s="3">
        <v>1.43719734624028E-2</v>
      </c>
      <c r="M196" s="3">
        <v>0.82690930366516102</v>
      </c>
      <c r="N196" s="3">
        <v>0.80315440893173196</v>
      </c>
      <c r="O196" s="3">
        <v>356573.59375</v>
      </c>
      <c r="P196" s="3">
        <v>462387.09375</v>
      </c>
      <c r="Q196" s="3">
        <v>0.97194421291351296</v>
      </c>
      <c r="R196" s="3">
        <v>0.44022360444068898</v>
      </c>
      <c r="S196" s="3">
        <v>0.58932274580001798</v>
      </c>
      <c r="T196" s="3">
        <v>0.572132587432861</v>
      </c>
      <c r="U196" s="3">
        <v>0.58073371648788497</v>
      </c>
      <c r="W196" t="s">
        <v>51</v>
      </c>
      <c r="X196" t="s">
        <v>51</v>
      </c>
      <c r="Y196" t="s">
        <v>52</v>
      </c>
      <c r="Z196" t="s">
        <v>53</v>
      </c>
      <c r="AA196" t="s">
        <v>53</v>
      </c>
      <c r="AC196" s="2">
        <v>0.76228292582554402</v>
      </c>
      <c r="AD196" s="2">
        <v>0.573927462100983</v>
      </c>
      <c r="AE196" s="2">
        <v>0.25248700380325301</v>
      </c>
      <c r="AF196" s="2">
        <v>0.182157337665558</v>
      </c>
      <c r="AG196" s="2">
        <v>0.24361191689968101</v>
      </c>
      <c r="AH196" s="2">
        <v>-0.245519369840622</v>
      </c>
      <c r="AI196" s="2">
        <v>-6.6643576137721504E-3</v>
      </c>
      <c r="AJ196" s="2">
        <v>0.62814206508938397</v>
      </c>
      <c r="AK196" s="2">
        <v>0.52065558479742602</v>
      </c>
      <c r="AL196" s="2">
        <v>0.467013913416229</v>
      </c>
      <c r="AM196" s="2">
        <v>0.59395354986190796</v>
      </c>
      <c r="AN196" s="2">
        <v>0.55851811170578003</v>
      </c>
      <c r="AO196" s="2">
        <v>0.36031085252761802</v>
      </c>
      <c r="AP196" s="2">
        <v>1.34299552440643</v>
      </c>
    </row>
    <row r="197" spans="1:42" x14ac:dyDescent="0.3">
      <c r="A197" t="s">
        <v>118</v>
      </c>
      <c r="B197" s="3">
        <v>2018</v>
      </c>
      <c r="C197" s="3">
        <v>18.893191000000002</v>
      </c>
      <c r="D197" s="3">
        <v>1955.5</v>
      </c>
      <c r="E197" t="s">
        <v>119</v>
      </c>
      <c r="G197" s="3">
        <v>375580.28125</v>
      </c>
      <c r="H197" s="3">
        <v>503338.21875</v>
      </c>
      <c r="I197" s="3">
        <v>497768.375</v>
      </c>
      <c r="J197" s="3">
        <v>491192.8125</v>
      </c>
      <c r="K197" s="3">
        <v>2104175.25</v>
      </c>
      <c r="L197" s="3">
        <v>1.36518413200974E-2</v>
      </c>
      <c r="M197" s="3">
        <v>0.85790812969207797</v>
      </c>
      <c r="N197" s="3">
        <v>0.84624183177947998</v>
      </c>
      <c r="O197" s="3">
        <v>369571.28125</v>
      </c>
      <c r="P197" s="3">
        <v>485618.09375</v>
      </c>
      <c r="Q197" s="3">
        <v>0.98402673006057695</v>
      </c>
      <c r="R197" s="3">
        <v>0.44022360444068898</v>
      </c>
      <c r="S197" s="3">
        <v>0.60496133565902699</v>
      </c>
      <c r="T197" s="3">
        <v>0.59345400333404497</v>
      </c>
      <c r="U197" s="3">
        <v>0.60139858722686801</v>
      </c>
      <c r="W197" t="s">
        <v>50</v>
      </c>
      <c r="X197" t="s">
        <v>51</v>
      </c>
      <c r="Y197" t="s">
        <v>52</v>
      </c>
      <c r="Z197" t="s">
        <v>53</v>
      </c>
      <c r="AA197" t="s">
        <v>53</v>
      </c>
      <c r="AC197" s="2">
        <v>0.747644082903827</v>
      </c>
      <c r="AD197" s="2">
        <v>0.573314249515533</v>
      </c>
      <c r="AE197" s="2">
        <v>0.26009732484817499</v>
      </c>
      <c r="AF197" s="2">
        <v>0.191314771771431</v>
      </c>
      <c r="AG197" s="2">
        <v>0.25310817360878002</v>
      </c>
      <c r="AH197" s="2">
        <v>-0.26226314902305597</v>
      </c>
      <c r="AI197" s="2">
        <v>-1.5571401454508299E-2</v>
      </c>
      <c r="AJ197" s="2">
        <v>0.65099442230985705</v>
      </c>
      <c r="AK197" s="2">
        <v>0.55962499424854295</v>
      </c>
      <c r="AL197" s="2">
        <v>0.46701370043103202</v>
      </c>
      <c r="AM197" s="2">
        <v>0.60713261365890503</v>
      </c>
      <c r="AN197" s="2">
        <v>0.57589119672775302</v>
      </c>
      <c r="AO197" s="2">
        <v>0.40481457114219699</v>
      </c>
      <c r="AP197" s="2">
        <v>1.4321992397308401</v>
      </c>
    </row>
    <row r="198" spans="1:42" x14ac:dyDescent="0.3">
      <c r="A198" t="s">
        <v>118</v>
      </c>
      <c r="B198" s="3">
        <v>2019</v>
      </c>
      <c r="C198" s="3">
        <v>19.197744</v>
      </c>
      <c r="D198" s="3">
        <v>1929.5</v>
      </c>
      <c r="E198" t="s">
        <v>119</v>
      </c>
      <c r="G198" s="3">
        <v>385335.125</v>
      </c>
      <c r="H198" s="3">
        <v>508891.9375</v>
      </c>
      <c r="I198" s="3">
        <v>499587.53125</v>
      </c>
      <c r="J198" s="3">
        <v>495794.46875</v>
      </c>
      <c r="K198" s="3">
        <v>1989420.75</v>
      </c>
      <c r="L198" s="3">
        <v>1.2844642624259E-2</v>
      </c>
      <c r="M198" s="3">
        <v>0.87177938222885099</v>
      </c>
      <c r="N198" s="3">
        <v>0.86105436086654696</v>
      </c>
      <c r="O198" s="3">
        <v>372183.65625</v>
      </c>
      <c r="P198" s="3">
        <v>489691.34375</v>
      </c>
      <c r="Q198" s="3">
        <v>0.96249610185623202</v>
      </c>
      <c r="R198" s="3">
        <v>0.44022360444068898</v>
      </c>
      <c r="S198" s="3">
        <v>0.55532240867614802</v>
      </c>
      <c r="T198" s="3">
        <v>0.55681854486465499</v>
      </c>
      <c r="U198" s="3">
        <v>0.56107842922210704</v>
      </c>
      <c r="W198" t="s">
        <v>50</v>
      </c>
      <c r="X198" t="s">
        <v>54</v>
      </c>
      <c r="Y198" t="s">
        <v>52</v>
      </c>
      <c r="Z198" t="s">
        <v>53</v>
      </c>
      <c r="AA198" t="s">
        <v>53</v>
      </c>
      <c r="AC198" s="2">
        <v>0.73125861605626896</v>
      </c>
      <c r="AD198" s="2">
        <v>0.58541256189346302</v>
      </c>
      <c r="AE198" s="2">
        <v>0.24920971691608401</v>
      </c>
      <c r="AF198" s="2">
        <v>0.19179481267929099</v>
      </c>
      <c r="AG198" s="2">
        <v>0.24717065691947901</v>
      </c>
      <c r="AH198" s="2">
        <v>-0.25463971495628401</v>
      </c>
      <c r="AI198" s="2">
        <v>-1.89480874687433E-2</v>
      </c>
      <c r="AJ198" s="2">
        <v>0.59106010194747605</v>
      </c>
      <c r="AK198" s="2">
        <v>0.56148456698915705</v>
      </c>
      <c r="AL198" s="2">
        <v>0.44624072834390499</v>
      </c>
      <c r="AM198" s="2">
        <v>0.56861495971679699</v>
      </c>
      <c r="AN198" s="2">
        <v>0.55122274160385099</v>
      </c>
      <c r="AO198" s="2">
        <v>0.423341125249863</v>
      </c>
      <c r="AP198" s="2">
        <v>1.3789044618606601</v>
      </c>
    </row>
    <row r="199" spans="1:42" x14ac:dyDescent="0.3">
      <c r="A199" t="s">
        <v>118</v>
      </c>
      <c r="B199" s="3">
        <v>2020</v>
      </c>
      <c r="C199" s="3">
        <v>19.370623999999999</v>
      </c>
      <c r="D199" s="3">
        <v>1825.3</v>
      </c>
      <c r="E199" t="s">
        <v>119</v>
      </c>
      <c r="G199" s="3">
        <v>371921.25</v>
      </c>
      <c r="H199" s="3">
        <v>466858.625</v>
      </c>
      <c r="I199" s="3">
        <v>488744.1875</v>
      </c>
      <c r="J199" s="3">
        <v>473654.375</v>
      </c>
      <c r="K199" s="3">
        <v>1865635.125</v>
      </c>
      <c r="L199" s="3">
        <v>1.1370381340384501E-2</v>
      </c>
      <c r="M199" s="3">
        <v>0.94967764616012595</v>
      </c>
      <c r="N199" s="3">
        <v>0.89797395467758201</v>
      </c>
      <c r="O199" s="3">
        <v>347548.0625</v>
      </c>
      <c r="P199" s="3">
        <v>443872.4375</v>
      </c>
      <c r="Q199" s="3">
        <v>0.96373230218887296</v>
      </c>
      <c r="R199" s="3">
        <v>0.44022360444068898</v>
      </c>
      <c r="S199" s="3">
        <v>0.50830394029617298</v>
      </c>
      <c r="T199" s="3">
        <v>0.51945418119430498</v>
      </c>
      <c r="U199" s="3">
        <v>0.53600311279296897</v>
      </c>
      <c r="W199" t="s">
        <v>50</v>
      </c>
      <c r="X199" t="s">
        <v>54</v>
      </c>
      <c r="Y199" t="s">
        <v>52</v>
      </c>
      <c r="Z199" t="s">
        <v>53</v>
      </c>
      <c r="AA199" t="s">
        <v>53</v>
      </c>
      <c r="AC199" s="2">
        <v>0.70881457782691204</v>
      </c>
      <c r="AD199" s="2">
        <v>0.57280528545379605</v>
      </c>
      <c r="AE199" s="2">
        <v>0.200435951352119</v>
      </c>
      <c r="AF199" s="2">
        <v>0.212411299347878</v>
      </c>
      <c r="AG199" s="2">
        <v>0.25533822178840598</v>
      </c>
      <c r="AH199" s="2">
        <v>-0.23012460768222801</v>
      </c>
      <c r="AI199" s="2">
        <v>-1.0866112075746099E-2</v>
      </c>
      <c r="AJ199" s="2">
        <v>0.54682960309901196</v>
      </c>
      <c r="AK199" s="2">
        <v>0.56313570760378795</v>
      </c>
      <c r="AL199" s="2">
        <v>0.40441254237739799</v>
      </c>
      <c r="AM199" s="2">
        <v>0.59101587533950795</v>
      </c>
      <c r="AN199" s="2">
        <v>0.52616232633590698</v>
      </c>
      <c r="AO199" s="2">
        <v>0.43665340542793302</v>
      </c>
      <c r="AP199" s="2">
        <v>1.48420310020447</v>
      </c>
    </row>
    <row r="200" spans="1:42" x14ac:dyDescent="0.3">
      <c r="A200" t="s">
        <v>120</v>
      </c>
      <c r="B200" s="3">
        <v>2015</v>
      </c>
      <c r="C200" s="3">
        <v>1396.134174</v>
      </c>
      <c r="D200" s="3">
        <v>2405.09</v>
      </c>
      <c r="E200" t="s">
        <v>121</v>
      </c>
      <c r="G200" s="3">
        <v>10840823</v>
      </c>
      <c r="H200" s="3">
        <v>19480036</v>
      </c>
      <c r="I200" s="3">
        <v>20035898</v>
      </c>
      <c r="J200" s="3">
        <v>20142288</v>
      </c>
      <c r="K200" s="3">
        <v>86255568</v>
      </c>
      <c r="L200" s="3">
        <v>1.02047407627106</v>
      </c>
      <c r="M200" s="3">
        <v>0.41483435034751898</v>
      </c>
      <c r="N200" s="3">
        <v>0.38705071806907698</v>
      </c>
      <c r="O200" s="3">
        <v>10338762</v>
      </c>
      <c r="P200" s="3">
        <v>19370364</v>
      </c>
      <c r="Q200" s="3">
        <v>0.851113080978394</v>
      </c>
      <c r="R200" s="3">
        <v>0.58101278543472301</v>
      </c>
      <c r="S200" s="3">
        <v>0.55090200901031505</v>
      </c>
      <c r="T200" s="3">
        <v>0.55208766460418701</v>
      </c>
      <c r="U200" s="3">
        <v>0.54917162656784102</v>
      </c>
      <c r="W200" t="s">
        <v>50</v>
      </c>
      <c r="X200" t="s">
        <v>51</v>
      </c>
      <c r="Y200" t="s">
        <v>52</v>
      </c>
      <c r="Z200" t="s">
        <v>53</v>
      </c>
      <c r="AA200" t="s">
        <v>53</v>
      </c>
      <c r="AC200" s="2">
        <v>0.55634947327071504</v>
      </c>
      <c r="AD200" s="2">
        <v>0.38976129889488198</v>
      </c>
      <c r="AE200" s="2">
        <v>0.42890927195549</v>
      </c>
      <c r="AF200" s="2">
        <v>0.148450776934624</v>
      </c>
      <c r="AG200" s="2">
        <v>0.19180752336978901</v>
      </c>
      <c r="AH200" s="2">
        <v>-0.13298089802265201</v>
      </c>
      <c r="AI200" s="2">
        <v>-2.5947982445359199E-2</v>
      </c>
      <c r="AJ200" s="2">
        <v>0.53221875001335195</v>
      </c>
      <c r="AK200" s="2">
        <v>0.55357553912566704</v>
      </c>
      <c r="AL200" s="2">
        <v>0.59995535221766205</v>
      </c>
      <c r="AM200" s="2">
        <v>0.58845704793930098</v>
      </c>
      <c r="AN200" s="2">
        <v>0.62704324722289995</v>
      </c>
      <c r="AO200" s="2">
        <v>0.35928928852081299</v>
      </c>
      <c r="AP200" s="2">
        <v>0.60678899288177501</v>
      </c>
    </row>
    <row r="201" spans="1:42" x14ac:dyDescent="0.3">
      <c r="A201" t="s">
        <v>120</v>
      </c>
      <c r="B201" s="3">
        <v>2016</v>
      </c>
      <c r="C201" s="3">
        <v>1404.0526319999999</v>
      </c>
      <c r="D201" s="3">
        <v>2397.1999999999998</v>
      </c>
      <c r="E201" t="s">
        <v>121</v>
      </c>
      <c r="G201" s="3">
        <v>11508682</v>
      </c>
      <c r="H201" s="3">
        <v>20459300</v>
      </c>
      <c r="I201" s="3">
        <v>20947376</v>
      </c>
      <c r="J201" s="3">
        <v>20976342</v>
      </c>
      <c r="K201" s="3">
        <v>92717152</v>
      </c>
      <c r="L201" s="3">
        <v>1.05467128753662</v>
      </c>
      <c r="M201" s="3">
        <v>0.42026355862617498</v>
      </c>
      <c r="N201" s="3">
        <v>0.39630052447318997</v>
      </c>
      <c r="O201" s="3">
        <v>11208317</v>
      </c>
      <c r="P201" s="3">
        <v>20902084</v>
      </c>
      <c r="Q201" s="3">
        <v>0.87279534339904796</v>
      </c>
      <c r="R201" s="3">
        <v>0.58115959167480502</v>
      </c>
      <c r="S201" s="3">
        <v>0.53721773624420199</v>
      </c>
      <c r="T201" s="3">
        <v>0.53626358509063698</v>
      </c>
      <c r="U201" s="3">
        <v>0.53552305698394798</v>
      </c>
      <c r="W201" t="s">
        <v>50</v>
      </c>
      <c r="X201" t="s">
        <v>51</v>
      </c>
      <c r="Y201" t="s">
        <v>52</v>
      </c>
      <c r="Z201" t="s">
        <v>53</v>
      </c>
      <c r="AA201" t="s">
        <v>53</v>
      </c>
      <c r="AC201" s="2">
        <v>0.55580335537474901</v>
      </c>
      <c r="AD201" s="2">
        <v>0.40472340583801297</v>
      </c>
      <c r="AE201" s="2">
        <v>0.42670056223869302</v>
      </c>
      <c r="AF201" s="2">
        <v>0.14392714202404</v>
      </c>
      <c r="AG201" s="2">
        <v>0.17228387296199801</v>
      </c>
      <c r="AH201" s="2">
        <v>-0.12555937469005601</v>
      </c>
      <c r="AI201" s="2">
        <v>-2.20756139606237E-2</v>
      </c>
      <c r="AJ201" s="2">
        <v>0.511740411877323</v>
      </c>
      <c r="AK201" s="2">
        <v>0.53503674231407505</v>
      </c>
      <c r="AL201" s="2">
        <v>0.60886004741813005</v>
      </c>
      <c r="AM201" s="2">
        <v>0.58043897151946999</v>
      </c>
      <c r="AN201" s="2">
        <v>0.60290616750717196</v>
      </c>
      <c r="AO201" s="2">
        <v>0.34362873435020402</v>
      </c>
      <c r="AP201" s="2">
        <v>0.57743436098098799</v>
      </c>
    </row>
    <row r="202" spans="1:42" x14ac:dyDescent="0.3">
      <c r="A202" t="s">
        <v>120</v>
      </c>
      <c r="B202" s="3">
        <v>2017</v>
      </c>
      <c r="C202" s="3">
        <v>1412.3547269999999</v>
      </c>
      <c r="D202" s="3">
        <v>2383.04</v>
      </c>
      <c r="E202" t="s">
        <v>121</v>
      </c>
      <c r="G202" s="3">
        <v>12221576</v>
      </c>
      <c r="H202" s="3">
        <v>21622326</v>
      </c>
      <c r="I202" s="3">
        <v>22090422</v>
      </c>
      <c r="J202" s="3">
        <v>22236178</v>
      </c>
      <c r="K202" s="3">
        <v>98535248</v>
      </c>
      <c r="L202" s="3">
        <v>1.08872199058533</v>
      </c>
      <c r="M202" s="3">
        <v>0.432371765375137</v>
      </c>
      <c r="N202" s="3">
        <v>0.40488705039024397</v>
      </c>
      <c r="O202" s="3">
        <v>12011744</v>
      </c>
      <c r="P202" s="3">
        <v>22324708</v>
      </c>
      <c r="Q202" s="3">
        <v>0.89887654781341597</v>
      </c>
      <c r="R202" s="3">
        <v>0.579817354679108</v>
      </c>
      <c r="S202" s="3">
        <v>0.55266880989074696</v>
      </c>
      <c r="T202" s="3">
        <v>0.55727726221084595</v>
      </c>
      <c r="U202" s="3">
        <v>0.55362439155578602</v>
      </c>
      <c r="W202" t="s">
        <v>51</v>
      </c>
      <c r="X202" t="s">
        <v>51</v>
      </c>
      <c r="Y202" t="s">
        <v>52</v>
      </c>
      <c r="Z202" t="s">
        <v>53</v>
      </c>
      <c r="AA202" t="s">
        <v>53</v>
      </c>
      <c r="AC202" s="2">
        <v>0.56357727851131001</v>
      </c>
      <c r="AD202" s="2">
        <v>0.41348534822464</v>
      </c>
      <c r="AE202" s="2">
        <v>0.422768205404282</v>
      </c>
      <c r="AF202" s="2">
        <v>0.136140376329422</v>
      </c>
      <c r="AG202" s="2">
        <v>0.169978156685829</v>
      </c>
      <c r="AH202" s="2">
        <v>-0.129479050636292</v>
      </c>
      <c r="AI202" s="2">
        <v>-1.2893049977719799E-2</v>
      </c>
      <c r="AJ202" s="2">
        <v>0.51605791209097696</v>
      </c>
      <c r="AK202" s="2">
        <v>0.56326858086416598</v>
      </c>
      <c r="AL202" s="2">
        <v>0.663863339933352</v>
      </c>
      <c r="AM202" s="2">
        <v>0.59882825613021895</v>
      </c>
      <c r="AN202" s="2">
        <v>0.64040070772170998</v>
      </c>
      <c r="AO202" s="2">
        <v>0.36860632896423301</v>
      </c>
      <c r="AP202" s="2">
        <v>0.59277510643005404</v>
      </c>
    </row>
    <row r="203" spans="1:42" x14ac:dyDescent="0.3">
      <c r="A203" t="s">
        <v>120</v>
      </c>
      <c r="B203" s="3">
        <v>2018</v>
      </c>
      <c r="C203" s="3">
        <v>1419.0089559999999</v>
      </c>
      <c r="D203" s="3">
        <v>2369.8200000000002</v>
      </c>
      <c r="E203" t="s">
        <v>121</v>
      </c>
      <c r="G203" s="3">
        <v>12985229</v>
      </c>
      <c r="H203" s="3">
        <v>23327092</v>
      </c>
      <c r="I203" s="3">
        <v>23598198</v>
      </c>
      <c r="J203" s="3">
        <v>23780492</v>
      </c>
      <c r="K203" s="3">
        <v>110373696</v>
      </c>
      <c r="L203" s="3">
        <v>1.1752846240997299</v>
      </c>
      <c r="M203" s="3">
        <v>0.439275443553925</v>
      </c>
      <c r="N203" s="3">
        <v>0.41478461027145402</v>
      </c>
      <c r="O203" s="3">
        <v>12962209</v>
      </c>
      <c r="P203" s="3">
        <v>23980428</v>
      </c>
      <c r="Q203" s="3">
        <v>0.92456942796707198</v>
      </c>
      <c r="R203" s="3">
        <v>0.57705539464950595</v>
      </c>
      <c r="S203" s="3">
        <v>0.58914756774902299</v>
      </c>
      <c r="T203" s="3">
        <v>0.58881217241287198</v>
      </c>
      <c r="U203" s="3">
        <v>0.58429855108261097</v>
      </c>
      <c r="W203" t="s">
        <v>50</v>
      </c>
      <c r="X203" t="s">
        <v>51</v>
      </c>
      <c r="Y203" t="s">
        <v>52</v>
      </c>
      <c r="Z203" t="s">
        <v>53</v>
      </c>
      <c r="AA203" t="s">
        <v>53</v>
      </c>
      <c r="AC203" s="2">
        <v>0.56877687879918104</v>
      </c>
      <c r="AD203" s="2">
        <v>0.406849235296249</v>
      </c>
      <c r="AE203" s="2">
        <v>0.43488851189613298</v>
      </c>
      <c r="AF203" s="2">
        <v>0.139196187257767</v>
      </c>
      <c r="AG203" s="2">
        <v>0.17032518982887301</v>
      </c>
      <c r="AH203" s="2">
        <v>-0.136892765760422</v>
      </c>
      <c r="AI203" s="2">
        <v>-1.4366366900503601E-2</v>
      </c>
      <c r="AJ203" s="2">
        <v>0.55323332328504204</v>
      </c>
      <c r="AK203" s="2">
        <v>0.58839115754254401</v>
      </c>
      <c r="AL203" s="2">
        <v>0.69411937799247003</v>
      </c>
      <c r="AM203" s="2">
        <v>0.61579591035842896</v>
      </c>
      <c r="AN203" s="2">
        <v>0.65583181381225597</v>
      </c>
      <c r="AO203" s="2">
        <v>0.38749364018440202</v>
      </c>
      <c r="AP203" s="2">
        <v>0.59123730659484897</v>
      </c>
    </row>
    <row r="204" spans="1:42" x14ac:dyDescent="0.3">
      <c r="A204" t="s">
        <v>120</v>
      </c>
      <c r="B204" s="3">
        <v>2019</v>
      </c>
      <c r="C204" s="3">
        <v>1423.5203570000001</v>
      </c>
      <c r="D204" s="3">
        <v>2357.1999999999998</v>
      </c>
      <c r="E204" t="s">
        <v>121</v>
      </c>
      <c r="G204" s="3">
        <v>14008383</v>
      </c>
      <c r="H204" s="3">
        <v>24985116</v>
      </c>
      <c r="I204" s="3">
        <v>25168916</v>
      </c>
      <c r="J204" s="3">
        <v>25413962</v>
      </c>
      <c r="K204" s="3">
        <v>122076544</v>
      </c>
      <c r="L204" s="3">
        <v>1.2456363439559901</v>
      </c>
      <c r="M204" s="3">
        <v>0.44849833846092202</v>
      </c>
      <c r="N204" s="3">
        <v>0.42429733276367199</v>
      </c>
      <c r="O204" s="3">
        <v>13779956</v>
      </c>
      <c r="P204" s="3">
        <v>25248744</v>
      </c>
      <c r="Q204" s="3">
        <v>0.94675338268279996</v>
      </c>
      <c r="R204" s="3">
        <v>0.57775348424911499</v>
      </c>
      <c r="S204" s="3">
        <v>0.57104653120040905</v>
      </c>
      <c r="T204" s="3">
        <v>0.56736522912979104</v>
      </c>
      <c r="U204" s="3">
        <v>0.56189459562301602</v>
      </c>
      <c r="W204" t="s">
        <v>50</v>
      </c>
      <c r="X204" t="s">
        <v>54</v>
      </c>
      <c r="Y204" t="s">
        <v>52</v>
      </c>
      <c r="Z204" t="s">
        <v>53</v>
      </c>
      <c r="AA204" t="s">
        <v>53</v>
      </c>
      <c r="AC204" s="2">
        <v>0.57667306401544305</v>
      </c>
      <c r="AD204" s="2">
        <v>0.41057777404785201</v>
      </c>
      <c r="AE204" s="2">
        <v>0.43191739916801503</v>
      </c>
      <c r="AF204" s="2">
        <v>0.14063040912151301</v>
      </c>
      <c r="AG204" s="2">
        <v>0.16320073604583701</v>
      </c>
      <c r="AH204" s="2">
        <v>-0.123543485999107</v>
      </c>
      <c r="AI204" s="2">
        <v>-2.2782834246754601E-2</v>
      </c>
      <c r="AJ204" s="2">
        <v>0.53712771067301401</v>
      </c>
      <c r="AK204" s="2">
        <v>0.56266728522628195</v>
      </c>
      <c r="AL204" s="2">
        <v>0.67007417573999195</v>
      </c>
      <c r="AM204" s="2">
        <v>0.60241675376892101</v>
      </c>
      <c r="AN204" s="2">
        <v>0.65895801782607999</v>
      </c>
      <c r="AO204" s="2">
        <v>0.372604370117188</v>
      </c>
      <c r="AP204" s="2">
        <v>0.55057740211486805</v>
      </c>
    </row>
    <row r="205" spans="1:42" x14ac:dyDescent="0.3">
      <c r="A205" t="s">
        <v>120</v>
      </c>
      <c r="B205" s="3">
        <v>2020</v>
      </c>
      <c r="C205" s="3">
        <v>1426.1060930000001</v>
      </c>
      <c r="D205" s="3">
        <v>2254.58</v>
      </c>
      <c r="E205" t="s">
        <v>121</v>
      </c>
      <c r="G205" s="3">
        <v>14067967</v>
      </c>
      <c r="H205" s="3">
        <v>25415866</v>
      </c>
      <c r="I205" s="3">
        <v>25751374</v>
      </c>
      <c r="J205" s="3">
        <v>25845364</v>
      </c>
      <c r="K205" s="3">
        <v>132125224</v>
      </c>
      <c r="L205" s="3">
        <v>1.2666362524032599</v>
      </c>
      <c r="M205" s="3">
        <v>0.45294800400733998</v>
      </c>
      <c r="N205" s="3">
        <v>0.42730104923248302</v>
      </c>
      <c r="O205" s="3">
        <v>13734834</v>
      </c>
      <c r="P205" s="3">
        <v>25684518</v>
      </c>
      <c r="Q205" s="3">
        <v>0.95937436819076505</v>
      </c>
      <c r="R205" s="3">
        <v>0.57249999046325695</v>
      </c>
      <c r="S205" s="3">
        <v>0.57768082618713401</v>
      </c>
      <c r="T205" s="3">
        <v>0.57036739587783802</v>
      </c>
      <c r="U205" s="3">
        <v>0.56829315423965499</v>
      </c>
      <c r="W205" t="s">
        <v>50</v>
      </c>
      <c r="X205" t="s">
        <v>54</v>
      </c>
      <c r="Y205" t="s">
        <v>52</v>
      </c>
      <c r="Z205" t="s">
        <v>53</v>
      </c>
      <c r="AA205" t="s">
        <v>53</v>
      </c>
      <c r="AC205" s="2">
        <v>0.58161051954791299</v>
      </c>
      <c r="AD205" s="2">
        <v>0.40005964040756198</v>
      </c>
      <c r="AE205" s="2">
        <v>0.43906903266906699</v>
      </c>
      <c r="AF205" s="2">
        <v>0.14425332844257399</v>
      </c>
      <c r="AG205" s="2">
        <v>0.16308990120887801</v>
      </c>
      <c r="AH205" s="2">
        <v>-0.118191085755825</v>
      </c>
      <c r="AI205" s="2">
        <v>-2.8280833736062098E-2</v>
      </c>
      <c r="AJ205" s="2">
        <v>0.54264355695286604</v>
      </c>
      <c r="AK205" s="2">
        <v>0.56130088891559904</v>
      </c>
      <c r="AL205" s="2">
        <v>0.67485022408476802</v>
      </c>
      <c r="AM205" s="2">
        <v>0.61116236448287997</v>
      </c>
      <c r="AN205" s="2">
        <v>0.64470565319061302</v>
      </c>
      <c r="AO205" s="2">
        <v>0.36843761801719699</v>
      </c>
      <c r="AP205" s="2">
        <v>0.58865958452224698</v>
      </c>
    </row>
    <row r="206" spans="1:42" x14ac:dyDescent="0.3">
      <c r="A206" t="s">
        <v>122</v>
      </c>
      <c r="B206" s="3">
        <v>2015</v>
      </c>
      <c r="C206" s="3">
        <v>25.246341999999999</v>
      </c>
      <c r="D206" s="3">
        <v>2098.48</v>
      </c>
      <c r="E206" t="s">
        <v>82</v>
      </c>
      <c r="G206" s="3">
        <v>96925.203125</v>
      </c>
      <c r="H206" s="3">
        <v>120892.3671875</v>
      </c>
      <c r="I206" s="3">
        <v>123353.2421875</v>
      </c>
      <c r="J206" s="3">
        <v>120627.8515625</v>
      </c>
      <c r="K206" s="3">
        <v>244772.25</v>
      </c>
      <c r="L206" s="3">
        <v>2.47719092294574E-3</v>
      </c>
      <c r="M206" s="3">
        <v>0.72231566905975297</v>
      </c>
      <c r="N206" s="3">
        <v>0.69837790727615401</v>
      </c>
      <c r="O206" s="3">
        <v>100286.84375</v>
      </c>
      <c r="P206" s="3">
        <v>122342.8515625</v>
      </c>
      <c r="Q206" s="3">
        <v>1.1358786821365401</v>
      </c>
      <c r="R206" s="3">
        <v>0.331920176744461</v>
      </c>
      <c r="S206" s="3">
        <v>0.35270211100578303</v>
      </c>
      <c r="T206" s="3">
        <v>0.37141308188438399</v>
      </c>
      <c r="U206" s="3">
        <v>0.37980455160141002</v>
      </c>
      <c r="W206" t="s">
        <v>50</v>
      </c>
      <c r="X206" t="s">
        <v>51</v>
      </c>
      <c r="Y206" t="s">
        <v>52</v>
      </c>
      <c r="Z206" t="s">
        <v>53</v>
      </c>
      <c r="AA206" t="s">
        <v>53</v>
      </c>
      <c r="AC206" s="2">
        <v>0.40297773596831599</v>
      </c>
      <c r="AD206" s="2">
        <v>0.70965385437011697</v>
      </c>
      <c r="AE206" s="2">
        <v>0.198686853051186</v>
      </c>
      <c r="AF206" s="2">
        <v>9.3852140009403201E-2</v>
      </c>
      <c r="AG206" s="2">
        <v>0.192793503403664</v>
      </c>
      <c r="AH206" s="2">
        <v>-0.167921006679535</v>
      </c>
      <c r="AI206" s="2">
        <v>-2.7065310627222099E-2</v>
      </c>
      <c r="AJ206" s="2">
        <v>0.34931764405602</v>
      </c>
      <c r="AK206" s="2">
        <v>0.44708168825918998</v>
      </c>
      <c r="AL206" s="2">
        <v>0.378293523119829</v>
      </c>
      <c r="AM206" s="2">
        <v>0.54005658626556396</v>
      </c>
      <c r="AN206" s="2">
        <v>0.51371091604232799</v>
      </c>
      <c r="AO206" s="2">
        <v>0.27066990733146701</v>
      </c>
      <c r="AP206" s="2">
        <v>1.6508156061172501</v>
      </c>
    </row>
    <row r="207" spans="1:42" x14ac:dyDescent="0.3">
      <c r="A207" t="s">
        <v>122</v>
      </c>
      <c r="B207" s="3">
        <v>2016</v>
      </c>
      <c r="C207" s="3">
        <v>25.989405000000001</v>
      </c>
      <c r="D207" s="3">
        <v>2095.21</v>
      </c>
      <c r="E207" t="s">
        <v>82</v>
      </c>
      <c r="G207" s="3">
        <v>101546.3046875</v>
      </c>
      <c r="H207" s="3">
        <v>126135.6796875</v>
      </c>
      <c r="I207" s="3">
        <v>129127.75</v>
      </c>
      <c r="J207" s="3">
        <v>126508.7109375</v>
      </c>
      <c r="K207" s="3">
        <v>257106.28125</v>
      </c>
      <c r="L207" s="3">
        <v>2.5447595398873099E-3</v>
      </c>
      <c r="M207" s="3">
        <v>0.72176706790924094</v>
      </c>
      <c r="N207" s="3">
        <v>0.69575560092926003</v>
      </c>
      <c r="O207" s="3">
        <v>106469.7578125</v>
      </c>
      <c r="P207" s="3">
        <v>131549.765625</v>
      </c>
      <c r="Q207" s="3">
        <v>1.10730087757111</v>
      </c>
      <c r="R207" s="3">
        <v>0.331920176744461</v>
      </c>
      <c r="S207" s="3">
        <v>0.35508635640144398</v>
      </c>
      <c r="T207" s="3">
        <v>0.37488269805908198</v>
      </c>
      <c r="U207" s="3">
        <v>0.38264369964599598</v>
      </c>
      <c r="W207" t="s">
        <v>50</v>
      </c>
      <c r="X207" t="s">
        <v>51</v>
      </c>
      <c r="Y207" t="s">
        <v>52</v>
      </c>
      <c r="Z207" t="s">
        <v>53</v>
      </c>
      <c r="AA207" t="s">
        <v>53</v>
      </c>
      <c r="AC207" s="2">
        <v>0.39003282677982098</v>
      </c>
      <c r="AD207" s="2">
        <v>0.70395511388778698</v>
      </c>
      <c r="AE207" s="2">
        <v>0.19436903297901201</v>
      </c>
      <c r="AF207" s="2">
        <v>9.8727226257324205E-2</v>
      </c>
      <c r="AG207" s="2">
        <v>0.16125790774822199</v>
      </c>
      <c r="AH207" s="2">
        <v>-0.13612690567970301</v>
      </c>
      <c r="AI207" s="2">
        <v>-2.21823789179325E-2</v>
      </c>
      <c r="AJ207" s="2">
        <v>0.35126245672058398</v>
      </c>
      <c r="AK207" s="2">
        <v>0.45663533952998703</v>
      </c>
      <c r="AL207" s="2">
        <v>0.38235194989872401</v>
      </c>
      <c r="AM207" s="2">
        <v>0.52826327085494995</v>
      </c>
      <c r="AN207" s="2">
        <v>0.49830192327499401</v>
      </c>
      <c r="AO207" s="2">
        <v>0.27594161033630399</v>
      </c>
      <c r="AP207" s="2">
        <v>1.6449770927429199</v>
      </c>
    </row>
    <row r="208" spans="1:42" x14ac:dyDescent="0.3">
      <c r="A208" t="s">
        <v>122</v>
      </c>
      <c r="B208" s="3">
        <v>2017</v>
      </c>
      <c r="C208" s="3">
        <v>26.733371999999999</v>
      </c>
      <c r="D208" s="3">
        <v>2103.89</v>
      </c>
      <c r="E208" t="s">
        <v>82</v>
      </c>
      <c r="G208" s="3">
        <v>109881.859375</v>
      </c>
      <c r="H208" s="3">
        <v>133672.296875</v>
      </c>
      <c r="I208" s="3">
        <v>136866.640625</v>
      </c>
      <c r="J208" s="3">
        <v>133399.15625</v>
      </c>
      <c r="K208" s="3">
        <v>281629.84375</v>
      </c>
      <c r="L208" s="3">
        <v>2.7383579872548602E-3</v>
      </c>
      <c r="M208" s="3">
        <v>0.71390765905380305</v>
      </c>
      <c r="N208" s="3">
        <v>0.68891364336013805</v>
      </c>
      <c r="O208" s="3">
        <v>113289.9140625</v>
      </c>
      <c r="P208" s="3">
        <v>137610.75</v>
      </c>
      <c r="Q208" s="3">
        <v>1.10481989383698</v>
      </c>
      <c r="R208" s="3">
        <v>0.331920176744461</v>
      </c>
      <c r="S208" s="3">
        <v>0.36725175380706798</v>
      </c>
      <c r="T208" s="3">
        <v>0.383675247430801</v>
      </c>
      <c r="U208" s="3">
        <v>0.39364823698997498</v>
      </c>
      <c r="W208" t="s">
        <v>51</v>
      </c>
      <c r="X208" t="s">
        <v>51</v>
      </c>
      <c r="Y208" t="s">
        <v>52</v>
      </c>
      <c r="Z208" t="s">
        <v>53</v>
      </c>
      <c r="AA208" t="s">
        <v>53</v>
      </c>
      <c r="AC208" s="2">
        <v>0.38535159115755202</v>
      </c>
      <c r="AD208" s="2">
        <v>0.719415843486786</v>
      </c>
      <c r="AE208" s="2">
        <v>0.17834024131298101</v>
      </c>
      <c r="AF208" s="2">
        <v>0.104291446506977</v>
      </c>
      <c r="AG208" s="2">
        <v>0.17089655995368999</v>
      </c>
      <c r="AH208" s="2">
        <v>-0.142357677221298</v>
      </c>
      <c r="AI208" s="2">
        <v>-3.0586427077651E-2</v>
      </c>
      <c r="AJ208" s="2">
        <v>0.36430476876037399</v>
      </c>
      <c r="AK208" s="2">
        <v>0.459531194966732</v>
      </c>
      <c r="AL208" s="2">
        <v>0.38758041847877001</v>
      </c>
      <c r="AM208" s="2">
        <v>0.54591870307922397</v>
      </c>
      <c r="AN208" s="2">
        <v>0.50624561309814498</v>
      </c>
      <c r="AO208" s="2">
        <v>0.279756009578705</v>
      </c>
      <c r="AP208" s="2">
        <v>1.59842753410339</v>
      </c>
    </row>
    <row r="209" spans="1:42" x14ac:dyDescent="0.3">
      <c r="A209" t="s">
        <v>122</v>
      </c>
      <c r="B209" s="3">
        <v>2018</v>
      </c>
      <c r="C209" s="3">
        <v>27.464172999999999</v>
      </c>
      <c r="D209" s="3">
        <v>2098.11</v>
      </c>
      <c r="E209" t="s">
        <v>82</v>
      </c>
      <c r="G209" s="3">
        <v>117898.90625</v>
      </c>
      <c r="H209" s="3">
        <v>144875.234375</v>
      </c>
      <c r="I209" s="3">
        <v>143940.890625</v>
      </c>
      <c r="J209" s="3">
        <v>142275.71875</v>
      </c>
      <c r="K209" s="3">
        <v>316269.46875</v>
      </c>
      <c r="L209" s="3">
        <v>2.98700970597565E-3</v>
      </c>
      <c r="M209" s="3">
        <v>0.70266705751419101</v>
      </c>
      <c r="N209" s="3">
        <v>0.68874514102935802</v>
      </c>
      <c r="O209" s="3">
        <v>119935.28125</v>
      </c>
      <c r="P209" s="3">
        <v>147200.703125</v>
      </c>
      <c r="Q209" s="3">
        <v>1.07730400562286</v>
      </c>
      <c r="R209" s="3">
        <v>0.331920176744461</v>
      </c>
      <c r="S209" s="3">
        <v>0.38914245367050199</v>
      </c>
      <c r="T209" s="3">
        <v>0.40657296776771501</v>
      </c>
      <c r="U209" s="3">
        <v>0.41133147478103599</v>
      </c>
      <c r="W209" t="s">
        <v>50</v>
      </c>
      <c r="X209" t="s">
        <v>51</v>
      </c>
      <c r="Y209" t="s">
        <v>52</v>
      </c>
      <c r="Z209" t="s">
        <v>53</v>
      </c>
      <c r="AA209" t="s">
        <v>53</v>
      </c>
      <c r="AC209" s="2">
        <v>0.36999876289201999</v>
      </c>
      <c r="AD209" s="2">
        <v>0.72245138883590698</v>
      </c>
      <c r="AE209" s="2">
        <v>0.18960595130920399</v>
      </c>
      <c r="AF209" s="2">
        <v>0.106213554739952</v>
      </c>
      <c r="AG209" s="2">
        <v>0.15005253255367301</v>
      </c>
      <c r="AH209" s="2">
        <v>-0.14728578925132799</v>
      </c>
      <c r="AI209" s="2">
        <v>-2.1037664264440498E-2</v>
      </c>
      <c r="AJ209" s="2">
        <v>0.389148425285266</v>
      </c>
      <c r="AK209" s="2">
        <v>0.482752375462492</v>
      </c>
      <c r="AL209" s="2">
        <v>0.38910179355503299</v>
      </c>
      <c r="AM209" s="2">
        <v>0.55370277166366599</v>
      </c>
      <c r="AN209" s="2">
        <v>0.523479163646698</v>
      </c>
      <c r="AO209" s="2">
        <v>0.29199013113975503</v>
      </c>
      <c r="AP209" s="2">
        <v>1.5476764440536499</v>
      </c>
    </row>
    <row r="210" spans="1:42" x14ac:dyDescent="0.3">
      <c r="A210" t="s">
        <v>122</v>
      </c>
      <c r="B210" s="3">
        <v>2019</v>
      </c>
      <c r="C210" s="3">
        <v>28.193009</v>
      </c>
      <c r="D210" s="3">
        <v>2093.84</v>
      </c>
      <c r="E210" t="s">
        <v>82</v>
      </c>
      <c r="G210" s="3">
        <v>129689.0625</v>
      </c>
      <c r="H210" s="3">
        <v>159498.125</v>
      </c>
      <c r="I210" s="3">
        <v>160558.71875</v>
      </c>
      <c r="J210" s="3">
        <v>157867.703125</v>
      </c>
      <c r="K210" s="3">
        <v>359762.625</v>
      </c>
      <c r="L210" s="3">
        <v>3.2793907448649402E-3</v>
      </c>
      <c r="M210" s="3">
        <v>0.714788198471069</v>
      </c>
      <c r="N210" s="3">
        <v>0.69492852687835704</v>
      </c>
      <c r="O210" s="3">
        <v>126466.8984375</v>
      </c>
      <c r="P210" s="3">
        <v>155107.234375</v>
      </c>
      <c r="Q210" s="3">
        <v>1.0707989931106601</v>
      </c>
      <c r="R210" s="3">
        <v>0.331920176744461</v>
      </c>
      <c r="S210" s="3">
        <v>0.36013799905777</v>
      </c>
      <c r="T210" s="3">
        <v>0.37608039379119901</v>
      </c>
      <c r="U210" s="3">
        <v>0.38249105215072599</v>
      </c>
      <c r="W210" t="s">
        <v>50</v>
      </c>
      <c r="X210" t="s">
        <v>54</v>
      </c>
      <c r="Y210" t="s">
        <v>52</v>
      </c>
      <c r="Z210" t="s">
        <v>53</v>
      </c>
      <c r="AA210" t="s">
        <v>53</v>
      </c>
      <c r="AC210" s="2">
        <v>0.35365294244817103</v>
      </c>
      <c r="AD210" s="2">
        <v>0.70134520530700695</v>
      </c>
      <c r="AE210" s="2">
        <v>0.18882305920124101</v>
      </c>
      <c r="AF210" s="2">
        <v>0.120159551501274</v>
      </c>
      <c r="AG210" s="2">
        <v>0.15669363737106301</v>
      </c>
      <c r="AH210" s="2">
        <v>-0.136608511209488</v>
      </c>
      <c r="AI210" s="2">
        <v>-3.04129105061293E-2</v>
      </c>
      <c r="AJ210" s="2">
        <v>0.36278905938563899</v>
      </c>
      <c r="AK210" s="2">
        <v>0.44544042068781903</v>
      </c>
      <c r="AL210" s="2">
        <v>0.34466426653918802</v>
      </c>
      <c r="AM210" s="2">
        <v>0.51412546634674094</v>
      </c>
      <c r="AN210" s="2">
        <v>0.486067235469818</v>
      </c>
      <c r="AO210" s="2">
        <v>0.26702305674552901</v>
      </c>
      <c r="AP210" s="2">
        <v>1.3991560935974101</v>
      </c>
    </row>
    <row r="211" spans="1:42" x14ac:dyDescent="0.3">
      <c r="A211" t="s">
        <v>122</v>
      </c>
      <c r="B211" s="3">
        <v>2020</v>
      </c>
      <c r="C211" s="3">
        <v>28.915448999999999</v>
      </c>
      <c r="D211" s="3">
        <v>2050.25</v>
      </c>
      <c r="E211" t="s">
        <v>82</v>
      </c>
      <c r="G211" s="3">
        <v>130844.5390625</v>
      </c>
      <c r="H211" s="3">
        <v>160575.234375</v>
      </c>
      <c r="I211" s="3">
        <v>160646.40625</v>
      </c>
      <c r="J211" s="3">
        <v>156992.1875</v>
      </c>
      <c r="K211" s="3">
        <v>357359.96875</v>
      </c>
      <c r="L211" s="3">
        <v>3.06278024800122E-3</v>
      </c>
      <c r="M211" s="3">
        <v>0.72194987535476696</v>
      </c>
      <c r="N211" s="3">
        <v>0.708387970924377</v>
      </c>
      <c r="O211" s="3">
        <v>128274.1171875</v>
      </c>
      <c r="P211" s="3">
        <v>159724.359375</v>
      </c>
      <c r="Q211" s="3">
        <v>1.0149724483489999</v>
      </c>
      <c r="R211" s="3">
        <v>0.331920176744461</v>
      </c>
      <c r="S211" s="3">
        <v>0.37675130367279103</v>
      </c>
      <c r="T211" s="3">
        <v>0.39233902096748402</v>
      </c>
      <c r="U211" s="3">
        <v>0.401471257209778</v>
      </c>
      <c r="W211" t="s">
        <v>50</v>
      </c>
      <c r="X211" t="s">
        <v>54</v>
      </c>
      <c r="Y211" t="s">
        <v>52</v>
      </c>
      <c r="Z211" t="s">
        <v>53</v>
      </c>
      <c r="AA211" t="s">
        <v>53</v>
      </c>
      <c r="AC211" s="2">
        <v>0.33098836905517298</v>
      </c>
      <c r="AD211" s="2">
        <v>0.70288437604904197</v>
      </c>
      <c r="AE211" s="2">
        <v>0.189376875758171</v>
      </c>
      <c r="AF211" s="2">
        <v>0.13056181371212</v>
      </c>
      <c r="AG211" s="2">
        <v>0.14938963949680301</v>
      </c>
      <c r="AH211" s="2">
        <v>-0.14283981919288599</v>
      </c>
      <c r="AI211" s="2">
        <v>-2.9372829943895298E-2</v>
      </c>
      <c r="AJ211" s="2">
        <v>0.38206703368850498</v>
      </c>
      <c r="AK211" s="2">
        <v>0.46094047950033101</v>
      </c>
      <c r="AL211" s="2">
        <v>0.34813385855920598</v>
      </c>
      <c r="AM211" s="2">
        <v>0.52438312768936202</v>
      </c>
      <c r="AN211" s="2">
        <v>0.46462666988372803</v>
      </c>
      <c r="AO211" s="2">
        <v>0.269323229789734</v>
      </c>
      <c r="AP211" s="2">
        <v>1.63256323337555</v>
      </c>
    </row>
    <row r="212" spans="1:42" x14ac:dyDescent="0.3">
      <c r="A212" t="s">
        <v>123</v>
      </c>
      <c r="B212" s="3">
        <v>2015</v>
      </c>
      <c r="C212" s="3">
        <v>22.763414000000001</v>
      </c>
      <c r="D212" s="3">
        <v>2133.84</v>
      </c>
      <c r="E212" t="s">
        <v>113</v>
      </c>
      <c r="G212" s="3">
        <v>80068.75</v>
      </c>
      <c r="H212" s="3">
        <v>92372.5625</v>
      </c>
      <c r="I212" s="3">
        <v>89195.5546875</v>
      </c>
      <c r="J212" s="3">
        <v>90704.6875</v>
      </c>
      <c r="K212" s="3">
        <v>184940.75</v>
      </c>
      <c r="L212" s="3">
        <v>2.3685707710683298E-3</v>
      </c>
      <c r="M212" s="3">
        <v>0.40825599431991599</v>
      </c>
      <c r="N212" s="3">
        <v>0.40110519528388999</v>
      </c>
      <c r="O212" s="3">
        <v>93591.765625</v>
      </c>
      <c r="P212" s="3">
        <v>106836.8984375</v>
      </c>
      <c r="Q212" s="3">
        <v>0.94685542583465598</v>
      </c>
      <c r="R212" s="3">
        <v>0.64359712600707997</v>
      </c>
      <c r="S212" s="3">
        <v>0.34319496154785201</v>
      </c>
      <c r="T212" s="3">
        <v>0.36111927032470698</v>
      </c>
      <c r="U212" s="3">
        <v>0.35511103272438099</v>
      </c>
      <c r="W212" t="s">
        <v>50</v>
      </c>
      <c r="X212" t="s">
        <v>51</v>
      </c>
      <c r="Y212" t="s">
        <v>52</v>
      </c>
      <c r="Z212" t="s">
        <v>53</v>
      </c>
      <c r="AA212" t="s">
        <v>53</v>
      </c>
      <c r="AC212" s="2">
        <v>0.53315083861151302</v>
      </c>
      <c r="AD212" s="2">
        <v>0.74485957622528098</v>
      </c>
      <c r="AE212" s="2">
        <v>0.13564692437648801</v>
      </c>
      <c r="AF212" s="2">
        <v>0.13788147270679499</v>
      </c>
      <c r="AG212" s="2">
        <v>8.6353652179241194E-2</v>
      </c>
      <c r="AH212" s="2">
        <v>-0.13072375953197499</v>
      </c>
      <c r="AI212" s="2">
        <v>2.59821731597185E-2</v>
      </c>
      <c r="AJ212" s="2">
        <v>0.34830375126237001</v>
      </c>
      <c r="AK212" s="2">
        <v>0.47776420976723499</v>
      </c>
      <c r="AL212" s="2">
        <v>0.315596397470434</v>
      </c>
      <c r="AM212" s="2">
        <v>0.51740181446075395</v>
      </c>
      <c r="AN212" s="2">
        <v>0.50912404060363803</v>
      </c>
      <c r="AO212" s="2">
        <v>0.30661377310752902</v>
      </c>
      <c r="AP212" s="2">
        <v>0.64754605293273904</v>
      </c>
    </row>
    <row r="213" spans="1:42" x14ac:dyDescent="0.3">
      <c r="A213" t="s">
        <v>123</v>
      </c>
      <c r="B213" s="3">
        <v>2016</v>
      </c>
      <c r="C213" s="3">
        <v>23.454160999999999</v>
      </c>
      <c r="D213" s="3">
        <v>2143.59</v>
      </c>
      <c r="E213" t="s">
        <v>113</v>
      </c>
      <c r="G213" s="3">
        <v>82126.9296875</v>
      </c>
      <c r="H213" s="3">
        <v>95949.1484375</v>
      </c>
      <c r="I213" s="3">
        <v>93391.4609375</v>
      </c>
      <c r="J213" s="3">
        <v>95533.8046875</v>
      </c>
      <c r="K213" s="3">
        <v>200441.828125</v>
      </c>
      <c r="L213" s="3">
        <v>2.4488961789757E-3</v>
      </c>
      <c r="M213" s="3">
        <v>0.420189648866653</v>
      </c>
      <c r="N213" s="3">
        <v>0.40801051259040799</v>
      </c>
      <c r="O213" s="3">
        <v>95924.90625</v>
      </c>
      <c r="P213" s="3">
        <v>111200.1484375</v>
      </c>
      <c r="Q213" s="3">
        <v>0.97117370367050204</v>
      </c>
      <c r="R213" s="3">
        <v>0.64359712600707997</v>
      </c>
      <c r="S213" s="3">
        <v>0.341411232948303</v>
      </c>
      <c r="T213" s="3">
        <v>0.36207097768783603</v>
      </c>
      <c r="U213" s="3">
        <v>0.35395151376724199</v>
      </c>
      <c r="W213" t="s">
        <v>50</v>
      </c>
      <c r="X213" t="s">
        <v>51</v>
      </c>
      <c r="Y213" t="s">
        <v>52</v>
      </c>
      <c r="Z213" t="s">
        <v>53</v>
      </c>
      <c r="AA213" t="s">
        <v>53</v>
      </c>
      <c r="AC213" s="2">
        <v>0.50977442412495999</v>
      </c>
      <c r="AD213" s="2">
        <v>0.72114926576614402</v>
      </c>
      <c r="AE213" s="2">
        <v>0.14468407630920399</v>
      </c>
      <c r="AF213" s="2">
        <v>0.138514325022697</v>
      </c>
      <c r="AG213" s="2">
        <v>4.41459082067013E-2</v>
      </c>
      <c r="AH213" s="2">
        <v>-0.102978505194187</v>
      </c>
      <c r="AI213" s="2">
        <v>5.4484970867633799E-2</v>
      </c>
      <c r="AJ213" s="2">
        <v>0.34747938951841001</v>
      </c>
      <c r="AK213" s="2">
        <v>0.48482399358892803</v>
      </c>
      <c r="AL213" s="2">
        <v>0.30981854608788401</v>
      </c>
      <c r="AM213" s="2">
        <v>0.50515395402908303</v>
      </c>
      <c r="AN213" s="2">
        <v>0.49795922636985801</v>
      </c>
      <c r="AO213" s="2">
        <v>0.30412864685058599</v>
      </c>
      <c r="AP213" s="2">
        <v>0.636993408203125</v>
      </c>
    </row>
    <row r="214" spans="1:42" x14ac:dyDescent="0.3">
      <c r="A214" t="s">
        <v>123</v>
      </c>
      <c r="B214" s="3">
        <v>2017</v>
      </c>
      <c r="C214" s="3">
        <v>24.128601</v>
      </c>
      <c r="D214" s="3">
        <v>2146.4899999999998</v>
      </c>
      <c r="E214" t="s">
        <v>113</v>
      </c>
      <c r="G214" s="3">
        <v>85708.796875</v>
      </c>
      <c r="H214" s="3">
        <v>100445.2578125</v>
      </c>
      <c r="I214" s="3">
        <v>97998.4140625</v>
      </c>
      <c r="J214" s="3">
        <v>99136.34375</v>
      </c>
      <c r="K214" s="3">
        <v>220974.203125</v>
      </c>
      <c r="L214" s="3">
        <v>2.5831032544374501E-3</v>
      </c>
      <c r="M214" s="3">
        <v>0.42108327150344899</v>
      </c>
      <c r="N214" s="3">
        <v>0.41086471080780002</v>
      </c>
      <c r="O214" s="3">
        <v>99784.0859375</v>
      </c>
      <c r="P214" s="3">
        <v>115070.3359375</v>
      </c>
      <c r="Q214" s="3">
        <v>0.98937392234802302</v>
      </c>
      <c r="R214" s="3">
        <v>0.64359712600707997</v>
      </c>
      <c r="S214" s="3">
        <v>0.34979432821273798</v>
      </c>
      <c r="T214" s="3">
        <v>0.36835846304893499</v>
      </c>
      <c r="U214" s="3">
        <v>0.364130318164825</v>
      </c>
      <c r="W214" t="s">
        <v>51</v>
      </c>
      <c r="X214" t="s">
        <v>51</v>
      </c>
      <c r="Y214" t="s">
        <v>52</v>
      </c>
      <c r="Z214" t="s">
        <v>53</v>
      </c>
      <c r="AA214" t="s">
        <v>53</v>
      </c>
      <c r="AC214" s="2">
        <v>0.475105047829538</v>
      </c>
      <c r="AD214" s="2">
        <v>0.72523218393325795</v>
      </c>
      <c r="AE214" s="2">
        <v>0.148648455739021</v>
      </c>
      <c r="AF214" s="2">
        <v>0.139322564005852</v>
      </c>
      <c r="AG214" s="2">
        <v>6.3482388854026794E-2</v>
      </c>
      <c r="AH214" s="2">
        <v>-0.104889713227749</v>
      </c>
      <c r="AI214" s="2">
        <v>2.8204098343849199E-2</v>
      </c>
      <c r="AJ214" s="2">
        <v>0.35834646392570202</v>
      </c>
      <c r="AK214" s="2">
        <v>0.47632947452957097</v>
      </c>
      <c r="AL214" s="2">
        <v>0.30527693435356801</v>
      </c>
      <c r="AM214" s="2">
        <v>0.51866704225540206</v>
      </c>
      <c r="AN214" s="2">
        <v>0.49850341677665699</v>
      </c>
      <c r="AO214" s="2">
        <v>0.30118858814239502</v>
      </c>
      <c r="AP214" s="2">
        <v>0.62141621112823497</v>
      </c>
    </row>
    <row r="215" spans="1:42" x14ac:dyDescent="0.3">
      <c r="A215" t="s">
        <v>123</v>
      </c>
      <c r="B215" s="3">
        <v>2018</v>
      </c>
      <c r="C215" s="3">
        <v>24.806383</v>
      </c>
      <c r="D215" s="3">
        <v>2151.31</v>
      </c>
      <c r="E215" t="s">
        <v>113</v>
      </c>
      <c r="G215" s="3">
        <v>93823.0703125</v>
      </c>
      <c r="H215" s="3">
        <v>109434.9921875</v>
      </c>
      <c r="I215" s="3">
        <v>106128.96875</v>
      </c>
      <c r="J215" s="3">
        <v>107967.9453125</v>
      </c>
      <c r="K215" s="3">
        <v>236407.453125</v>
      </c>
      <c r="L215" s="3">
        <v>2.6371870189905201E-3</v>
      </c>
      <c r="M215" s="3">
        <v>0.448122918605804</v>
      </c>
      <c r="N215" s="3">
        <v>0.43722441792488098</v>
      </c>
      <c r="O215" s="3">
        <v>104818.21875</v>
      </c>
      <c r="P215" s="3">
        <v>121053.4609375</v>
      </c>
      <c r="Q215" s="3">
        <v>1.0105054378509499</v>
      </c>
      <c r="R215" s="3">
        <v>0.64359712600707997</v>
      </c>
      <c r="S215" s="3">
        <v>0.356084764003754</v>
      </c>
      <c r="T215" s="3">
        <v>0.376653462648392</v>
      </c>
      <c r="U215" s="3">
        <v>0.37023809552192699</v>
      </c>
      <c r="W215" t="s">
        <v>50</v>
      </c>
      <c r="X215" t="s">
        <v>51</v>
      </c>
      <c r="Y215" t="s">
        <v>52</v>
      </c>
      <c r="Z215" t="s">
        <v>53</v>
      </c>
      <c r="AA215" t="s">
        <v>53</v>
      </c>
      <c r="AC215" s="2">
        <v>0.472727127065111</v>
      </c>
      <c r="AD215" s="2">
        <v>0.72349524497985795</v>
      </c>
      <c r="AE215" s="2">
        <v>0.144597724080086</v>
      </c>
      <c r="AF215" s="2">
        <v>0.14549480378627799</v>
      </c>
      <c r="AG215" s="2">
        <v>6.7384101450443296E-2</v>
      </c>
      <c r="AH215" s="2">
        <v>-0.108006805181503</v>
      </c>
      <c r="AI215" s="2">
        <v>2.7034966275095901E-2</v>
      </c>
      <c r="AJ215" s="2">
        <v>0.36669441703309003</v>
      </c>
      <c r="AK215" s="2">
        <v>0.50026528906069101</v>
      </c>
      <c r="AL215" s="2">
        <v>0.30332662148426098</v>
      </c>
      <c r="AM215" s="2">
        <v>0.50725853443145796</v>
      </c>
      <c r="AN215" s="2">
        <v>0.51592862606048595</v>
      </c>
      <c r="AO215" s="2">
        <v>0.31461071968078602</v>
      </c>
      <c r="AP215" s="2">
        <v>0.63876610994339</v>
      </c>
    </row>
    <row r="216" spans="1:42" x14ac:dyDescent="0.3">
      <c r="A216" t="s">
        <v>123</v>
      </c>
      <c r="B216" s="3">
        <v>2019</v>
      </c>
      <c r="C216" s="3">
        <v>25.506094999999998</v>
      </c>
      <c r="D216" s="3">
        <v>2159.83</v>
      </c>
      <c r="E216" t="s">
        <v>113</v>
      </c>
      <c r="G216" s="3">
        <v>102501.9921875</v>
      </c>
      <c r="H216" s="3">
        <v>118337.921875</v>
      </c>
      <c r="I216" s="3">
        <v>114139.5</v>
      </c>
      <c r="J216" s="3">
        <v>116528.3046875</v>
      </c>
      <c r="K216" s="3">
        <v>248801.078125</v>
      </c>
      <c r="L216" s="3">
        <v>2.6262723840773101E-3</v>
      </c>
      <c r="M216" s="3">
        <v>0.46994322538375899</v>
      </c>
      <c r="N216" s="3">
        <v>0.459238260984421</v>
      </c>
      <c r="O216" s="3">
        <v>109024.75</v>
      </c>
      <c r="P216" s="3">
        <v>125581.8125</v>
      </c>
      <c r="Q216" s="3">
        <v>1.0147615671157799</v>
      </c>
      <c r="R216" s="3">
        <v>0.64359712600707997</v>
      </c>
      <c r="S216" s="3">
        <v>0.32798042893409701</v>
      </c>
      <c r="T216" s="3">
        <v>0.34756571054458602</v>
      </c>
      <c r="U216" s="3">
        <v>0.34044066071510298</v>
      </c>
      <c r="W216" t="s">
        <v>50</v>
      </c>
      <c r="X216" t="s">
        <v>54</v>
      </c>
      <c r="Y216" t="s">
        <v>52</v>
      </c>
      <c r="Z216" t="s">
        <v>53</v>
      </c>
      <c r="AA216" t="s">
        <v>53</v>
      </c>
      <c r="AC216" s="2">
        <v>0.477476695599512</v>
      </c>
      <c r="AD216" s="2">
        <v>0.73102098703384399</v>
      </c>
      <c r="AE216" s="2">
        <v>0.13589774072170299</v>
      </c>
      <c r="AF216" s="2">
        <v>0.14861074090004001</v>
      </c>
      <c r="AG216" s="2">
        <v>6.8946458399295807E-2</v>
      </c>
      <c r="AH216" s="2">
        <v>-0.11194147169590001</v>
      </c>
      <c r="AI216" s="2">
        <v>2.7465587481856301E-2</v>
      </c>
      <c r="AJ216" s="2">
        <v>0.33832282934061497</v>
      </c>
      <c r="AK216" s="2">
        <v>0.47433636912717198</v>
      </c>
      <c r="AL216" s="2">
        <v>0.27710582880155799</v>
      </c>
      <c r="AM216" s="2">
        <v>0.482964307069778</v>
      </c>
      <c r="AN216" s="2">
        <v>0.49286127090454102</v>
      </c>
      <c r="AO216" s="2">
        <v>0.29613670706749001</v>
      </c>
      <c r="AP216" s="2">
        <v>0.61233729124069203</v>
      </c>
    </row>
    <row r="217" spans="1:42" x14ac:dyDescent="0.3">
      <c r="A217" t="s">
        <v>123</v>
      </c>
      <c r="B217" s="3">
        <v>2020</v>
      </c>
      <c r="C217" s="3">
        <v>26.210557999999999</v>
      </c>
      <c r="D217" s="3">
        <v>2117.5500000000002</v>
      </c>
      <c r="E217" t="s">
        <v>113</v>
      </c>
      <c r="G217" s="3">
        <v>106653.4765625</v>
      </c>
      <c r="H217" s="3">
        <v>121472.9375</v>
      </c>
      <c r="I217" s="3">
        <v>117629.6328125</v>
      </c>
      <c r="J217" s="3">
        <v>119781.890625</v>
      </c>
      <c r="K217" s="3">
        <v>266048.9375</v>
      </c>
      <c r="L217" s="3">
        <v>2.59401835501194E-3</v>
      </c>
      <c r="M217" s="3">
        <v>0.47547978162765497</v>
      </c>
      <c r="N217" s="3">
        <v>0.46257689595222501</v>
      </c>
      <c r="O217" s="3">
        <v>109434.3125</v>
      </c>
      <c r="P217" s="3">
        <v>124495.8203125</v>
      </c>
      <c r="Q217" s="3">
        <v>1.0068711042404199</v>
      </c>
      <c r="R217" s="3">
        <v>0.64359712600707997</v>
      </c>
      <c r="S217" s="3">
        <v>0.32727152109146102</v>
      </c>
      <c r="T217" s="3">
        <v>0.34662386775016801</v>
      </c>
      <c r="U217" s="3">
        <v>0.340395718812943</v>
      </c>
      <c r="W217" t="s">
        <v>50</v>
      </c>
      <c r="X217" t="s">
        <v>54</v>
      </c>
      <c r="Y217" t="s">
        <v>52</v>
      </c>
      <c r="Z217" t="s">
        <v>53</v>
      </c>
      <c r="AA217" t="s">
        <v>53</v>
      </c>
      <c r="AC217" s="2">
        <v>0.48013078915721602</v>
      </c>
      <c r="AD217" s="2">
        <v>0.73635870218277</v>
      </c>
      <c r="AE217" s="2">
        <v>0.123720407485962</v>
      </c>
      <c r="AF217" s="2">
        <v>0.15403859317302701</v>
      </c>
      <c r="AG217" s="2">
        <v>5.5164337158203097E-2</v>
      </c>
      <c r="AH217" s="2">
        <v>-8.8981285691261305E-2</v>
      </c>
      <c r="AI217" s="2">
        <v>1.96992382407188E-2</v>
      </c>
      <c r="AJ217" s="2">
        <v>0.33895779490556099</v>
      </c>
      <c r="AK217" s="2">
        <v>0.48589989293443803</v>
      </c>
      <c r="AL217" s="2">
        <v>0.27140709572898197</v>
      </c>
      <c r="AM217" s="2">
        <v>0.46324971318244901</v>
      </c>
      <c r="AN217" s="2">
        <v>0.48754215240478499</v>
      </c>
      <c r="AO217" s="2">
        <v>0.29654604196548501</v>
      </c>
      <c r="AP217" s="2">
        <v>0.66522467136383101</v>
      </c>
    </row>
    <row r="218" spans="1:42" x14ac:dyDescent="0.3">
      <c r="A218" t="s">
        <v>124</v>
      </c>
      <c r="B218" s="3">
        <v>2015</v>
      </c>
      <c r="C218" s="3">
        <v>81.035531000000006</v>
      </c>
      <c r="D218" s="3">
        <v>1830.16</v>
      </c>
      <c r="E218" t="s">
        <v>125</v>
      </c>
      <c r="G218" s="3">
        <v>70799</v>
      </c>
      <c r="H218" s="3">
        <v>82585.8828125</v>
      </c>
      <c r="I218" s="3">
        <v>79500.1796875</v>
      </c>
      <c r="J218" s="3">
        <v>78975.5078125</v>
      </c>
      <c r="K218" s="3">
        <v>316185.09375</v>
      </c>
      <c r="L218" s="3"/>
      <c r="M218" s="3"/>
      <c r="N218" s="3"/>
      <c r="O218" s="3">
        <v>84058.8125</v>
      </c>
      <c r="P218" s="3">
        <v>83239.9296875</v>
      </c>
      <c r="Q218" s="3"/>
      <c r="R218" s="3"/>
      <c r="S218" s="3">
        <v>0.451568603515625</v>
      </c>
      <c r="T218" s="3">
        <v>0.476950883865356</v>
      </c>
      <c r="U218" s="3">
        <v>0.48011949658393899</v>
      </c>
      <c r="W218" t="s">
        <v>50</v>
      </c>
      <c r="X218" t="s">
        <v>51</v>
      </c>
      <c r="Y218" t="s">
        <v>52</v>
      </c>
      <c r="Z218" t="s">
        <v>53</v>
      </c>
      <c r="AC218" s="2">
        <v>0.29859168746783699</v>
      </c>
      <c r="AD218" s="2">
        <v>0.71930855512618996</v>
      </c>
      <c r="AE218" s="2">
        <v>0.14924731850624101</v>
      </c>
      <c r="AF218" s="2">
        <v>0.177159279584885</v>
      </c>
      <c r="AG218" s="2">
        <v>0.13926531374454501</v>
      </c>
      <c r="AH218" s="2">
        <v>-0.13540564477443701</v>
      </c>
      <c r="AI218" s="2">
        <v>-4.9574777483940097E-2</v>
      </c>
      <c r="AJ218" s="2">
        <v>0.46639431909171403</v>
      </c>
      <c r="AK218" s="2">
        <v>0.62941179321894802</v>
      </c>
      <c r="AL218" s="2">
        <v>0.39137270099870802</v>
      </c>
      <c r="AM218" s="2">
        <v>0.57564783096313499</v>
      </c>
      <c r="AN218" s="2">
        <v>0.55390042066574097</v>
      </c>
      <c r="AO218" s="2">
        <v>0.34113848209381098</v>
      </c>
      <c r="AP218" s="2"/>
    </row>
    <row r="219" spans="1:42" x14ac:dyDescent="0.3">
      <c r="A219" t="s">
        <v>124</v>
      </c>
      <c r="B219" s="3">
        <v>2016</v>
      </c>
      <c r="C219" s="3">
        <v>83.956415000000007</v>
      </c>
      <c r="D219" s="3">
        <v>1828.61</v>
      </c>
      <c r="E219" t="s">
        <v>125</v>
      </c>
      <c r="G219" s="3">
        <v>87019.7265625</v>
      </c>
      <c r="H219" s="3">
        <v>98262.84375</v>
      </c>
      <c r="I219" s="3">
        <v>91512.7890625</v>
      </c>
      <c r="J219" s="3">
        <v>91217.6171875</v>
      </c>
      <c r="K219" s="3">
        <v>342813.65625</v>
      </c>
      <c r="L219" s="3"/>
      <c r="M219" s="3"/>
      <c r="N219" s="3"/>
      <c r="O219" s="3">
        <v>83630.5859375</v>
      </c>
      <c r="P219" s="3">
        <v>83074.265625</v>
      </c>
      <c r="Q219" s="3"/>
      <c r="R219" s="3"/>
      <c r="S219" s="3">
        <v>0.416265368461609</v>
      </c>
      <c r="T219" s="3">
        <v>0.44078552722930903</v>
      </c>
      <c r="U219" s="3">
        <v>0.44221183657646201</v>
      </c>
      <c r="W219" t="s">
        <v>50</v>
      </c>
      <c r="X219" t="s">
        <v>51</v>
      </c>
      <c r="Y219" t="s">
        <v>52</v>
      </c>
      <c r="Z219" t="s">
        <v>53</v>
      </c>
      <c r="AC219" s="2">
        <v>0.24160504046550199</v>
      </c>
      <c r="AD219" s="2">
        <v>0.82488816976547197</v>
      </c>
      <c r="AE219" s="2">
        <v>0.123255982995033</v>
      </c>
      <c r="AF219" s="2">
        <v>0.12909120321273801</v>
      </c>
      <c r="AG219" s="2">
        <v>7.9787515103817E-2</v>
      </c>
      <c r="AH219" s="2">
        <v>-8.2048796117305797E-2</v>
      </c>
      <c r="AI219" s="2">
        <v>-7.4974074959754902E-2</v>
      </c>
      <c r="AJ219" s="2">
        <v>0.42577726653165598</v>
      </c>
      <c r="AK219" s="2">
        <v>0.63056696455558903</v>
      </c>
      <c r="AL219" s="2">
        <v>0.35548479143019102</v>
      </c>
      <c r="AM219" s="2">
        <v>0.56658935546875</v>
      </c>
      <c r="AN219" s="2">
        <v>0.54443472623825095</v>
      </c>
      <c r="AO219" s="2">
        <v>0.30734717845916798</v>
      </c>
      <c r="AP219" s="2"/>
    </row>
    <row r="220" spans="1:42" x14ac:dyDescent="0.3">
      <c r="A220" t="s">
        <v>124</v>
      </c>
      <c r="B220" s="3">
        <v>2017</v>
      </c>
      <c r="C220" s="3">
        <v>87.083398000000003</v>
      </c>
      <c r="D220" s="3">
        <v>1827.18</v>
      </c>
      <c r="E220" t="s">
        <v>125</v>
      </c>
      <c r="G220" s="3">
        <v>79396.6015625</v>
      </c>
      <c r="H220" s="3">
        <v>93890.3203125</v>
      </c>
      <c r="I220" s="3">
        <v>90428.40625</v>
      </c>
      <c r="J220" s="3">
        <v>89065.796875</v>
      </c>
      <c r="K220" s="3">
        <v>311676.71875</v>
      </c>
      <c r="L220" s="3"/>
      <c r="M220" s="3"/>
      <c r="N220" s="3"/>
      <c r="O220" s="3">
        <v>81187.0546875</v>
      </c>
      <c r="P220" s="3">
        <v>85172.6953125</v>
      </c>
      <c r="Q220" s="3"/>
      <c r="R220" s="3"/>
      <c r="S220" s="3">
        <v>0.39366927742958102</v>
      </c>
      <c r="T220" s="3">
        <v>0.416268169879913</v>
      </c>
      <c r="U220" s="3">
        <v>0.422636568546295</v>
      </c>
      <c r="W220" t="s">
        <v>51</v>
      </c>
      <c r="X220" t="s">
        <v>51</v>
      </c>
      <c r="Y220" t="s">
        <v>52</v>
      </c>
      <c r="Z220" t="s">
        <v>53</v>
      </c>
      <c r="AC220" s="2">
        <v>0.20514095445455</v>
      </c>
      <c r="AD220" s="2">
        <v>0.82160705327987704</v>
      </c>
      <c r="AE220" s="2">
        <v>0.16273044049739799</v>
      </c>
      <c r="AF220" s="2">
        <v>6.9830559194087996E-2</v>
      </c>
      <c r="AG220" s="2">
        <v>0.118045873939991</v>
      </c>
      <c r="AH220" s="2">
        <v>-0.104240417480469</v>
      </c>
      <c r="AI220" s="2">
        <v>-6.7973516881465898E-2</v>
      </c>
      <c r="AJ220" s="2">
        <v>0.39877721659291698</v>
      </c>
      <c r="AK220" s="2">
        <v>0.54006483675477601</v>
      </c>
      <c r="AL220" s="2">
        <v>0.33357055874696601</v>
      </c>
      <c r="AM220" s="2">
        <v>0.59086376428604104</v>
      </c>
      <c r="AN220" s="2">
        <v>0.54874050617217995</v>
      </c>
      <c r="AO220" s="2">
        <v>0.30110803246498102</v>
      </c>
      <c r="AP220" s="2"/>
    </row>
    <row r="221" spans="1:42" x14ac:dyDescent="0.3">
      <c r="A221" t="s">
        <v>124</v>
      </c>
      <c r="B221" s="3">
        <v>2018</v>
      </c>
      <c r="C221" s="3">
        <v>90.047644000000005</v>
      </c>
      <c r="D221" s="3">
        <v>1826.09</v>
      </c>
      <c r="E221" t="s">
        <v>125</v>
      </c>
      <c r="G221" s="3">
        <v>85453.328125</v>
      </c>
      <c r="H221" s="3">
        <v>101407.5625</v>
      </c>
      <c r="I221" s="3">
        <v>97894.8828125</v>
      </c>
      <c r="J221" s="3">
        <v>96499.640625</v>
      </c>
      <c r="K221" s="3">
        <v>328262.96875</v>
      </c>
      <c r="L221" s="3"/>
      <c r="M221" s="3"/>
      <c r="N221" s="3"/>
      <c r="O221" s="3">
        <v>83066.484375</v>
      </c>
      <c r="P221" s="3">
        <v>88193.7109375</v>
      </c>
      <c r="Q221" s="3"/>
      <c r="R221" s="3"/>
      <c r="S221" s="3">
        <v>0.45683667063713101</v>
      </c>
      <c r="T221" s="3">
        <v>0.48159825801849399</v>
      </c>
      <c r="U221" s="3">
        <v>0.488561481237412</v>
      </c>
      <c r="W221" t="s">
        <v>50</v>
      </c>
      <c r="X221" t="s">
        <v>51</v>
      </c>
      <c r="Y221" t="s">
        <v>52</v>
      </c>
      <c r="Z221" t="s">
        <v>53</v>
      </c>
      <c r="AC221" s="2">
        <v>0.18975438156816399</v>
      </c>
      <c r="AD221" s="2">
        <v>0.80144864320755005</v>
      </c>
      <c r="AE221" s="2">
        <v>0.16532944142818501</v>
      </c>
      <c r="AF221" s="2">
        <v>8.4081359207630199E-2</v>
      </c>
      <c r="AG221" s="2">
        <v>0.12583743035793299</v>
      </c>
      <c r="AH221" s="2">
        <v>-0.112094104290009</v>
      </c>
      <c r="AI221" s="2">
        <v>-6.4602814614772797E-2</v>
      </c>
      <c r="AJ221" s="2">
        <v>0.46654199380373101</v>
      </c>
      <c r="AK221" s="2">
        <v>0.61422503067699696</v>
      </c>
      <c r="AL221" s="2">
        <v>0.36432732528880002</v>
      </c>
      <c r="AM221" s="2">
        <v>0.61390936374664296</v>
      </c>
      <c r="AN221" s="2">
        <v>0.56399887800216697</v>
      </c>
      <c r="AO221" s="2">
        <v>0.34878742694854697</v>
      </c>
      <c r="AP221" s="2"/>
    </row>
    <row r="222" spans="1:42" x14ac:dyDescent="0.3">
      <c r="A222" t="s">
        <v>124</v>
      </c>
      <c r="B222" s="3">
        <v>2019</v>
      </c>
      <c r="C222" s="3">
        <v>92.947441999999995</v>
      </c>
      <c r="D222" s="3">
        <v>1824.64</v>
      </c>
      <c r="E222" t="s">
        <v>125</v>
      </c>
      <c r="G222" s="3">
        <v>81211.296875</v>
      </c>
      <c r="H222" s="3">
        <v>101236.984375</v>
      </c>
      <c r="I222" s="3">
        <v>98139.4140625</v>
      </c>
      <c r="J222" s="3">
        <v>97892.6796875</v>
      </c>
      <c r="K222" s="3">
        <v>484705.125</v>
      </c>
      <c r="L222" s="3"/>
      <c r="M222" s="3"/>
      <c r="N222" s="3"/>
      <c r="O222" s="3">
        <v>88089.7265625</v>
      </c>
      <c r="P222" s="3">
        <v>89485.2109375</v>
      </c>
      <c r="Q222" s="3"/>
      <c r="R222" s="3"/>
      <c r="S222" s="3">
        <v>0.45343363285064697</v>
      </c>
      <c r="T222" s="3">
        <v>0.48216745257377602</v>
      </c>
      <c r="U222" s="3">
        <v>0.48338270187377902</v>
      </c>
      <c r="W222" t="s">
        <v>50</v>
      </c>
      <c r="X222" t="s">
        <v>54</v>
      </c>
      <c r="Y222" t="s">
        <v>52</v>
      </c>
      <c r="Z222" t="s">
        <v>53</v>
      </c>
      <c r="AC222" s="2">
        <v>0.17584122502326199</v>
      </c>
      <c r="AD222" s="2">
        <v>0.72555112838745095</v>
      </c>
      <c r="AE222" s="2">
        <v>0.20456780493259399</v>
      </c>
      <c r="AF222" s="2">
        <v>0.104044087231159</v>
      </c>
      <c r="AG222" s="2">
        <v>0.12676349282264701</v>
      </c>
      <c r="AH222" s="2">
        <v>-0.10162297636270499</v>
      </c>
      <c r="AI222" s="2">
        <v>-5.9303492307662999E-2</v>
      </c>
      <c r="AJ222" s="2">
        <v>0.472012227053835</v>
      </c>
      <c r="AK222" s="2">
        <v>0.59869322912949396</v>
      </c>
      <c r="AL222" s="2">
        <v>0.32387594824348298</v>
      </c>
      <c r="AM222" s="2">
        <v>0.56678038835525502</v>
      </c>
      <c r="AN222" s="2">
        <v>0.57504492998123202</v>
      </c>
      <c r="AO222" s="2">
        <v>0.345531016588211</v>
      </c>
      <c r="AP222" s="2"/>
    </row>
    <row r="223" spans="1:42" x14ac:dyDescent="0.3">
      <c r="A223" t="s">
        <v>124</v>
      </c>
      <c r="B223" s="3">
        <v>2020</v>
      </c>
      <c r="C223" s="3">
        <v>95.989998</v>
      </c>
      <c r="D223" s="3">
        <v>1737.75</v>
      </c>
      <c r="E223" t="s">
        <v>125</v>
      </c>
      <c r="G223" s="3">
        <v>88121.8984375</v>
      </c>
      <c r="H223" s="3">
        <v>105244.7578125</v>
      </c>
      <c r="I223" s="3">
        <v>98381.0859375</v>
      </c>
      <c r="J223" s="3">
        <v>99778.1015625</v>
      </c>
      <c r="K223" s="3">
        <v>373867.78125</v>
      </c>
      <c r="L223" s="3"/>
      <c r="M223" s="3"/>
      <c r="N223" s="3"/>
      <c r="O223" s="3">
        <v>85246.375</v>
      </c>
      <c r="P223" s="3">
        <v>91748</v>
      </c>
      <c r="Q223" s="3"/>
      <c r="R223" s="3"/>
      <c r="S223" s="3">
        <v>0.44014441967010498</v>
      </c>
      <c r="T223" s="3">
        <v>0.46053212881088301</v>
      </c>
      <c r="U223" s="3">
        <v>0.45408412814140298</v>
      </c>
      <c r="W223" t="s">
        <v>50</v>
      </c>
      <c r="X223" t="s">
        <v>54</v>
      </c>
      <c r="Y223" t="s">
        <v>52</v>
      </c>
      <c r="Z223" t="s">
        <v>53</v>
      </c>
      <c r="AC223" s="2">
        <v>0.15980224386695199</v>
      </c>
      <c r="AD223" s="2">
        <v>0.76119512319564797</v>
      </c>
      <c r="AE223" s="2">
        <v>0.171609431505203</v>
      </c>
      <c r="AF223" s="2">
        <v>0.121983602643013</v>
      </c>
      <c r="AG223" s="2">
        <v>0.13301141560077701</v>
      </c>
      <c r="AH223" s="2">
        <v>-0.11175662279129001</v>
      </c>
      <c r="AI223" s="2">
        <v>-7.6042927801608998E-2</v>
      </c>
      <c r="AJ223" s="2">
        <v>0.46208636882460102</v>
      </c>
      <c r="AK223" s="2">
        <v>0.56545655493448799</v>
      </c>
      <c r="AL223" s="2">
        <v>0.303223414156361</v>
      </c>
      <c r="AM223" s="2">
        <v>0.397564977407455</v>
      </c>
      <c r="AN223" s="2">
        <v>0.44767382740974399</v>
      </c>
      <c r="AO223" s="2">
        <v>0.32713341712951699</v>
      </c>
      <c r="AP223" s="2"/>
    </row>
    <row r="224" spans="1:42" x14ac:dyDescent="0.3">
      <c r="A224" t="s">
        <v>126</v>
      </c>
      <c r="B224" s="3">
        <v>2015</v>
      </c>
      <c r="C224" s="3">
        <v>5.0975809999999999</v>
      </c>
      <c r="D224" s="3">
        <v>2538.85</v>
      </c>
      <c r="E224" t="s">
        <v>113</v>
      </c>
      <c r="G224" s="3">
        <v>19055.392578125</v>
      </c>
      <c r="H224" s="3">
        <v>34176.1953125</v>
      </c>
      <c r="I224" s="3">
        <v>25202.451171875</v>
      </c>
      <c r="J224" s="3">
        <v>26642.818359375</v>
      </c>
      <c r="K224" s="3">
        <v>157475.203125</v>
      </c>
      <c r="L224" s="3"/>
      <c r="M224" s="3"/>
      <c r="N224" s="3"/>
      <c r="O224" s="3">
        <v>26937.150390625</v>
      </c>
      <c r="P224" s="3">
        <v>55135.1015625</v>
      </c>
      <c r="Q224" s="3"/>
      <c r="R224" s="3"/>
      <c r="S224" s="3">
        <v>0.38386413455009499</v>
      </c>
      <c r="T224" s="3">
        <v>0.49339619278907798</v>
      </c>
      <c r="U224" s="3">
        <v>0.46672216057777399</v>
      </c>
      <c r="W224" t="s">
        <v>50</v>
      </c>
      <c r="X224" t="s">
        <v>51</v>
      </c>
      <c r="Y224" t="s">
        <v>52</v>
      </c>
      <c r="Z224" t="s">
        <v>53</v>
      </c>
      <c r="AC224" s="2">
        <v>0.20082084110994999</v>
      </c>
      <c r="AD224" s="2">
        <v>0.44689291715621998</v>
      </c>
      <c r="AE224" s="2">
        <v>0.56753760576248202</v>
      </c>
      <c r="AF224" s="2">
        <v>0.26832392811775202</v>
      </c>
      <c r="AG224" s="2">
        <v>0.39331546425819403</v>
      </c>
      <c r="AH224" s="2">
        <v>-0.67606991529464699</v>
      </c>
      <c r="AI224" s="2">
        <v>2.9256449176736599E-16</v>
      </c>
      <c r="AJ224" s="2">
        <v>0.41271504489092398</v>
      </c>
      <c r="AK224" s="2">
        <v>0.63142967106062398</v>
      </c>
      <c r="AL224" s="2">
        <v>0.33581297424413797</v>
      </c>
      <c r="AM224" s="2">
        <v>0.48482429981231701</v>
      </c>
      <c r="AN224" s="2">
        <v>0.52786391973495495</v>
      </c>
      <c r="AO224" s="2">
        <v>0.40975177288055398</v>
      </c>
      <c r="AP224" s="2"/>
    </row>
    <row r="225" spans="1:42" x14ac:dyDescent="0.3">
      <c r="A225" t="s">
        <v>126</v>
      </c>
      <c r="B225" s="3">
        <v>2016</v>
      </c>
      <c r="C225" s="3">
        <v>5.2225359999999998</v>
      </c>
      <c r="D225" s="3">
        <v>2533.81</v>
      </c>
      <c r="E225" t="s">
        <v>113</v>
      </c>
      <c r="G225" s="3">
        <v>19163.494140625</v>
      </c>
      <c r="H225" s="3">
        <v>30713.35546875</v>
      </c>
      <c r="I225" s="3">
        <v>22236.2734375</v>
      </c>
      <c r="J225" s="3">
        <v>23459.681640625</v>
      </c>
      <c r="K225" s="3">
        <v>163375.46875</v>
      </c>
      <c r="L225" s="3"/>
      <c r="M225" s="3"/>
      <c r="N225" s="3"/>
      <c r="O225" s="3">
        <v>25679.03515625</v>
      </c>
      <c r="P225" s="3">
        <v>48418.55859375</v>
      </c>
      <c r="Q225" s="3"/>
      <c r="R225" s="3"/>
      <c r="S225" s="3">
        <v>0.38136255741119401</v>
      </c>
      <c r="T225" s="3">
        <v>0.49159890413284302</v>
      </c>
      <c r="U225" s="3">
        <v>0.46596235036849998</v>
      </c>
      <c r="W225" t="s">
        <v>50</v>
      </c>
      <c r="X225" t="s">
        <v>51</v>
      </c>
      <c r="Y225" t="s">
        <v>52</v>
      </c>
      <c r="Z225" t="s">
        <v>53</v>
      </c>
      <c r="AC225" s="2">
        <v>0.17652615822197901</v>
      </c>
      <c r="AD225" s="2">
        <v>0.50203168392181396</v>
      </c>
      <c r="AE225" s="2">
        <v>0.49232816696166998</v>
      </c>
      <c r="AF225" s="2">
        <v>0.31483766436576799</v>
      </c>
      <c r="AG225" s="2">
        <v>0.40471392869949302</v>
      </c>
      <c r="AH225" s="2">
        <v>-0.71391141414642301</v>
      </c>
      <c r="AI225" s="2">
        <v>-1.5442059794496701E-13</v>
      </c>
      <c r="AJ225" s="2">
        <v>0.422749603809144</v>
      </c>
      <c r="AK225" s="2">
        <v>0.67450275158830797</v>
      </c>
      <c r="AL225" s="2">
        <v>0.315367861097331</v>
      </c>
      <c r="AM225" s="2">
        <v>0.48435074090957603</v>
      </c>
      <c r="AN225" s="2">
        <v>0.52340000867843595</v>
      </c>
      <c r="AO225" s="2">
        <v>0.428590327501297</v>
      </c>
      <c r="AP225" s="2"/>
    </row>
    <row r="226" spans="1:42" x14ac:dyDescent="0.3">
      <c r="A226" t="s">
        <v>126</v>
      </c>
      <c r="B226" s="3">
        <v>2017</v>
      </c>
      <c r="C226" s="3">
        <v>5.3510109999999997</v>
      </c>
      <c r="D226" s="3">
        <v>2532.86</v>
      </c>
      <c r="E226" t="s">
        <v>113</v>
      </c>
      <c r="G226" s="3">
        <v>16941.765625</v>
      </c>
      <c r="H226" s="3">
        <v>25078.5625</v>
      </c>
      <c r="I226" s="3">
        <v>25411.03125</v>
      </c>
      <c r="J226" s="3">
        <v>24477.533203125</v>
      </c>
      <c r="K226" s="3">
        <v>171702.546875</v>
      </c>
      <c r="L226" s="3"/>
      <c r="M226" s="3"/>
      <c r="N226" s="3"/>
      <c r="O226" s="3">
        <v>19921.1484375</v>
      </c>
      <c r="P226" s="3">
        <v>34468.3828125</v>
      </c>
      <c r="Q226" s="3"/>
      <c r="R226" s="3"/>
      <c r="S226" s="3">
        <v>0.36880829930305498</v>
      </c>
      <c r="T226" s="3">
        <v>0.465721875429153</v>
      </c>
      <c r="U226" s="3">
        <v>0.483483076095581</v>
      </c>
      <c r="W226" t="s">
        <v>51</v>
      </c>
      <c r="X226" t="s">
        <v>51</v>
      </c>
      <c r="Y226" t="s">
        <v>52</v>
      </c>
      <c r="Z226" t="s">
        <v>53</v>
      </c>
      <c r="AC226" s="2">
        <v>0.205921131980463</v>
      </c>
      <c r="AD226" s="2">
        <v>0.39251831173896801</v>
      </c>
      <c r="AE226" s="2">
        <v>0.33241897821426403</v>
      </c>
      <c r="AF226" s="2">
        <v>0.29961705207824701</v>
      </c>
      <c r="AG226" s="2">
        <v>0.43048849701881398</v>
      </c>
      <c r="AH226" s="2">
        <v>-0.45504277944564803</v>
      </c>
      <c r="AI226" s="2">
        <v>0</v>
      </c>
      <c r="AJ226" s="2">
        <v>0.42754607647742598</v>
      </c>
      <c r="AK226" s="2">
        <v>0.66750728246848101</v>
      </c>
      <c r="AL226" s="2">
        <v>0.29185787741132602</v>
      </c>
      <c r="AM226" s="2">
        <v>0.53867101669311501</v>
      </c>
      <c r="AN226" s="2">
        <v>0.49570274353027299</v>
      </c>
      <c r="AO226" s="2">
        <v>0.42483478784561202</v>
      </c>
      <c r="AP226" s="2"/>
    </row>
    <row r="227" spans="1:42" x14ac:dyDescent="0.3">
      <c r="A227" t="s">
        <v>126</v>
      </c>
      <c r="B227" s="3">
        <v>2018</v>
      </c>
      <c r="C227" s="3">
        <v>5.4831180000000002</v>
      </c>
      <c r="D227" s="3">
        <v>2531.7399999999998</v>
      </c>
      <c r="E227" t="s">
        <v>113</v>
      </c>
      <c r="G227" s="3">
        <v>17843.8515625</v>
      </c>
      <c r="H227" s="3">
        <v>24486.75</v>
      </c>
      <c r="I227" s="3">
        <v>32150.859375</v>
      </c>
      <c r="J227" s="3">
        <v>31945.615234375</v>
      </c>
      <c r="K227" s="3">
        <v>199189.203125</v>
      </c>
      <c r="L227" s="3"/>
      <c r="M227" s="3"/>
      <c r="N227" s="3"/>
      <c r="O227" s="3">
        <v>20458.8984375</v>
      </c>
      <c r="P227" s="3">
        <v>30470.28515625</v>
      </c>
      <c r="Q227" s="3"/>
      <c r="R227" s="3"/>
      <c r="S227" s="3">
        <v>0.38611686229705799</v>
      </c>
      <c r="T227" s="3">
        <v>0.45951804518699602</v>
      </c>
      <c r="U227" s="3">
        <v>0.462470382452011</v>
      </c>
      <c r="W227" t="s">
        <v>50</v>
      </c>
      <c r="X227" t="s">
        <v>51</v>
      </c>
      <c r="Y227" t="s">
        <v>52</v>
      </c>
      <c r="Z227" t="s">
        <v>53</v>
      </c>
      <c r="AC227" s="2">
        <v>0.22382958344753701</v>
      </c>
      <c r="AD227" s="2">
        <v>0.343041270971298</v>
      </c>
      <c r="AE227" s="2">
        <v>0.207943961024284</v>
      </c>
      <c r="AF227" s="2">
        <v>0.21552836894989</v>
      </c>
      <c r="AG227" s="2">
        <v>0.58013147115707397</v>
      </c>
      <c r="AH227" s="2">
        <v>-0.34664511680603</v>
      </c>
      <c r="AI227" s="2">
        <v>-2.4624362154403698E-16</v>
      </c>
      <c r="AJ227" s="2">
        <v>0.44665371302552298</v>
      </c>
      <c r="AK227" s="2">
        <v>0.65668496305778201</v>
      </c>
      <c r="AL227" s="2">
        <v>0.28976461427349998</v>
      </c>
      <c r="AM227" s="2">
        <v>0.49593162536621099</v>
      </c>
      <c r="AN227" s="2">
        <v>0.51194149255752597</v>
      </c>
      <c r="AO227" s="2">
        <v>0.411578148603439</v>
      </c>
      <c r="AP227" s="2"/>
    </row>
    <row r="228" spans="1:42" x14ac:dyDescent="0.3">
      <c r="A228" t="s">
        <v>126</v>
      </c>
      <c r="B228" s="3">
        <v>2019</v>
      </c>
      <c r="C228" s="3">
        <v>5.6166609999999997</v>
      </c>
      <c r="D228" s="3">
        <v>2530.84</v>
      </c>
      <c r="E228" t="s">
        <v>113</v>
      </c>
      <c r="G228" s="3">
        <v>20433.546875</v>
      </c>
      <c r="H228" s="3">
        <v>26650.46484375</v>
      </c>
      <c r="I228" s="3">
        <v>33658.875</v>
      </c>
      <c r="J228" s="3">
        <v>34558.60546875</v>
      </c>
      <c r="K228" s="3">
        <v>209226.53125</v>
      </c>
      <c r="L228" s="3"/>
      <c r="M228" s="3"/>
      <c r="N228" s="3"/>
      <c r="O228" s="3">
        <v>22031.783203125</v>
      </c>
      <c r="P228" s="3">
        <v>31231.53515625</v>
      </c>
      <c r="Q228" s="3"/>
      <c r="R228" s="3"/>
      <c r="S228" s="3">
        <v>0.36442407965660101</v>
      </c>
      <c r="T228" s="3">
        <v>0.41524374485015902</v>
      </c>
      <c r="U228" s="3">
        <v>0.404432892799377</v>
      </c>
      <c r="W228" t="s">
        <v>50</v>
      </c>
      <c r="X228" t="s">
        <v>54</v>
      </c>
      <c r="Y228" t="s">
        <v>52</v>
      </c>
      <c r="Z228" t="s">
        <v>53</v>
      </c>
      <c r="AC228" s="2">
        <v>0.22725954509600099</v>
      </c>
      <c r="AD228" s="2">
        <v>0.39095351099968001</v>
      </c>
      <c r="AE228" s="2">
        <v>0.179894953966141</v>
      </c>
      <c r="AF228" s="2">
        <v>0.200318813323975</v>
      </c>
      <c r="AG228" s="2">
        <v>0.50919580459594704</v>
      </c>
      <c r="AH228" s="2">
        <v>-0.28036308288574202</v>
      </c>
      <c r="AI228" s="2">
        <v>-1.3014499768906801E-16</v>
      </c>
      <c r="AJ228" s="2">
        <v>0.41417558889907902</v>
      </c>
      <c r="AK228" s="2">
        <v>0.58227602222491004</v>
      </c>
      <c r="AL228" s="2">
        <v>0.26732625124367398</v>
      </c>
      <c r="AM228" s="2">
        <v>0.44636368751525901</v>
      </c>
      <c r="AN228" s="2">
        <v>0.51032394170761097</v>
      </c>
      <c r="AO228" s="2">
        <v>0.365977793931961</v>
      </c>
      <c r="AP228" s="2"/>
    </row>
    <row r="229" spans="1:42" x14ac:dyDescent="0.3">
      <c r="A229" t="s">
        <v>126</v>
      </c>
      <c r="B229" s="3">
        <v>2020</v>
      </c>
      <c r="C229" s="3">
        <v>5.7527910000000002</v>
      </c>
      <c r="D229" s="3">
        <v>2412.4899999999998</v>
      </c>
      <c r="E229" t="s">
        <v>113</v>
      </c>
      <c r="G229" s="3">
        <v>20367.068359375</v>
      </c>
      <c r="H229" s="3">
        <v>25246.576171875</v>
      </c>
      <c r="I229" s="3">
        <v>28732.2109375</v>
      </c>
      <c r="J229" s="3">
        <v>34146.23046875</v>
      </c>
      <c r="K229" s="3">
        <v>209714.734375</v>
      </c>
      <c r="L229" s="3"/>
      <c r="M229" s="3"/>
      <c r="N229" s="3"/>
      <c r="O229" s="3">
        <v>18166.43359375</v>
      </c>
      <c r="P229" s="3">
        <v>25397.962890625</v>
      </c>
      <c r="Q229" s="3"/>
      <c r="R229" s="3"/>
      <c r="S229" s="3">
        <v>0.36115506291389499</v>
      </c>
      <c r="T229" s="3">
        <v>0.39915788173675498</v>
      </c>
      <c r="U229" s="3">
        <v>0.33586978912353499</v>
      </c>
      <c r="W229" t="s">
        <v>50</v>
      </c>
      <c r="X229" t="s">
        <v>54</v>
      </c>
      <c r="Y229" t="s">
        <v>52</v>
      </c>
      <c r="Z229" t="s">
        <v>53</v>
      </c>
      <c r="AC229" s="2">
        <v>0.22899336560280401</v>
      </c>
      <c r="AD229" s="2">
        <v>0.37903860211372398</v>
      </c>
      <c r="AE229" s="2">
        <v>0.14290030300617201</v>
      </c>
      <c r="AF229" s="2">
        <v>0.21742744743824</v>
      </c>
      <c r="AG229" s="2">
        <v>0.44039040803909302</v>
      </c>
      <c r="AH229" s="2">
        <v>-0.17975671589374501</v>
      </c>
      <c r="AI229" s="2">
        <v>1.5860484149566901E-16</v>
      </c>
      <c r="AJ229" s="2">
        <v>0.41344656374350103</v>
      </c>
      <c r="AK229" s="2">
        <v>0.55778158426645097</v>
      </c>
      <c r="AL229" s="2">
        <v>0.26999593691342699</v>
      </c>
      <c r="AM229" s="2">
        <v>0.31054937839508101</v>
      </c>
      <c r="AN229" s="2">
        <v>0.53415000438690197</v>
      </c>
      <c r="AO229" s="2">
        <v>0.34599405527114901</v>
      </c>
      <c r="AP229" s="2"/>
    </row>
    <row r="230" spans="1:42" x14ac:dyDescent="0.3">
      <c r="A230" t="s">
        <v>127</v>
      </c>
      <c r="B230" s="3">
        <v>2015</v>
      </c>
      <c r="C230" s="3">
        <v>46.969940000000001</v>
      </c>
      <c r="D230" s="3">
        <v>2395.83</v>
      </c>
      <c r="E230" t="s">
        <v>128</v>
      </c>
      <c r="G230" s="3">
        <v>613397.5625</v>
      </c>
      <c r="H230" s="3">
        <v>743259</v>
      </c>
      <c r="I230" s="3">
        <v>694243.0625</v>
      </c>
      <c r="J230" s="3">
        <v>710097.875</v>
      </c>
      <c r="K230" s="3">
        <v>2150410.25</v>
      </c>
      <c r="L230" s="3">
        <v>2.4947799742221801E-2</v>
      </c>
      <c r="M230" s="3">
        <v>0.59137994050979603</v>
      </c>
      <c r="N230" s="3">
        <v>0.59717434644699097</v>
      </c>
      <c r="O230" s="3">
        <v>610038</v>
      </c>
      <c r="P230" s="3">
        <v>765805.25</v>
      </c>
      <c r="Q230" s="3">
        <v>0.99882847070694003</v>
      </c>
      <c r="R230" s="3">
        <v>0.49331974983215299</v>
      </c>
      <c r="S230" s="3">
        <v>0.39850169420242298</v>
      </c>
      <c r="T230" s="3">
        <v>0.422751605510712</v>
      </c>
      <c r="U230" s="3">
        <v>0.41331255435943598</v>
      </c>
      <c r="W230" t="s">
        <v>50</v>
      </c>
      <c r="X230" t="s">
        <v>51</v>
      </c>
      <c r="Y230" t="s">
        <v>52</v>
      </c>
      <c r="Z230" t="s">
        <v>53</v>
      </c>
      <c r="AA230" t="s">
        <v>53</v>
      </c>
      <c r="AC230" s="2">
        <v>0.70702508151993304</v>
      </c>
      <c r="AD230" s="2">
        <v>0.68193560838699296</v>
      </c>
      <c r="AE230" s="2">
        <v>0.18287827074527699</v>
      </c>
      <c r="AF230" s="2">
        <v>0.181885495781899</v>
      </c>
      <c r="AG230" s="2">
        <v>0.10234958678484</v>
      </c>
      <c r="AH230" s="2">
        <v>-0.14095059037208599</v>
      </c>
      <c r="AI230" s="2">
        <v>-8.0983238294720702E-3</v>
      </c>
      <c r="AJ230" s="2">
        <v>0.41501843199206701</v>
      </c>
      <c r="AK230" s="2">
        <v>0.53729542833120403</v>
      </c>
      <c r="AL230" s="2">
        <v>0.33657618673613998</v>
      </c>
      <c r="AM230" s="2">
        <v>0.491079241037369</v>
      </c>
      <c r="AN230" s="2">
        <v>0.53987634181976296</v>
      </c>
      <c r="AO230" s="2">
        <v>0.379674822092056</v>
      </c>
      <c r="AP230" s="2">
        <v>0.79638034105300903</v>
      </c>
    </row>
    <row r="231" spans="1:42" x14ac:dyDescent="0.3">
      <c r="A231" t="s">
        <v>127</v>
      </c>
      <c r="B231" s="3">
        <v>2016</v>
      </c>
      <c r="C231" s="3">
        <v>47.437511999999998</v>
      </c>
      <c r="D231" s="3">
        <v>2392.21</v>
      </c>
      <c r="E231" t="s">
        <v>128</v>
      </c>
      <c r="G231" s="3">
        <v>613540.75</v>
      </c>
      <c r="H231" s="3">
        <v>729398.5625</v>
      </c>
      <c r="I231" s="3">
        <v>683159.75</v>
      </c>
      <c r="J231" s="3">
        <v>695000.625</v>
      </c>
      <c r="K231" s="3">
        <v>2047769.125</v>
      </c>
      <c r="L231" s="3">
        <v>2.2669777274131799E-2</v>
      </c>
      <c r="M231" s="3">
        <v>0.59615600109100297</v>
      </c>
      <c r="N231" s="3">
        <v>0.60489702224731501</v>
      </c>
      <c r="O231" s="3">
        <v>619956.375</v>
      </c>
      <c r="P231" s="3">
        <v>775228.875</v>
      </c>
      <c r="Q231" s="3">
        <v>0.993033587932587</v>
      </c>
      <c r="R231" s="3">
        <v>0.49480772018432601</v>
      </c>
      <c r="S231" s="3">
        <v>0.38523390889167802</v>
      </c>
      <c r="T231" s="3">
        <v>0.413841843605042</v>
      </c>
      <c r="U231" s="3">
        <v>0.406791120767593</v>
      </c>
      <c r="W231" t="s">
        <v>50</v>
      </c>
      <c r="X231" t="s">
        <v>51</v>
      </c>
      <c r="Y231" t="s">
        <v>52</v>
      </c>
      <c r="Z231" t="s">
        <v>53</v>
      </c>
      <c r="AA231" t="s">
        <v>53</v>
      </c>
      <c r="AC231" s="2">
        <v>0.69637210184048004</v>
      </c>
      <c r="AD231" s="2">
        <v>0.67873424291610696</v>
      </c>
      <c r="AE231" s="2">
        <v>0.16670176386833199</v>
      </c>
      <c r="AF231" s="2">
        <v>0.20405744016170499</v>
      </c>
      <c r="AG231" s="2">
        <v>9.2269167304039001E-2</v>
      </c>
      <c r="AH231" s="2">
        <v>-0.122841358184814</v>
      </c>
      <c r="AI231" s="2">
        <v>-1.89212020486593E-2</v>
      </c>
      <c r="AJ231" s="2">
        <v>0.41390077517165802</v>
      </c>
      <c r="AK231" s="2">
        <v>0.56533903359818305</v>
      </c>
      <c r="AL231" s="2">
        <v>0.28988238299695901</v>
      </c>
      <c r="AM231" s="2">
        <v>0.48411634564399703</v>
      </c>
      <c r="AN231" s="2">
        <v>0.52510964870452903</v>
      </c>
      <c r="AO231" s="2">
        <v>0.39026001095771801</v>
      </c>
      <c r="AP231" s="2">
        <v>0.815510272979736</v>
      </c>
    </row>
    <row r="232" spans="1:42" x14ac:dyDescent="0.3">
      <c r="A232" t="s">
        <v>127</v>
      </c>
      <c r="B232" s="3">
        <v>2017</v>
      </c>
      <c r="C232" s="3">
        <v>48.131078000000002</v>
      </c>
      <c r="D232" s="3">
        <v>2376.4299999999998</v>
      </c>
      <c r="E232" t="s">
        <v>128</v>
      </c>
      <c r="G232" s="3">
        <v>623451.9375</v>
      </c>
      <c r="H232" s="3">
        <v>738824.9375</v>
      </c>
      <c r="I232" s="3">
        <v>703694.1875</v>
      </c>
      <c r="J232" s="3">
        <v>710407.25</v>
      </c>
      <c r="K232" s="3">
        <v>2154886.5</v>
      </c>
      <c r="L232" s="3">
        <v>2.3560728877782801E-2</v>
      </c>
      <c r="M232" s="3">
        <v>0.58637529611587502</v>
      </c>
      <c r="N232" s="3">
        <v>0.58727854490280196</v>
      </c>
      <c r="O232" s="3">
        <v>634410</v>
      </c>
      <c r="P232" s="3">
        <v>783992.875</v>
      </c>
      <c r="Q232" s="3">
        <v>0.98379057645797696</v>
      </c>
      <c r="R232" s="3">
        <v>0.49710571765899703</v>
      </c>
      <c r="S232" s="3">
        <v>0.41715326905250599</v>
      </c>
      <c r="T232" s="3">
        <v>0.44318521022796598</v>
      </c>
      <c r="U232" s="3">
        <v>0.43899732828140298</v>
      </c>
      <c r="W232" t="s">
        <v>51</v>
      </c>
      <c r="X232" t="s">
        <v>51</v>
      </c>
      <c r="Y232" t="s">
        <v>52</v>
      </c>
      <c r="Z232" t="s">
        <v>53</v>
      </c>
      <c r="AA232" t="s">
        <v>53</v>
      </c>
      <c r="AC232" s="2">
        <v>0.70477740048569504</v>
      </c>
      <c r="AD232" s="2">
        <v>0.66426283121108998</v>
      </c>
      <c r="AE232" s="2">
        <v>0.162404075264931</v>
      </c>
      <c r="AF232" s="2">
        <v>0.21333509683609</v>
      </c>
      <c r="AG232" s="2">
        <v>0.107518248260021</v>
      </c>
      <c r="AH232" s="2">
        <v>-0.124159134924412</v>
      </c>
      <c r="AI232" s="2">
        <v>-2.3361163213849099E-2</v>
      </c>
      <c r="AJ232" s="2">
        <v>0.45278345197286402</v>
      </c>
      <c r="AK232" s="2">
        <v>0.58385656763524596</v>
      </c>
      <c r="AL232" s="2">
        <v>0.30621132152720099</v>
      </c>
      <c r="AM232" s="2">
        <v>0.494441717863083</v>
      </c>
      <c r="AN232" s="2">
        <v>0.52208995819091797</v>
      </c>
      <c r="AO232" s="2">
        <v>0.41116178035736101</v>
      </c>
      <c r="AP232" s="2">
        <v>0.83052110671997104</v>
      </c>
    </row>
    <row r="233" spans="1:42" x14ac:dyDescent="0.3">
      <c r="A233" t="s">
        <v>127</v>
      </c>
      <c r="B233" s="3">
        <v>2018</v>
      </c>
      <c r="C233" s="3">
        <v>49.024464999999999</v>
      </c>
      <c r="D233" s="3">
        <v>2385.94</v>
      </c>
      <c r="E233" t="s">
        <v>128</v>
      </c>
      <c r="G233" s="3">
        <v>650551</v>
      </c>
      <c r="H233" s="3">
        <v>776652.4375</v>
      </c>
      <c r="I233" s="3">
        <v>741538.25</v>
      </c>
      <c r="J233" s="3">
        <v>750755.25</v>
      </c>
      <c r="K233" s="3">
        <v>2390923.25</v>
      </c>
      <c r="L233" s="3">
        <v>2.5176750496029899E-2</v>
      </c>
      <c r="M233" s="3">
        <v>0.58496958017349199</v>
      </c>
      <c r="N233" s="3">
        <v>0.58251571655273404</v>
      </c>
      <c r="O233" s="3">
        <v>659604.875</v>
      </c>
      <c r="P233" s="3">
        <v>811143.5625</v>
      </c>
      <c r="Q233" s="3">
        <v>0.98208409547805797</v>
      </c>
      <c r="R233" s="3">
        <v>0.495853841304779</v>
      </c>
      <c r="S233" s="3">
        <v>0.42915719747543302</v>
      </c>
      <c r="T233" s="3">
        <v>0.45068237185478199</v>
      </c>
      <c r="U233" s="3">
        <v>0.44514939188957198</v>
      </c>
      <c r="W233" t="s">
        <v>50</v>
      </c>
      <c r="X233" t="s">
        <v>51</v>
      </c>
      <c r="Y233" t="s">
        <v>52</v>
      </c>
      <c r="Z233" t="s">
        <v>53</v>
      </c>
      <c r="AA233" t="s">
        <v>53</v>
      </c>
      <c r="AC233" s="2">
        <v>0.708894945684997</v>
      </c>
      <c r="AD233" s="2">
        <v>0.65279465913772605</v>
      </c>
      <c r="AE233" s="2">
        <v>0.16796609759330799</v>
      </c>
      <c r="AF233" s="2">
        <v>0.213734090328217</v>
      </c>
      <c r="AG233" s="2">
        <v>0.110160157084465</v>
      </c>
      <c r="AH233" s="2">
        <v>-0.12542605400085499</v>
      </c>
      <c r="AI233" s="2">
        <v>-1.9228974357247401E-2</v>
      </c>
      <c r="AJ233" s="2">
        <v>0.464508142551813</v>
      </c>
      <c r="AK233" s="2">
        <v>0.56172956387403505</v>
      </c>
      <c r="AL233" s="2">
        <v>0.32118705930646102</v>
      </c>
      <c r="AM233" s="2">
        <v>0.50580221414565996</v>
      </c>
      <c r="AN233" s="2">
        <v>0.54405528306961104</v>
      </c>
      <c r="AO233" s="2">
        <v>0.40293821692466703</v>
      </c>
      <c r="AP233" s="2">
        <v>0.79127347469329801</v>
      </c>
    </row>
    <row r="234" spans="1:42" x14ac:dyDescent="0.3">
      <c r="A234" t="s">
        <v>127</v>
      </c>
      <c r="B234" s="3">
        <v>2019</v>
      </c>
      <c r="C234" s="3">
        <v>49.907984999999996</v>
      </c>
      <c r="D234" s="3">
        <v>2382.61</v>
      </c>
      <c r="E234" t="s">
        <v>128</v>
      </c>
      <c r="G234" s="3">
        <v>691517.6875</v>
      </c>
      <c r="H234" s="3">
        <v>831426.5</v>
      </c>
      <c r="I234" s="3">
        <v>785680.625</v>
      </c>
      <c r="J234" s="3">
        <v>797424.1875</v>
      </c>
      <c r="K234" s="3">
        <v>2624349</v>
      </c>
      <c r="L234" s="3">
        <v>2.6732301339507099E-2</v>
      </c>
      <c r="M234" s="3">
        <v>0.58832168579101596</v>
      </c>
      <c r="N234" s="3">
        <v>0.59026896953582797</v>
      </c>
      <c r="O234" s="3">
        <v>687922.25</v>
      </c>
      <c r="P234" s="3">
        <v>843756.25</v>
      </c>
      <c r="Q234" s="3">
        <v>0.99029564857482899</v>
      </c>
      <c r="R234" s="3">
        <v>0.50206708908081099</v>
      </c>
      <c r="S234" s="3">
        <v>0.39445689320564298</v>
      </c>
      <c r="T234" s="3">
        <v>0.41114890575408902</v>
      </c>
      <c r="U234" s="3">
        <v>0.40509390830993702</v>
      </c>
      <c r="W234" t="s">
        <v>50</v>
      </c>
      <c r="X234" t="s">
        <v>54</v>
      </c>
      <c r="Y234" t="s">
        <v>52</v>
      </c>
      <c r="Z234" t="s">
        <v>53</v>
      </c>
      <c r="AA234" t="s">
        <v>53</v>
      </c>
      <c r="AC234" s="2">
        <v>0.70914951622959499</v>
      </c>
      <c r="AD234" s="2">
        <v>0.64681506156921398</v>
      </c>
      <c r="AE234" s="2">
        <v>0.17545090615749401</v>
      </c>
      <c r="AF234" s="2">
        <v>0.22037422657012901</v>
      </c>
      <c r="AG234" s="2">
        <v>0.103594735264778</v>
      </c>
      <c r="AH234" s="2">
        <v>-0.12889346480369601</v>
      </c>
      <c r="AI234" s="2">
        <v>-1.7341507598757699E-2</v>
      </c>
      <c r="AJ234" s="2">
        <v>0.43006479692675098</v>
      </c>
      <c r="AK234" s="2">
        <v>0.49365119438189897</v>
      </c>
      <c r="AL234" s="2">
        <v>0.289945034143265</v>
      </c>
      <c r="AM234" s="2">
        <v>0.47802764177322399</v>
      </c>
      <c r="AN234" s="2">
        <v>0.51269185543060303</v>
      </c>
      <c r="AO234" s="2">
        <v>0.35967904329299899</v>
      </c>
      <c r="AP234" s="2">
        <v>0.68437790870666504</v>
      </c>
    </row>
    <row r="235" spans="1:42" x14ac:dyDescent="0.3">
      <c r="A235" t="s">
        <v>127</v>
      </c>
      <c r="B235" s="3">
        <v>2020</v>
      </c>
      <c r="C235" s="3">
        <v>50.629997000000003</v>
      </c>
      <c r="D235" s="3">
        <v>2069.44</v>
      </c>
      <c r="E235" t="s">
        <v>128</v>
      </c>
      <c r="G235" s="3">
        <v>677254.5</v>
      </c>
      <c r="H235" s="3">
        <v>795178.25</v>
      </c>
      <c r="I235" s="3">
        <v>743080.75</v>
      </c>
      <c r="J235" s="3">
        <v>760045.25</v>
      </c>
      <c r="K235" s="3">
        <v>2826335.75</v>
      </c>
      <c r="L235" s="3">
        <v>2.7271360158920298E-2</v>
      </c>
      <c r="M235" s="3">
        <v>0.60122829675674405</v>
      </c>
      <c r="N235" s="3">
        <v>0.60343176126480103</v>
      </c>
      <c r="O235" s="3">
        <v>658960.1875</v>
      </c>
      <c r="P235" s="3">
        <v>779731.0625</v>
      </c>
      <c r="Q235" s="3">
        <v>1.0182021856307999</v>
      </c>
      <c r="R235" s="3">
        <v>0.538307785987854</v>
      </c>
      <c r="S235" s="3">
        <v>0.35081329941749601</v>
      </c>
      <c r="T235" s="3">
        <v>0.363820970058441</v>
      </c>
      <c r="U235" s="3">
        <v>0.355700314044952</v>
      </c>
      <c r="W235" t="s">
        <v>50</v>
      </c>
      <c r="X235" t="s">
        <v>54</v>
      </c>
      <c r="Y235" t="s">
        <v>52</v>
      </c>
      <c r="Z235" t="s">
        <v>53</v>
      </c>
      <c r="AA235" t="s">
        <v>53</v>
      </c>
      <c r="AC235" s="2">
        <v>0.70511534121766895</v>
      </c>
      <c r="AD235" s="2">
        <v>0.65768682956695601</v>
      </c>
      <c r="AE235" s="2">
        <v>0.15515357255935699</v>
      </c>
      <c r="AF235" s="2">
        <v>0.233384490013123</v>
      </c>
      <c r="AG235" s="2">
        <v>8.0187901854515103E-2</v>
      </c>
      <c r="AH235" s="2">
        <v>-0.106554187834263</v>
      </c>
      <c r="AI235" s="2">
        <v>-1.98585968464613E-2</v>
      </c>
      <c r="AJ235" s="2">
        <v>0.38250062836078602</v>
      </c>
      <c r="AK235" s="2">
        <v>0.43852602541124303</v>
      </c>
      <c r="AL235" s="2">
        <v>0.26151710619785801</v>
      </c>
      <c r="AM235" s="2">
        <v>0.46210095286369302</v>
      </c>
      <c r="AN235" s="2">
        <v>0.51550692319869995</v>
      </c>
      <c r="AO235" s="2">
        <v>0.32064288854598999</v>
      </c>
      <c r="AP235" s="2">
        <v>0.54349356889724698</v>
      </c>
    </row>
    <row r="236" spans="1:42" x14ac:dyDescent="0.3">
      <c r="A236" t="s">
        <v>129</v>
      </c>
      <c r="B236" s="3">
        <v>2015</v>
      </c>
      <c r="C236" s="3">
        <v>0.72668200000000005</v>
      </c>
      <c r="D236" s="3"/>
      <c r="E236" t="s">
        <v>130</v>
      </c>
      <c r="G236" s="3">
        <v>2564.31494140625</v>
      </c>
      <c r="H236" s="3">
        <v>2840.75732421875</v>
      </c>
      <c r="I236" s="3">
        <v>2416.99633789063</v>
      </c>
      <c r="J236" s="3">
        <v>2520.39965820313</v>
      </c>
      <c r="K236" s="3">
        <v>11026.89453125</v>
      </c>
      <c r="L236" s="3"/>
      <c r="M236" s="3"/>
      <c r="N236" s="3"/>
      <c r="O236" s="3">
        <v>2284.916015625</v>
      </c>
      <c r="P236" s="3">
        <v>2662.78735351563</v>
      </c>
      <c r="Q236" s="3"/>
      <c r="R236" s="3"/>
      <c r="S236" s="3">
        <v>0.39139175415039101</v>
      </c>
      <c r="T236" s="3">
        <v>0.399681895971298</v>
      </c>
      <c r="U236" s="3">
        <v>0.38328436017036399</v>
      </c>
      <c r="W236" t="s">
        <v>50</v>
      </c>
      <c r="X236" t="s">
        <v>51</v>
      </c>
      <c r="Y236" t="s">
        <v>52</v>
      </c>
      <c r="Z236" t="s">
        <v>53</v>
      </c>
      <c r="AC236" s="2">
        <v>0.44617311758746803</v>
      </c>
      <c r="AD236" s="2">
        <v>0.85269403457641602</v>
      </c>
      <c r="AE236" s="2">
        <v>0.109681993722916</v>
      </c>
      <c r="AF236" s="2">
        <v>0.16472992300987199</v>
      </c>
      <c r="AG236" s="2">
        <v>7.2079978883266504E-2</v>
      </c>
      <c r="AH236" s="2">
        <v>-0.19918595254421201</v>
      </c>
      <c r="AI236" s="2">
        <v>-1.17684613639365E-16</v>
      </c>
      <c r="AJ236" s="2">
        <v>0.41939340173345901</v>
      </c>
      <c r="AK236" s="2">
        <v>0.47658202634150998</v>
      </c>
      <c r="AL236" s="2">
        <v>0.246446465125327</v>
      </c>
      <c r="AM236" s="2">
        <v>0.53899097442626998</v>
      </c>
      <c r="AN236" s="2">
        <v>0.53241699934005704</v>
      </c>
      <c r="AO236" s="2">
        <v>0.287374228239059</v>
      </c>
      <c r="AP236" s="2"/>
    </row>
    <row r="237" spans="1:42" x14ac:dyDescent="0.3">
      <c r="A237" t="s">
        <v>129</v>
      </c>
      <c r="B237" s="3">
        <v>2016</v>
      </c>
      <c r="C237" s="3">
        <v>0.74174099999999998</v>
      </c>
      <c r="D237" s="3"/>
      <c r="E237" t="s">
        <v>130</v>
      </c>
      <c r="G237" s="3">
        <v>2751.08032226563</v>
      </c>
      <c r="H237" s="3">
        <v>3011.46044921875</v>
      </c>
      <c r="I237" s="3">
        <v>2600.8603515625</v>
      </c>
      <c r="J237" s="3">
        <v>2686.67919921875</v>
      </c>
      <c r="K237" s="3">
        <v>12180.45703125</v>
      </c>
      <c r="L237" s="3"/>
      <c r="M237" s="3"/>
      <c r="N237" s="3"/>
      <c r="O237" s="3">
        <v>2347.58569335938</v>
      </c>
      <c r="P237" s="3">
        <v>2698.95263671875</v>
      </c>
      <c r="Q237" s="3"/>
      <c r="R237" s="3"/>
      <c r="S237" s="3">
        <v>0.38003754615783703</v>
      </c>
      <c r="T237" s="3">
        <v>0.38942328095436102</v>
      </c>
      <c r="U237" s="3">
        <v>0.37698414921760598</v>
      </c>
      <c r="W237" t="s">
        <v>50</v>
      </c>
      <c r="X237" t="s">
        <v>51</v>
      </c>
      <c r="Y237" t="s">
        <v>52</v>
      </c>
      <c r="Z237" t="s">
        <v>53</v>
      </c>
      <c r="AC237" s="2">
        <v>0.42939888944327698</v>
      </c>
      <c r="AD237" s="2">
        <v>0.83583945035934504</v>
      </c>
      <c r="AE237" s="2">
        <v>9.6915267407894107E-2</v>
      </c>
      <c r="AF237" s="2">
        <v>0.18813103437423701</v>
      </c>
      <c r="AG237" s="2">
        <v>7.0850379765033694E-2</v>
      </c>
      <c r="AH237" s="2">
        <v>-0.19173610210418701</v>
      </c>
      <c r="AI237" s="2">
        <v>0</v>
      </c>
      <c r="AJ237" s="2">
        <v>0.41770064740510199</v>
      </c>
      <c r="AK237" s="2">
        <v>0.48858913500858597</v>
      </c>
      <c r="AL237" s="2">
        <v>0.21270574542974099</v>
      </c>
      <c r="AM237" s="2">
        <v>0.56788861751556396</v>
      </c>
      <c r="AN237" s="2">
        <v>0.52024602890014704</v>
      </c>
      <c r="AO237" s="2">
        <v>0.2853142619133</v>
      </c>
      <c r="AP237" s="2"/>
    </row>
    <row r="238" spans="1:42" x14ac:dyDescent="0.3">
      <c r="A238" t="s">
        <v>129</v>
      </c>
      <c r="B238" s="3">
        <v>2017</v>
      </c>
      <c r="C238" s="3">
        <v>0.75666900000000004</v>
      </c>
      <c r="D238" s="3"/>
      <c r="E238" t="s">
        <v>130</v>
      </c>
      <c r="G238" s="3">
        <v>2921.19897460938</v>
      </c>
      <c r="H238" s="3">
        <v>3212.65576171875</v>
      </c>
      <c r="I238" s="3">
        <v>2760.92138671875</v>
      </c>
      <c r="J238" s="3">
        <v>2816.48852539063</v>
      </c>
      <c r="K238" s="3">
        <v>13910.3798828125</v>
      </c>
      <c r="L238" s="3"/>
      <c r="M238" s="3"/>
      <c r="N238" s="3"/>
      <c r="O238" s="3">
        <v>2474.55419921875</v>
      </c>
      <c r="P238" s="3">
        <v>2832.3544921875</v>
      </c>
      <c r="Q238" s="3"/>
      <c r="R238" s="3"/>
      <c r="S238" s="3">
        <v>0.37963527441024802</v>
      </c>
      <c r="T238" s="3">
        <v>0.39024645090103199</v>
      </c>
      <c r="U238" s="3">
        <v>0.38254719972610501</v>
      </c>
      <c r="W238" t="s">
        <v>51</v>
      </c>
      <c r="X238" t="s">
        <v>51</v>
      </c>
      <c r="Y238" t="s">
        <v>52</v>
      </c>
      <c r="Z238" t="s">
        <v>53</v>
      </c>
      <c r="AC238" s="2">
        <v>0.42673884736477702</v>
      </c>
      <c r="AD238" s="2">
        <v>0.82369655370712302</v>
      </c>
      <c r="AE238" s="2">
        <v>0.103482320904732</v>
      </c>
      <c r="AF238" s="2">
        <v>0.21348114311695099</v>
      </c>
      <c r="AG238" s="2">
        <v>7.7381879091262804E-2</v>
      </c>
      <c r="AH238" s="2">
        <v>-0.218041852116585</v>
      </c>
      <c r="AI238" s="2">
        <v>2.1103144284016201E-16</v>
      </c>
      <c r="AJ238" s="2">
        <v>0.42775849363871699</v>
      </c>
      <c r="AK238" s="2">
        <v>0.49659940235880801</v>
      </c>
      <c r="AL238" s="2">
        <v>0.193956489422177</v>
      </c>
      <c r="AM238" s="2">
        <v>0.588356733322144</v>
      </c>
      <c r="AN238" s="2">
        <v>0.49586567282676702</v>
      </c>
      <c r="AO238" s="2">
        <v>0.28129556775093101</v>
      </c>
      <c r="AP238" s="2"/>
    </row>
    <row r="239" spans="1:42" x14ac:dyDescent="0.3">
      <c r="A239" t="s">
        <v>129</v>
      </c>
      <c r="B239" s="3">
        <v>2018</v>
      </c>
      <c r="C239" s="3">
        <v>0.77159</v>
      </c>
      <c r="D239" s="3"/>
      <c r="E239" t="s">
        <v>130</v>
      </c>
      <c r="G239" s="3">
        <v>2924.58911132813</v>
      </c>
      <c r="H239" s="3">
        <v>3269.94384765625</v>
      </c>
      <c r="I239" s="3">
        <v>2790.57568359375</v>
      </c>
      <c r="J239" s="3">
        <v>2868.61499023438</v>
      </c>
      <c r="K239" s="3">
        <v>13164.16796875</v>
      </c>
      <c r="L239" s="3"/>
      <c r="M239" s="3"/>
      <c r="N239" s="3"/>
      <c r="O239" s="3">
        <v>2517.23364257813</v>
      </c>
      <c r="P239" s="3">
        <v>2950.8876953125</v>
      </c>
      <c r="Q239" s="3"/>
      <c r="R239" s="3"/>
      <c r="S239" s="3">
        <v>0.41587340831756597</v>
      </c>
      <c r="T239" s="3">
        <v>0.42600437998771701</v>
      </c>
      <c r="U239" s="3">
        <v>0.41441518068313599</v>
      </c>
      <c r="W239" t="s">
        <v>50</v>
      </c>
      <c r="X239" t="s">
        <v>51</v>
      </c>
      <c r="Y239" t="s">
        <v>52</v>
      </c>
      <c r="Z239" t="s">
        <v>53</v>
      </c>
      <c r="AC239" s="2">
        <v>0.413584341061491</v>
      </c>
      <c r="AD239" s="2">
        <v>0.82138085365295399</v>
      </c>
      <c r="AE239" s="2">
        <v>0.120390743017197</v>
      </c>
      <c r="AF239" s="2">
        <v>0.19813172519207001</v>
      </c>
      <c r="AG239" s="2">
        <v>9.19946134090424E-2</v>
      </c>
      <c r="AH239" s="2">
        <v>-0.23189792037010201</v>
      </c>
      <c r="AI239" s="2">
        <v>1.9126357320559799E-16</v>
      </c>
      <c r="AJ239" s="2">
        <v>0.46457717226473599</v>
      </c>
      <c r="AK239" s="2">
        <v>0.51179703208406002</v>
      </c>
      <c r="AL239" s="2">
        <v>0.21396561932343799</v>
      </c>
      <c r="AM239" s="2">
        <v>0.58152258396148704</v>
      </c>
      <c r="AN239" s="2">
        <v>0.53767460584640503</v>
      </c>
      <c r="AO239" s="2">
        <v>0.29659685492515597</v>
      </c>
      <c r="AP239" s="2"/>
    </row>
    <row r="240" spans="1:42" x14ac:dyDescent="0.3">
      <c r="A240" t="s">
        <v>129</v>
      </c>
      <c r="B240" s="3">
        <v>2019</v>
      </c>
      <c r="C240" s="3">
        <v>0.786578</v>
      </c>
      <c r="D240" s="3"/>
      <c r="E240" t="s">
        <v>130</v>
      </c>
      <c r="G240" s="3">
        <v>3017.05200195313</v>
      </c>
      <c r="H240" s="3">
        <v>3335.68090820313</v>
      </c>
      <c r="I240" s="3">
        <v>2857.82006835938</v>
      </c>
      <c r="J240" s="3">
        <v>2895.48803710938</v>
      </c>
      <c r="K240" s="3">
        <v>13305.9951171875</v>
      </c>
      <c r="L240" s="3"/>
      <c r="M240" s="3"/>
      <c r="N240" s="3"/>
      <c r="O240" s="3">
        <v>3165.65991210938</v>
      </c>
      <c r="P240" s="3">
        <v>3566.8544921875</v>
      </c>
      <c r="Q240" s="3"/>
      <c r="R240" s="3"/>
      <c r="S240" s="3">
        <v>0.41187795996665999</v>
      </c>
      <c r="T240" s="3">
        <v>0.41815769672393799</v>
      </c>
      <c r="U240" s="3">
        <v>0.41271781921386702</v>
      </c>
      <c r="W240" t="s">
        <v>50</v>
      </c>
      <c r="X240" t="s">
        <v>54</v>
      </c>
      <c r="Y240" t="s">
        <v>52</v>
      </c>
      <c r="Z240" t="s">
        <v>53</v>
      </c>
      <c r="AC240" s="2">
        <v>0.41999062436324502</v>
      </c>
      <c r="AD240" s="2">
        <v>0.84918922185897805</v>
      </c>
      <c r="AE240" s="2">
        <v>0.110043212771416</v>
      </c>
      <c r="AF240" s="2">
        <v>0.192794695496559</v>
      </c>
      <c r="AG240" s="2">
        <v>9.2601180076599093E-2</v>
      </c>
      <c r="AH240" s="2">
        <v>-0.244628295302391</v>
      </c>
      <c r="AI240" s="2">
        <v>0</v>
      </c>
      <c r="AJ240" s="2">
        <v>0.45632566209248598</v>
      </c>
      <c r="AK240" s="2">
        <v>0.47761977314966902</v>
      </c>
      <c r="AL240" s="2">
        <v>0.216102345294649</v>
      </c>
      <c r="AM240" s="2">
        <v>0.56930536031723</v>
      </c>
      <c r="AN240" s="2">
        <v>0.49761024117469799</v>
      </c>
      <c r="AO240" s="2">
        <v>0.28281936049461398</v>
      </c>
      <c r="AP240" s="2"/>
    </row>
    <row r="241" spans="1:42" x14ac:dyDescent="0.3">
      <c r="A241" t="s">
        <v>129</v>
      </c>
      <c r="B241" s="3">
        <v>2020</v>
      </c>
      <c r="C241" s="3">
        <v>0.80216299999999996</v>
      </c>
      <c r="D241" s="3"/>
      <c r="E241" t="s">
        <v>130</v>
      </c>
      <c r="G241" s="3">
        <v>3127.30249023438</v>
      </c>
      <c r="H241" s="3">
        <v>3435.603515625</v>
      </c>
      <c r="I241" s="3">
        <v>2805.42822265625</v>
      </c>
      <c r="J241" s="3">
        <v>3067.84204101563</v>
      </c>
      <c r="K241" s="3">
        <v>14107.7275390625</v>
      </c>
      <c r="L241" s="3"/>
      <c r="M241" s="3"/>
      <c r="N241" s="3"/>
      <c r="O241" s="3">
        <v>2892.80444335938</v>
      </c>
      <c r="P241" s="3">
        <v>3255.83935546875</v>
      </c>
      <c r="Q241" s="3"/>
      <c r="R241" s="3"/>
      <c r="S241" s="3">
        <v>0.432893335819244</v>
      </c>
      <c r="T241" s="3">
        <v>0.43625283241272</v>
      </c>
      <c r="U241" s="3">
        <v>0.39893713593482999</v>
      </c>
      <c r="W241" t="s">
        <v>50</v>
      </c>
      <c r="X241" t="s">
        <v>54</v>
      </c>
      <c r="Y241" t="s">
        <v>52</v>
      </c>
      <c r="Z241" t="s">
        <v>53</v>
      </c>
      <c r="AC241" s="2">
        <v>0.41781440121075297</v>
      </c>
      <c r="AD241" s="2">
        <v>0.83632099628448497</v>
      </c>
      <c r="AE241" s="2">
        <v>0.100494459271431</v>
      </c>
      <c r="AF241" s="2">
        <v>0.18306085467338601</v>
      </c>
      <c r="AG241" s="2">
        <v>8.3288043737411499E-2</v>
      </c>
      <c r="AH241" s="2">
        <v>-0.20316435396671301</v>
      </c>
      <c r="AI241" s="2">
        <v>0</v>
      </c>
      <c r="AJ241" s="2">
        <v>0.47722426331416201</v>
      </c>
      <c r="AK241" s="2">
        <v>0.47033043283987103</v>
      </c>
      <c r="AL241" s="2">
        <v>0.230365723110806</v>
      </c>
      <c r="AM241" s="2">
        <v>0.269536823034287</v>
      </c>
      <c r="AN241" s="2">
        <v>0.55157965421676602</v>
      </c>
      <c r="AO241" s="2">
        <v>0.28095340728759799</v>
      </c>
      <c r="AP241" s="2"/>
    </row>
    <row r="242" spans="1:42" x14ac:dyDescent="0.3">
      <c r="A242" t="s">
        <v>131</v>
      </c>
      <c r="B242" s="3">
        <v>2015</v>
      </c>
      <c r="C242" s="3">
        <v>0.51239400000000002</v>
      </c>
      <c r="D242" s="3"/>
      <c r="E242" t="s">
        <v>132</v>
      </c>
      <c r="G242" s="3">
        <v>3504.57666015625</v>
      </c>
      <c r="H242" s="3">
        <v>4462.4130859375</v>
      </c>
      <c r="I242" s="3">
        <v>3993.63989257813</v>
      </c>
      <c r="J242" s="3">
        <v>4128.17822265625</v>
      </c>
      <c r="K242" s="3">
        <v>19066.953125</v>
      </c>
      <c r="L242" s="3">
        <v>3.4010046510957198E-4</v>
      </c>
      <c r="M242" s="3"/>
      <c r="N242" s="3"/>
      <c r="O242" s="3">
        <v>3433.19482421875</v>
      </c>
      <c r="P242" s="3">
        <v>4411.41552734375</v>
      </c>
      <c r="Q242" s="3"/>
      <c r="R242" s="3">
        <v>0.65670055150985696</v>
      </c>
      <c r="S242" s="3">
        <v>0.40956637263298001</v>
      </c>
      <c r="T242" s="3">
        <v>0.43816110491752602</v>
      </c>
      <c r="U242" s="3">
        <v>0.42388132214546198</v>
      </c>
      <c r="W242" t="s">
        <v>50</v>
      </c>
      <c r="X242" t="s">
        <v>51</v>
      </c>
      <c r="Y242" t="s">
        <v>52</v>
      </c>
      <c r="Z242" t="s">
        <v>53</v>
      </c>
      <c r="AA242" t="s">
        <v>61</v>
      </c>
      <c r="AC242" s="2">
        <v>0.567698172156053</v>
      </c>
      <c r="AD242" s="2">
        <v>0.61580288410186801</v>
      </c>
      <c r="AE242" s="2">
        <v>0.23202401399612399</v>
      </c>
      <c r="AF242" s="2">
        <v>0.23313738405704501</v>
      </c>
      <c r="AG242" s="2">
        <v>2.8236912563443201E-2</v>
      </c>
      <c r="AH242" s="2">
        <v>-0.29847508668899497</v>
      </c>
      <c r="AI242" s="2">
        <v>0.18927392363548301</v>
      </c>
      <c r="AJ242" s="2">
        <v>0.425170661122243</v>
      </c>
      <c r="AK242" s="2">
        <v>0.54278474004947397</v>
      </c>
      <c r="AL242" s="2">
        <v>0.36834967199930702</v>
      </c>
      <c r="AM242" s="2">
        <v>0.57331210374832198</v>
      </c>
      <c r="AN242" s="2">
        <v>0.48973408341407798</v>
      </c>
      <c r="AO242" s="2">
        <v>0.36091765761375399</v>
      </c>
      <c r="AP242" s="2">
        <v>0.235988363623619</v>
      </c>
    </row>
    <row r="243" spans="1:42" x14ac:dyDescent="0.3">
      <c r="A243" t="s">
        <v>131</v>
      </c>
      <c r="B243" s="3">
        <v>2016</v>
      </c>
      <c r="C243" s="3">
        <v>0.51255399999999995</v>
      </c>
      <c r="D243" s="3"/>
      <c r="E243" t="s">
        <v>132</v>
      </c>
      <c r="G243" s="3">
        <v>3883.7080078125</v>
      </c>
      <c r="H243" s="3">
        <v>4867.87939453125</v>
      </c>
      <c r="I243" s="3">
        <v>4329.61181640625</v>
      </c>
      <c r="J243" s="3">
        <v>4542.94091796875</v>
      </c>
      <c r="K243" s="3">
        <v>19544.255859375</v>
      </c>
      <c r="L243" s="3">
        <v>3.4108283580280802E-4</v>
      </c>
      <c r="M243" s="3"/>
      <c r="N243" s="3"/>
      <c r="O243" s="3">
        <v>3702.77612304688</v>
      </c>
      <c r="P243" s="3">
        <v>4755.57275390625</v>
      </c>
      <c r="Q243" s="3"/>
      <c r="R243" s="3">
        <v>0.62174737453460704</v>
      </c>
      <c r="S243" s="3">
        <v>0.39950114488601701</v>
      </c>
      <c r="T243" s="3">
        <v>0.42724153399467502</v>
      </c>
      <c r="U243" s="3">
        <v>0.40717899799346902</v>
      </c>
      <c r="W243" t="s">
        <v>50</v>
      </c>
      <c r="X243" t="s">
        <v>51</v>
      </c>
      <c r="Y243" t="s">
        <v>52</v>
      </c>
      <c r="Z243" t="s">
        <v>53</v>
      </c>
      <c r="AA243" t="s">
        <v>53</v>
      </c>
      <c r="AC243" s="2">
        <v>0.38486551517471101</v>
      </c>
      <c r="AD243" s="2">
        <v>0.62197232246398904</v>
      </c>
      <c r="AE243" s="2">
        <v>0.21663753688335399</v>
      </c>
      <c r="AF243" s="2">
        <v>0.23291620612144501</v>
      </c>
      <c r="AG243" s="2">
        <v>2.46424395591021E-2</v>
      </c>
      <c r="AH243" s="2">
        <v>-0.30258581042289701</v>
      </c>
      <c r="AI243" s="2">
        <v>0.20641729235649101</v>
      </c>
      <c r="AJ243" s="2">
        <v>0.41927697121602697</v>
      </c>
      <c r="AK243" s="2">
        <v>0.53670982361585395</v>
      </c>
      <c r="AL243" s="2">
        <v>0.346692433869773</v>
      </c>
      <c r="AM243" s="2">
        <v>0.53918302059173595</v>
      </c>
      <c r="AN243" s="2">
        <v>0.48897552490234403</v>
      </c>
      <c r="AO243" s="2">
        <v>0.347829699516296</v>
      </c>
      <c r="AP243" s="2">
        <v>0.265526473522186</v>
      </c>
    </row>
    <row r="244" spans="1:42" x14ac:dyDescent="0.3">
      <c r="A244" t="s">
        <v>131</v>
      </c>
      <c r="B244" s="3">
        <v>2017</v>
      </c>
      <c r="C244" s="3">
        <v>0.51289300000000004</v>
      </c>
      <c r="D244" s="3"/>
      <c r="E244" t="s">
        <v>132</v>
      </c>
      <c r="G244" s="3">
        <v>4285.701171875</v>
      </c>
      <c r="H244" s="3">
        <v>5329.49169921875</v>
      </c>
      <c r="I244" s="3">
        <v>4597.77734375</v>
      </c>
      <c r="J244" s="3">
        <v>4855.3701171875</v>
      </c>
      <c r="K244" s="3">
        <v>21208.59375</v>
      </c>
      <c r="L244" s="3">
        <v>3.4220569068566003E-4</v>
      </c>
      <c r="M244" s="3"/>
      <c r="N244" s="3"/>
      <c r="O244" s="3">
        <v>4010.59399414063</v>
      </c>
      <c r="P244" s="3">
        <v>5077.44287109375</v>
      </c>
      <c r="Q244" s="3"/>
      <c r="R244" s="3">
        <v>0.62613010406494096</v>
      </c>
      <c r="S244" s="3">
        <v>0.40362074971199002</v>
      </c>
      <c r="T244" s="3">
        <v>0.43428406119346602</v>
      </c>
      <c r="U244" s="3">
        <v>0.41124394536018399</v>
      </c>
      <c r="W244" t="s">
        <v>51</v>
      </c>
      <c r="X244" t="s">
        <v>51</v>
      </c>
      <c r="Y244" t="s">
        <v>52</v>
      </c>
      <c r="Z244" t="s">
        <v>53</v>
      </c>
      <c r="AA244" t="s">
        <v>53</v>
      </c>
      <c r="AC244" s="2">
        <v>0.47869101741645098</v>
      </c>
      <c r="AD244" s="2">
        <v>0.66670882701873802</v>
      </c>
      <c r="AE244" s="2">
        <v>0.21497654914855999</v>
      </c>
      <c r="AF244" s="2">
        <v>0.21596360206604001</v>
      </c>
      <c r="AG244" s="2">
        <v>1.8347753211855899E-2</v>
      </c>
      <c r="AH244" s="2">
        <v>-0.32929006218910201</v>
      </c>
      <c r="AI244" s="2">
        <v>0.21329335868358601</v>
      </c>
      <c r="AJ244" s="2">
        <v>0.42476863861006098</v>
      </c>
      <c r="AK244" s="2">
        <v>0.56018465127559203</v>
      </c>
      <c r="AL244" s="2">
        <v>0.33833438592516901</v>
      </c>
      <c r="AM244" s="2">
        <v>0.56053459644317605</v>
      </c>
      <c r="AN244" s="2">
        <v>0.49636381864547702</v>
      </c>
      <c r="AO244" s="2">
        <v>0.36004388332366899</v>
      </c>
      <c r="AP244" s="2">
        <v>0.272175222635269</v>
      </c>
    </row>
    <row r="245" spans="1:42" x14ac:dyDescent="0.3">
      <c r="A245" t="s">
        <v>131</v>
      </c>
      <c r="B245" s="3">
        <v>2018</v>
      </c>
      <c r="C245" s="3">
        <v>0.51341499999999995</v>
      </c>
      <c r="D245" s="3"/>
      <c r="E245" t="s">
        <v>132</v>
      </c>
      <c r="G245" s="3">
        <v>4137.40380859375</v>
      </c>
      <c r="H245" s="3">
        <v>5187.57275390625</v>
      </c>
      <c r="I245" s="3">
        <v>4545.0986328125</v>
      </c>
      <c r="J245" s="3">
        <v>4551.32861328125</v>
      </c>
      <c r="K245" s="3">
        <v>21261.634765625</v>
      </c>
      <c r="L245" s="3">
        <v>3.1631236197426899E-4</v>
      </c>
      <c r="M245" s="3"/>
      <c r="N245" s="3"/>
      <c r="O245" s="3">
        <v>4193.4853515625</v>
      </c>
      <c r="P245" s="3">
        <v>5302.3564453125</v>
      </c>
      <c r="Q245" s="3"/>
      <c r="R245" s="3">
        <v>0.62613010406494096</v>
      </c>
      <c r="S245" s="3">
        <v>0.46181255578994801</v>
      </c>
      <c r="T245" s="3">
        <v>0.48515990376472501</v>
      </c>
      <c r="U245" s="3">
        <v>0.48449581861495999</v>
      </c>
      <c r="W245" t="s">
        <v>50</v>
      </c>
      <c r="X245" t="s">
        <v>51</v>
      </c>
      <c r="Y245" t="s">
        <v>52</v>
      </c>
      <c r="Z245" t="s">
        <v>53</v>
      </c>
      <c r="AA245" t="s">
        <v>53</v>
      </c>
      <c r="AC245" s="2">
        <v>0.43210964690319098</v>
      </c>
      <c r="AD245" s="2">
        <v>0.66076076030731201</v>
      </c>
      <c r="AE245" s="2">
        <v>0.23073898255825001</v>
      </c>
      <c r="AF245" s="2">
        <v>0.24829334020614599</v>
      </c>
      <c r="AG245" s="2">
        <v>2.9212109744548801E-2</v>
      </c>
      <c r="AH245" s="2">
        <v>-0.36293339729309099</v>
      </c>
      <c r="AI245" s="2">
        <v>0.193928211927414</v>
      </c>
      <c r="AJ245" s="2">
        <v>0.50241747812709303</v>
      </c>
      <c r="AK245" s="2">
        <v>0.57714252750337802</v>
      </c>
      <c r="AL245" s="2">
        <v>0.35375430998290402</v>
      </c>
      <c r="AM245" s="2">
        <v>0.56614035367965698</v>
      </c>
      <c r="AN245" s="2">
        <v>0.493152886629105</v>
      </c>
      <c r="AO245" s="2">
        <v>0.373142510652542</v>
      </c>
      <c r="AP245" s="2">
        <v>0.30817559361457803</v>
      </c>
    </row>
    <row r="246" spans="1:42" x14ac:dyDescent="0.3">
      <c r="A246" t="s">
        <v>131</v>
      </c>
      <c r="B246" s="3">
        <v>2019</v>
      </c>
      <c r="C246" s="3">
        <v>0.51410400000000001</v>
      </c>
      <c r="D246" s="3"/>
      <c r="E246" t="s">
        <v>132</v>
      </c>
      <c r="G246" s="3">
        <v>4469.19384765625</v>
      </c>
      <c r="H246" s="3">
        <v>5459.31396484375</v>
      </c>
      <c r="I246" s="3">
        <v>4954.3388671875</v>
      </c>
      <c r="J246" s="3">
        <v>4955.49072265625</v>
      </c>
      <c r="K246" s="3">
        <v>22759.005859375</v>
      </c>
      <c r="L246" s="3">
        <v>3.1161872902885101E-4</v>
      </c>
      <c r="M246" s="3"/>
      <c r="N246" s="3"/>
      <c r="O246" s="3">
        <v>4471.39697265625</v>
      </c>
      <c r="P246" s="3">
        <v>5524.7314453125</v>
      </c>
      <c r="Q246" s="3"/>
      <c r="R246" s="3">
        <v>0.62613010406494096</v>
      </c>
      <c r="S246" s="3">
        <v>0.43721592426300099</v>
      </c>
      <c r="T246" s="3">
        <v>0.45458686351776101</v>
      </c>
      <c r="U246" s="3">
        <v>0.45448112487793002</v>
      </c>
      <c r="W246" t="s">
        <v>50</v>
      </c>
      <c r="X246" t="s">
        <v>54</v>
      </c>
      <c r="Y246" t="s">
        <v>52</v>
      </c>
      <c r="Z246" t="s">
        <v>53</v>
      </c>
      <c r="AA246" t="s">
        <v>62</v>
      </c>
      <c r="AC246" s="2">
        <v>0.46447252233813502</v>
      </c>
      <c r="AD246" s="2">
        <v>0.62630844116210904</v>
      </c>
      <c r="AE246" s="2">
        <v>0.19980259239673601</v>
      </c>
      <c r="AF246" s="2">
        <v>0.27555865049362199</v>
      </c>
      <c r="AG246" s="2">
        <v>2.3365659639239301E-2</v>
      </c>
      <c r="AH246" s="2">
        <v>-0.34627524018287698</v>
      </c>
      <c r="AI246" s="2">
        <v>0.221239879727364</v>
      </c>
      <c r="AJ246" s="2">
        <v>0.48579518407433803</v>
      </c>
      <c r="AK246" s="2">
        <v>0.53299561851597199</v>
      </c>
      <c r="AL246" s="2">
        <v>0.32680163746232299</v>
      </c>
      <c r="AM246" s="2">
        <v>0.53441762924194303</v>
      </c>
      <c r="AN246" s="2">
        <v>0.46021127700805697</v>
      </c>
      <c r="AO246" s="2">
        <v>0.34619855880737299</v>
      </c>
      <c r="AP246" s="2">
        <v>0.30733770132064803</v>
      </c>
    </row>
    <row r="247" spans="1:42" x14ac:dyDescent="0.3">
      <c r="A247" t="s">
        <v>131</v>
      </c>
      <c r="B247" s="3">
        <v>2020</v>
      </c>
      <c r="C247" s="3">
        <v>0.514679</v>
      </c>
      <c r="D247" s="3"/>
      <c r="E247" t="s">
        <v>132</v>
      </c>
      <c r="G247" s="3">
        <v>4018.59033203125</v>
      </c>
      <c r="H247" s="3">
        <v>5016.60400390625</v>
      </c>
      <c r="I247" s="3">
        <v>3925.14916992188</v>
      </c>
      <c r="J247" s="3">
        <v>3936.09790039063</v>
      </c>
      <c r="K247" s="3">
        <v>22398.501953125</v>
      </c>
      <c r="L247" s="3">
        <v>2.80039326753467E-4</v>
      </c>
      <c r="M247" s="3"/>
      <c r="N247" s="3"/>
      <c r="O247" s="3">
        <v>4020.7978515625</v>
      </c>
      <c r="P247" s="3">
        <v>5086.14892578125</v>
      </c>
      <c r="Q247" s="3"/>
      <c r="R247" s="3">
        <v>0.62613010406494096</v>
      </c>
      <c r="S247" s="3">
        <v>0.44804835319518999</v>
      </c>
      <c r="T247" s="3">
        <v>0.46407556533813499</v>
      </c>
      <c r="U247" s="3">
        <v>0.46278464794158902</v>
      </c>
      <c r="W247" t="s">
        <v>50</v>
      </c>
      <c r="X247" t="s">
        <v>54</v>
      </c>
      <c r="Y247" t="s">
        <v>52</v>
      </c>
      <c r="Z247" t="s">
        <v>53</v>
      </c>
      <c r="AA247" t="s">
        <v>53</v>
      </c>
      <c r="AC247" s="2">
        <v>0.46956949620483601</v>
      </c>
      <c r="AD247" s="2">
        <v>0.65809094905853305</v>
      </c>
      <c r="AE247" s="2">
        <v>0.25355407595634499</v>
      </c>
      <c r="AF247" s="2">
        <v>0.36286696791648898</v>
      </c>
      <c r="AG247" s="2">
        <v>1.28107583150268E-2</v>
      </c>
      <c r="AH247" s="2">
        <v>-0.32161432504653897</v>
      </c>
      <c r="AI247" s="2">
        <v>3.42915691435337E-2</v>
      </c>
      <c r="AJ247" s="2">
        <v>0.51416481811290904</v>
      </c>
      <c r="AK247" s="2">
        <v>0.52861042225197896</v>
      </c>
      <c r="AL247" s="2">
        <v>0.328140344537378</v>
      </c>
      <c r="AM247" s="2">
        <v>0.537514328956604</v>
      </c>
      <c r="AN247" s="2">
        <v>0.47087696194648698</v>
      </c>
      <c r="AO247" s="2">
        <v>0.340086549520493</v>
      </c>
      <c r="AP247" s="2">
        <v>0.28878274559974698</v>
      </c>
    </row>
    <row r="248" spans="1:42" x14ac:dyDescent="0.3">
      <c r="A248" t="s">
        <v>133</v>
      </c>
      <c r="B248" s="3">
        <v>2015</v>
      </c>
      <c r="C248" s="3">
        <v>4.8180379999999996</v>
      </c>
      <c r="D248" s="3">
        <v>2156.91</v>
      </c>
      <c r="E248" t="s">
        <v>134</v>
      </c>
      <c r="G248" s="3">
        <v>79549.5234375</v>
      </c>
      <c r="H248" s="3">
        <v>95618.125</v>
      </c>
      <c r="I248" s="3">
        <v>94894.7890625</v>
      </c>
      <c r="J248" s="3">
        <v>90406.484375</v>
      </c>
      <c r="K248" s="3">
        <v>231003.375</v>
      </c>
      <c r="L248" s="3">
        <v>2.5772692169994098E-3</v>
      </c>
      <c r="M248" s="3">
        <v>0.74613326787948597</v>
      </c>
      <c r="N248" s="3">
        <v>0.76132416725158703</v>
      </c>
      <c r="O248" s="3">
        <v>83508.453125</v>
      </c>
      <c r="P248" s="3">
        <v>103281.765625</v>
      </c>
      <c r="Q248" s="3">
        <v>0.94284152984619096</v>
      </c>
      <c r="R248" s="3">
        <v>0.58889067173004195</v>
      </c>
      <c r="S248" s="3">
        <v>0.58115679025650002</v>
      </c>
      <c r="T248" s="3">
        <v>0.59478420019149802</v>
      </c>
      <c r="U248" s="3">
        <v>0.62431275844573997</v>
      </c>
      <c r="W248" t="s">
        <v>50</v>
      </c>
      <c r="X248" t="s">
        <v>51</v>
      </c>
      <c r="Y248" t="s">
        <v>52</v>
      </c>
      <c r="Z248" t="s">
        <v>53</v>
      </c>
      <c r="AA248" t="s">
        <v>53</v>
      </c>
      <c r="AC248" s="2">
        <v>0.71419737182768905</v>
      </c>
      <c r="AD248" s="2">
        <v>0.68511861562728904</v>
      </c>
      <c r="AE248" s="2">
        <v>0.17773725092411</v>
      </c>
      <c r="AF248" s="2">
        <v>0.194790869951248</v>
      </c>
      <c r="AG248" s="2">
        <v>0.183011248707771</v>
      </c>
      <c r="AH248" s="2">
        <v>-0.33802983164787298</v>
      </c>
      <c r="AI248" s="2">
        <v>9.7371920943260207E-2</v>
      </c>
      <c r="AJ248" s="2">
        <v>0.59183970118069695</v>
      </c>
      <c r="AK248" s="2">
        <v>0.66224847070971105</v>
      </c>
      <c r="AL248" s="2">
        <v>0.54358273406047897</v>
      </c>
      <c r="AM248" s="2">
        <v>0.57891231775283802</v>
      </c>
      <c r="AN248" s="2">
        <v>0.50734215974807695</v>
      </c>
      <c r="AO248" s="2">
        <v>0.46969428658485401</v>
      </c>
      <c r="AP248" s="2">
        <v>1.2028771638870199</v>
      </c>
    </row>
    <row r="249" spans="1:42" x14ac:dyDescent="0.3">
      <c r="A249" t="s">
        <v>133</v>
      </c>
      <c r="B249" s="3">
        <v>2016</v>
      </c>
      <c r="C249" s="3">
        <v>4.8669979999999997</v>
      </c>
      <c r="D249" s="3">
        <v>2212.38</v>
      </c>
      <c r="E249" t="s">
        <v>134</v>
      </c>
      <c r="G249" s="3">
        <v>84453.65625</v>
      </c>
      <c r="H249" s="3">
        <v>100355.375</v>
      </c>
      <c r="I249" s="3">
        <v>100699.4765625</v>
      </c>
      <c r="J249" s="3">
        <v>96413.6015625</v>
      </c>
      <c r="K249" s="3">
        <v>220451.34375</v>
      </c>
      <c r="L249" s="3">
        <v>2.3987086024135399E-3</v>
      </c>
      <c r="M249" s="3">
        <v>0.79375946521759</v>
      </c>
      <c r="N249" s="3">
        <v>0.79879039525985696</v>
      </c>
      <c r="O249" s="3">
        <v>86397.9375</v>
      </c>
      <c r="P249" s="3">
        <v>107571.3125</v>
      </c>
      <c r="Q249" s="3">
        <v>0.93276280164718595</v>
      </c>
      <c r="R249" s="3">
        <v>0.57978600263595603</v>
      </c>
      <c r="S249" s="3">
        <v>0.56279802322387695</v>
      </c>
      <c r="T249" s="3">
        <v>0.58438253402710005</v>
      </c>
      <c r="U249" s="3">
        <v>0.61036008596420299</v>
      </c>
      <c r="W249" t="s">
        <v>50</v>
      </c>
      <c r="X249" t="s">
        <v>51</v>
      </c>
      <c r="Y249" t="s">
        <v>52</v>
      </c>
      <c r="Z249" t="s">
        <v>53</v>
      </c>
      <c r="AA249" t="s">
        <v>53</v>
      </c>
      <c r="AC249" s="2">
        <v>0.75837626763150201</v>
      </c>
      <c r="AD249" s="2">
        <v>0.66337001323699996</v>
      </c>
      <c r="AE249" s="2">
        <v>0.164932310581207</v>
      </c>
      <c r="AF249" s="2">
        <v>0.21258170902729001</v>
      </c>
      <c r="AG249" s="2">
        <v>0.18060635030269601</v>
      </c>
      <c r="AH249" s="2">
        <v>-0.31690260767936701</v>
      </c>
      <c r="AI249" s="2">
        <v>9.5412261784076705E-2</v>
      </c>
      <c r="AJ249" s="2">
        <v>0.58941581628799</v>
      </c>
      <c r="AK249" s="2">
        <v>0.69901749103865995</v>
      </c>
      <c r="AL249" s="2">
        <v>0.47973609982152898</v>
      </c>
      <c r="AM249" s="2">
        <v>0.56899589300155595</v>
      </c>
      <c r="AN249" s="2">
        <v>0.50146138668060303</v>
      </c>
      <c r="AO249" s="2">
        <v>0.50149315595626798</v>
      </c>
      <c r="AP249" s="2">
        <v>1.33438372612</v>
      </c>
    </row>
    <row r="250" spans="1:42" x14ac:dyDescent="0.3">
      <c r="A250" t="s">
        <v>133</v>
      </c>
      <c r="B250" s="3">
        <v>2017</v>
      </c>
      <c r="C250" s="3">
        <v>4.9131770000000001</v>
      </c>
      <c r="D250" s="3">
        <v>2185.2800000000002</v>
      </c>
      <c r="E250" t="s">
        <v>134</v>
      </c>
      <c r="G250" s="3">
        <v>91981.71875</v>
      </c>
      <c r="H250" s="3">
        <v>108514.203125</v>
      </c>
      <c r="I250" s="3">
        <v>109008.4609375</v>
      </c>
      <c r="J250" s="3">
        <v>105546.6640625</v>
      </c>
      <c r="K250" s="3">
        <v>236258.671875</v>
      </c>
      <c r="L250" s="3">
        <v>2.5446319486945898E-3</v>
      </c>
      <c r="M250" s="3">
        <v>0.833687543869019</v>
      </c>
      <c r="N250" s="3">
        <v>0.825428247451782</v>
      </c>
      <c r="O250" s="3">
        <v>90555.921875</v>
      </c>
      <c r="P250" s="3">
        <v>111629.4609375</v>
      </c>
      <c r="Q250" s="3">
        <v>0.94302266836166404</v>
      </c>
      <c r="R250" s="3">
        <v>0.54765200614929199</v>
      </c>
      <c r="S250" s="3">
        <v>0.53607946634292603</v>
      </c>
      <c r="T250" s="3">
        <v>0.55514997243881203</v>
      </c>
      <c r="U250" s="3">
        <v>0.57335817813873302</v>
      </c>
      <c r="W250" t="s">
        <v>51</v>
      </c>
      <c r="X250" t="s">
        <v>51</v>
      </c>
      <c r="Y250" t="s">
        <v>52</v>
      </c>
      <c r="Z250" t="s">
        <v>53</v>
      </c>
      <c r="AA250" t="s">
        <v>53</v>
      </c>
      <c r="AC250" s="2">
        <v>0.77175118384288699</v>
      </c>
      <c r="AD250" s="2">
        <v>0.661657094955444</v>
      </c>
      <c r="AE250" s="2">
        <v>0.15663671493530301</v>
      </c>
      <c r="AF250" s="2">
        <v>0.20982205867767301</v>
      </c>
      <c r="AG250" s="2">
        <v>0.18301615118980399</v>
      </c>
      <c r="AH250" s="2">
        <v>-0.299209475517273</v>
      </c>
      <c r="AI250" s="2">
        <v>8.8077425956726102E-2</v>
      </c>
      <c r="AJ250" s="2">
        <v>0.56432726532997801</v>
      </c>
      <c r="AK250" s="2">
        <v>0.66125264089326297</v>
      </c>
      <c r="AL250" s="2">
        <v>0.447002246811881</v>
      </c>
      <c r="AM250" s="2">
        <v>0.58481079339981101</v>
      </c>
      <c r="AN250" s="2">
        <v>0.51779794692993197</v>
      </c>
      <c r="AO250" s="2">
        <v>0.48269748687744102</v>
      </c>
      <c r="AP250" s="2">
        <v>1.3421827554702801</v>
      </c>
    </row>
    <row r="251" spans="1:42" x14ac:dyDescent="0.3">
      <c r="A251" t="s">
        <v>133</v>
      </c>
      <c r="B251" s="3">
        <v>2018</v>
      </c>
      <c r="C251" s="3">
        <v>4.9578179999999996</v>
      </c>
      <c r="D251" s="3">
        <v>2127.9899999999998</v>
      </c>
      <c r="E251" t="s">
        <v>134</v>
      </c>
      <c r="G251" s="3">
        <v>92919.2109375</v>
      </c>
      <c r="H251" s="3">
        <v>112213.7421875</v>
      </c>
      <c r="I251" s="3">
        <v>112813.546875</v>
      </c>
      <c r="J251" s="3">
        <v>109766.4453125</v>
      </c>
      <c r="K251" s="3">
        <v>283472.625</v>
      </c>
      <c r="L251" s="3">
        <v>2.9718144796788701E-3</v>
      </c>
      <c r="M251" s="3">
        <v>0.79882508516311701</v>
      </c>
      <c r="N251" s="3">
        <v>0.78609329462051403</v>
      </c>
      <c r="O251" s="3">
        <v>92068.0625</v>
      </c>
      <c r="P251" s="3">
        <v>113800.84375</v>
      </c>
      <c r="Q251" s="3">
        <v>0.95836222171783503</v>
      </c>
      <c r="R251" s="3">
        <v>0.554892897605896</v>
      </c>
      <c r="S251" s="3">
        <v>0.54479360580444303</v>
      </c>
      <c r="T251" s="3">
        <v>0.55330377817153897</v>
      </c>
      <c r="U251" s="3">
        <v>0.56866347789764404</v>
      </c>
      <c r="W251" t="s">
        <v>50</v>
      </c>
      <c r="X251" t="s">
        <v>51</v>
      </c>
      <c r="Y251" t="s">
        <v>52</v>
      </c>
      <c r="Z251" t="s">
        <v>53</v>
      </c>
      <c r="AA251" t="s">
        <v>53</v>
      </c>
      <c r="AC251" s="2">
        <v>0.77718245806041897</v>
      </c>
      <c r="AD251" s="2">
        <v>0.63632911443710305</v>
      </c>
      <c r="AE251" s="2">
        <v>0.17577804625034299</v>
      </c>
      <c r="AF251" s="2">
        <v>0.210188344120979</v>
      </c>
      <c r="AG251" s="2">
        <v>0.170121565461159</v>
      </c>
      <c r="AH251" s="2">
        <v>-0.28282231092452997</v>
      </c>
      <c r="AI251" s="2">
        <v>9.0405292809009594E-2</v>
      </c>
      <c r="AJ251" s="2">
        <v>0.58001131862467503</v>
      </c>
      <c r="AK251" s="2">
        <v>0.59428743980215704</v>
      </c>
      <c r="AL251" s="2">
        <v>0.43817471909759198</v>
      </c>
      <c r="AM251" s="2">
        <v>0.60254889726638805</v>
      </c>
      <c r="AN251" s="2">
        <v>0.53352677822113004</v>
      </c>
      <c r="AO251" s="2">
        <v>0.42710703611373901</v>
      </c>
      <c r="AP251" s="2">
        <v>1.10543572902679</v>
      </c>
    </row>
    <row r="252" spans="1:42" x14ac:dyDescent="0.3">
      <c r="A252" t="s">
        <v>133</v>
      </c>
      <c r="B252" s="3">
        <v>2019</v>
      </c>
      <c r="C252" s="3">
        <v>4.9995529999999997</v>
      </c>
      <c r="D252" s="3">
        <v>2069.25</v>
      </c>
      <c r="E252" t="s">
        <v>134</v>
      </c>
      <c r="G252" s="3">
        <v>98908</v>
      </c>
      <c r="H252" s="3">
        <v>118615.3984375</v>
      </c>
      <c r="I252" s="3">
        <v>122145.5390625</v>
      </c>
      <c r="J252" s="3">
        <v>119441.71875</v>
      </c>
      <c r="K252" s="3">
        <v>341018.78125</v>
      </c>
      <c r="L252" s="3">
        <v>3.4286687150597598E-3</v>
      </c>
      <c r="M252" s="3">
        <v>0.79479545354843095</v>
      </c>
      <c r="N252" s="3">
        <v>0.75952315330505404</v>
      </c>
      <c r="O252" s="3">
        <v>94399.2734375</v>
      </c>
      <c r="P252" s="3">
        <v>114054.21875</v>
      </c>
      <c r="Q252" s="3">
        <v>0.96483600139617898</v>
      </c>
      <c r="R252" s="3">
        <v>0.55775392055511497</v>
      </c>
      <c r="S252" s="3">
        <v>0.52784222364425704</v>
      </c>
      <c r="T252" s="3">
        <v>0.52738451957702603</v>
      </c>
      <c r="U252" s="3">
        <v>0.53932297229766901</v>
      </c>
      <c r="W252" t="s">
        <v>50</v>
      </c>
      <c r="X252" t="s">
        <v>54</v>
      </c>
      <c r="Y252" t="s">
        <v>52</v>
      </c>
      <c r="Z252" t="s">
        <v>53</v>
      </c>
      <c r="AA252" t="s">
        <v>53</v>
      </c>
      <c r="AC252" s="2">
        <v>0.78541304320111704</v>
      </c>
      <c r="AD252" s="2">
        <v>0.61435538530349698</v>
      </c>
      <c r="AE252" s="2">
        <v>0.164995953440666</v>
      </c>
      <c r="AF252" s="2">
        <v>0.213730469346046</v>
      </c>
      <c r="AG252" s="2">
        <v>0.15968835353851299</v>
      </c>
      <c r="AH252" s="2">
        <v>-0.253922909498215</v>
      </c>
      <c r="AI252" s="2">
        <v>0.10115277767181401</v>
      </c>
      <c r="AJ252" s="2">
        <v>0.56442184700290599</v>
      </c>
      <c r="AK252" s="2">
        <v>0.52508751523116404</v>
      </c>
      <c r="AL252" s="2">
        <v>0.42269632303647198</v>
      </c>
      <c r="AM252" s="2">
        <v>0.60041534900665305</v>
      </c>
      <c r="AN252" s="2">
        <v>0.53105217218399103</v>
      </c>
      <c r="AO252" s="2">
        <v>0.37062820792198198</v>
      </c>
      <c r="AP252" s="2">
        <v>0.94506090879440297</v>
      </c>
    </row>
    <row r="253" spans="1:42" x14ac:dyDescent="0.3">
      <c r="A253" t="s">
        <v>133</v>
      </c>
      <c r="B253" s="3">
        <v>2020</v>
      </c>
      <c r="C253" s="3">
        <v>5.0343200000000001</v>
      </c>
      <c r="D253" s="3">
        <v>1929.48</v>
      </c>
      <c r="E253" t="s">
        <v>134</v>
      </c>
      <c r="G253" s="3">
        <v>89549.6328125</v>
      </c>
      <c r="H253" s="3">
        <v>110524.3828125</v>
      </c>
      <c r="I253" s="3">
        <v>114738.8671875</v>
      </c>
      <c r="J253" s="3">
        <v>112292.453125</v>
      </c>
      <c r="K253" s="3">
        <v>394377.03125</v>
      </c>
      <c r="L253" s="3">
        <v>3.7246614228934102E-3</v>
      </c>
      <c r="M253" s="3">
        <v>0.77158647775650002</v>
      </c>
      <c r="N253" s="3">
        <v>0.728543341159821</v>
      </c>
      <c r="O253" s="3">
        <v>89371.1015625</v>
      </c>
      <c r="P253" s="3">
        <v>108533.6171875</v>
      </c>
      <c r="Q253" s="3">
        <v>1.00614309310913</v>
      </c>
      <c r="R253" s="3">
        <v>0.56291723251342796</v>
      </c>
      <c r="S253" s="3">
        <v>0.55855858325958296</v>
      </c>
      <c r="T253" s="3">
        <v>0.54380536079406705</v>
      </c>
      <c r="U253" s="3">
        <v>0.55565279722213801</v>
      </c>
      <c r="W253" t="s">
        <v>50</v>
      </c>
      <c r="X253" t="s">
        <v>54</v>
      </c>
      <c r="Y253" t="s">
        <v>52</v>
      </c>
      <c r="Z253" t="s">
        <v>53</v>
      </c>
      <c r="AA253" t="s">
        <v>53</v>
      </c>
      <c r="AC253" s="2">
        <v>0.789116154710928</v>
      </c>
      <c r="AD253" s="2">
        <v>0.58319044113159202</v>
      </c>
      <c r="AE253" s="2">
        <v>0.18678681552410101</v>
      </c>
      <c r="AF253" s="2">
        <v>0.21427756547927901</v>
      </c>
      <c r="AG253" s="2">
        <v>0.15166355669498399</v>
      </c>
      <c r="AH253" s="2">
        <v>-0.231962069869041</v>
      </c>
      <c r="AI253" s="2">
        <v>9.6043668687343597E-2</v>
      </c>
      <c r="AJ253" s="2">
        <v>0.59509848387555897</v>
      </c>
      <c r="AK253" s="2">
        <v>0.48081796299111501</v>
      </c>
      <c r="AL253" s="2">
        <v>0.45910935144989401</v>
      </c>
      <c r="AM253" s="2">
        <v>0.60542839765548695</v>
      </c>
      <c r="AN253" s="2">
        <v>0.53792691230773904</v>
      </c>
      <c r="AO253" s="2">
        <v>0.32836252450942999</v>
      </c>
      <c r="AP253" s="2">
        <v>0.86947268247604403</v>
      </c>
    </row>
    <row r="254" spans="1:42" x14ac:dyDescent="0.3">
      <c r="A254" t="s">
        <v>135</v>
      </c>
      <c r="B254" s="3">
        <v>2015</v>
      </c>
      <c r="C254" s="3">
        <v>0.16661200000000001</v>
      </c>
      <c r="D254" s="3"/>
      <c r="E254" t="s">
        <v>136</v>
      </c>
      <c r="G254" s="3">
        <v>3539.41137695313</v>
      </c>
      <c r="H254" s="3">
        <v>4699.091796875</v>
      </c>
      <c r="I254" s="3">
        <v>4220.97607421875</v>
      </c>
      <c r="J254" s="3">
        <v>3888.001953125</v>
      </c>
      <c r="K254" s="3"/>
      <c r="L254" s="3"/>
      <c r="M254" s="3"/>
      <c r="N254" s="3"/>
      <c r="O254" s="3">
        <v>3931.9404296875</v>
      </c>
      <c r="P254" s="3">
        <v>5384.650390625</v>
      </c>
      <c r="Q254" s="3"/>
      <c r="R254" s="3">
        <v>0.66831600666046098</v>
      </c>
      <c r="S254" s="3">
        <v>0.73419082164764404</v>
      </c>
      <c r="T254" s="3">
        <v>0.72466158866882302</v>
      </c>
      <c r="U254" s="3">
        <v>0.78672271966934204</v>
      </c>
      <c r="W254" t="s">
        <v>50</v>
      </c>
      <c r="X254" t="s">
        <v>54</v>
      </c>
      <c r="Y254" t="s">
        <v>52</v>
      </c>
      <c r="Z254" t="s">
        <v>53</v>
      </c>
      <c r="AC254" s="2">
        <v>0.55289203982623403</v>
      </c>
      <c r="AD254" s="2">
        <v>0.74298673868179299</v>
      </c>
      <c r="AE254" s="2">
        <v>0.29827162623405501</v>
      </c>
      <c r="AF254" s="2">
        <v>0.16735523939132699</v>
      </c>
      <c r="AG254" s="2">
        <v>0.93176317214965798</v>
      </c>
      <c r="AH254" s="2">
        <v>-1.1403611898422199</v>
      </c>
      <c r="AI254" s="2">
        <v>-1.5563040506094701E-5</v>
      </c>
      <c r="AJ254" s="2">
        <v>0.73311197137161499</v>
      </c>
      <c r="AK254" s="2">
        <v>0.69557773895129305</v>
      </c>
      <c r="AL254" s="2">
        <v>0.7389805412296</v>
      </c>
      <c r="AM254" s="2">
        <v>0.57832157611846902</v>
      </c>
      <c r="AN254" s="2">
        <v>0.55066734552383401</v>
      </c>
      <c r="AO254" s="2"/>
      <c r="AP254" s="2"/>
    </row>
    <row r="255" spans="1:42" x14ac:dyDescent="0.3">
      <c r="A255" t="s">
        <v>135</v>
      </c>
      <c r="B255" s="3">
        <v>2016</v>
      </c>
      <c r="C255" s="3">
        <v>0.16778199999999999</v>
      </c>
      <c r="D255" s="3"/>
      <c r="E255" t="s">
        <v>136</v>
      </c>
      <c r="G255" s="3">
        <v>3453.29321289063</v>
      </c>
      <c r="H255" s="3">
        <v>4703.5546875</v>
      </c>
      <c r="I255" s="3">
        <v>4160.2216796875</v>
      </c>
      <c r="J255" s="3">
        <v>3899.814453125</v>
      </c>
      <c r="K255" s="3"/>
      <c r="L255" s="3"/>
      <c r="M255" s="3"/>
      <c r="N255" s="3"/>
      <c r="O255" s="3">
        <v>3865.466796875</v>
      </c>
      <c r="P255" s="3">
        <v>5410.08740234375</v>
      </c>
      <c r="Q255" s="3"/>
      <c r="R255" s="3">
        <v>0.67876833677291903</v>
      </c>
      <c r="S255" s="3">
        <v>0.73942857980728205</v>
      </c>
      <c r="T255" s="3">
        <v>0.72705030441284202</v>
      </c>
      <c r="U255" s="3">
        <v>0.77559840679168701</v>
      </c>
      <c r="W255" t="s">
        <v>50</v>
      </c>
      <c r="X255" t="s">
        <v>54</v>
      </c>
      <c r="Y255" t="s">
        <v>52</v>
      </c>
      <c r="Z255" t="s">
        <v>53</v>
      </c>
      <c r="AC255" s="2">
        <v>0.55331771625762305</v>
      </c>
      <c r="AD255" s="2">
        <v>0.71716344356536899</v>
      </c>
      <c r="AE255" s="2">
        <v>0.32059511542320301</v>
      </c>
      <c r="AF255" s="2">
        <v>0.168338462710381</v>
      </c>
      <c r="AG255" s="2">
        <v>0.83461272716522195</v>
      </c>
      <c r="AH255" s="2">
        <v>-1.04072737693787</v>
      </c>
      <c r="AI255" s="2">
        <v>1.7627184206503399E-5</v>
      </c>
      <c r="AJ255" s="2">
        <v>0.73923154798935897</v>
      </c>
      <c r="AK255" s="2">
        <v>0.69286068854890104</v>
      </c>
      <c r="AL255" s="2">
        <v>0.74026804816208103</v>
      </c>
      <c r="AM255" s="2">
        <v>0.58541190624237105</v>
      </c>
      <c r="AN255" s="2">
        <v>0.56681567430496205</v>
      </c>
      <c r="AO255" s="2"/>
      <c r="AP255" s="2"/>
    </row>
    <row r="256" spans="1:42" x14ac:dyDescent="0.3">
      <c r="A256" t="s">
        <v>135</v>
      </c>
      <c r="B256" s="3">
        <v>2017</v>
      </c>
      <c r="C256" s="3">
        <v>0.168516</v>
      </c>
      <c r="D256" s="3"/>
      <c r="E256" t="s">
        <v>136</v>
      </c>
      <c r="G256" s="3">
        <v>3764.43627929688</v>
      </c>
      <c r="H256" s="3">
        <v>5049.349609375</v>
      </c>
      <c r="I256" s="3">
        <v>4187.9306640625</v>
      </c>
      <c r="J256" s="3">
        <v>3823.85180664063</v>
      </c>
      <c r="K256" s="3"/>
      <c r="L256" s="3"/>
      <c r="M256" s="3"/>
      <c r="N256" s="3"/>
      <c r="O256" s="3">
        <v>4143.14990234375</v>
      </c>
      <c r="P256" s="3">
        <v>5695.76904296875</v>
      </c>
      <c r="Q256" s="3"/>
      <c r="R256" s="3">
        <v>0.67876833677291903</v>
      </c>
      <c r="S256" s="3">
        <v>0.73856753110885598</v>
      </c>
      <c r="T256" s="3">
        <v>0.72432750463485696</v>
      </c>
      <c r="U256" s="3">
        <v>0.79329258203506503</v>
      </c>
      <c r="W256" t="s">
        <v>51</v>
      </c>
      <c r="X256" t="s">
        <v>54</v>
      </c>
      <c r="Y256" t="s">
        <v>52</v>
      </c>
      <c r="Z256" t="s">
        <v>53</v>
      </c>
      <c r="AC256" s="2">
        <v>0.54613319294315599</v>
      </c>
      <c r="AD256" s="2">
        <v>0.78168594837188698</v>
      </c>
      <c r="AE256" s="2">
        <v>0.33602592349052401</v>
      </c>
      <c r="AF256" s="2">
        <v>0.20277592539787301</v>
      </c>
      <c r="AG256" s="2">
        <v>0.79495418071746804</v>
      </c>
      <c r="AH256" s="2">
        <v>-1.11544513702393</v>
      </c>
      <c r="AI256" s="2">
        <v>3.1606793982064102E-6</v>
      </c>
      <c r="AJ256" s="2">
        <v>0.75783956890651705</v>
      </c>
      <c r="AK256" s="2">
        <v>0.68260828682888997</v>
      </c>
      <c r="AL256" s="2">
        <v>0.66427530725478701</v>
      </c>
      <c r="AM256" s="2">
        <v>0.59374344348907504</v>
      </c>
      <c r="AN256" s="2">
        <v>0.569435834884644</v>
      </c>
      <c r="AO256" s="2"/>
      <c r="AP256" s="2"/>
    </row>
    <row r="257" spans="1:42" x14ac:dyDescent="0.3">
      <c r="A257" t="s">
        <v>135</v>
      </c>
      <c r="B257" s="3">
        <v>2018</v>
      </c>
      <c r="C257" s="3">
        <v>0.18158299999999999</v>
      </c>
      <c r="D257" s="3"/>
      <c r="E257" t="s">
        <v>136</v>
      </c>
      <c r="G257" s="3">
        <v>3662.97924804688</v>
      </c>
      <c r="H257" s="3">
        <v>5013.35791015625</v>
      </c>
      <c r="I257" s="3">
        <v>4128.75390625</v>
      </c>
      <c r="J257" s="3">
        <v>3778.74780273438</v>
      </c>
      <c r="K257" s="3"/>
      <c r="L257" s="3"/>
      <c r="M257" s="3"/>
      <c r="N257" s="3"/>
      <c r="O257" s="3">
        <v>4065.85522460938</v>
      </c>
      <c r="P257" s="3">
        <v>5615.52734375</v>
      </c>
      <c r="Q257" s="3"/>
      <c r="R257" s="3">
        <v>0.67876833677291903</v>
      </c>
      <c r="S257" s="3">
        <v>0.76411700248718295</v>
      </c>
      <c r="T257" s="3">
        <v>0.73784112930297896</v>
      </c>
      <c r="U257" s="3">
        <v>0.80618369579315197</v>
      </c>
      <c r="W257" t="s">
        <v>50</v>
      </c>
      <c r="X257" t="s">
        <v>54</v>
      </c>
      <c r="Y257" t="s">
        <v>52</v>
      </c>
      <c r="Z257" t="s">
        <v>53</v>
      </c>
      <c r="AC257" s="2">
        <v>0.50243740152563399</v>
      </c>
      <c r="AD257" s="2">
        <v>0.78123211860656705</v>
      </c>
      <c r="AE257" s="2">
        <v>0.35736140608787498</v>
      </c>
      <c r="AF257" s="2">
        <v>0.188131138682365</v>
      </c>
      <c r="AG257" s="2">
        <v>0.900654256343842</v>
      </c>
      <c r="AH257" s="2">
        <v>-1.2273806333541899</v>
      </c>
      <c r="AI257" s="2">
        <v>1.7130040532720199E-6</v>
      </c>
      <c r="AJ257" s="2">
        <v>0.77097021928352205</v>
      </c>
      <c r="AK257" s="2">
        <v>0.666566444273615</v>
      </c>
      <c r="AL257" s="2">
        <v>0.73565850700758895</v>
      </c>
      <c r="AM257" s="2">
        <v>0.60646784305572499</v>
      </c>
      <c r="AN257" s="2">
        <v>0.58575767278671298</v>
      </c>
      <c r="AO257" s="2"/>
      <c r="AP257" s="2"/>
    </row>
    <row r="258" spans="1:42" x14ac:dyDescent="0.3">
      <c r="A258" t="s">
        <v>135</v>
      </c>
      <c r="B258" s="3">
        <v>2019</v>
      </c>
      <c r="C258" s="3">
        <v>0.18954299999999999</v>
      </c>
      <c r="D258" s="3"/>
      <c r="E258" t="s">
        <v>136</v>
      </c>
      <c r="G258" s="3">
        <v>3371.49609375</v>
      </c>
      <c r="H258" s="3">
        <v>4649.1748046875</v>
      </c>
      <c r="I258" s="3">
        <v>4149.9609375</v>
      </c>
      <c r="J258" s="3">
        <v>3934.68115234375</v>
      </c>
      <c r="K258" s="3"/>
      <c r="L258" s="3"/>
      <c r="M258" s="3"/>
      <c r="N258" s="3"/>
      <c r="O258" s="3">
        <v>3620.64184570313</v>
      </c>
      <c r="P258" s="3">
        <v>5014.88037109375</v>
      </c>
      <c r="Q258" s="3"/>
      <c r="R258" s="3">
        <v>0.67876833677291903</v>
      </c>
      <c r="S258" s="3">
        <v>0.758686423301697</v>
      </c>
      <c r="T258" s="3">
        <v>0.72919338941574097</v>
      </c>
      <c r="U258" s="3">
        <v>0.76908999681472801</v>
      </c>
      <c r="W258" t="s">
        <v>50</v>
      </c>
      <c r="X258" t="s">
        <v>54</v>
      </c>
      <c r="Y258" t="s">
        <v>52</v>
      </c>
      <c r="Z258" t="s">
        <v>53</v>
      </c>
      <c r="AC258" s="2">
        <v>0.48758362634166802</v>
      </c>
      <c r="AD258" s="2">
        <v>0.68730354309081998</v>
      </c>
      <c r="AE258" s="2">
        <v>0.324722349643707</v>
      </c>
      <c r="AF258" s="2">
        <v>0.16956287622451799</v>
      </c>
      <c r="AG258" s="2">
        <v>0.79625105857849099</v>
      </c>
      <c r="AH258" s="2">
        <v>-0.97784715890884399</v>
      </c>
      <c r="AI258" s="2">
        <v>7.3278097261208999E-6</v>
      </c>
      <c r="AJ258" s="2">
        <v>0.76854937250268196</v>
      </c>
      <c r="AK258" s="2">
        <v>0.65136818006875397</v>
      </c>
      <c r="AL258" s="2">
        <v>0.71870821946681596</v>
      </c>
      <c r="AM258" s="2">
        <v>0.61806374788284302</v>
      </c>
      <c r="AN258" s="2">
        <v>0.59790146350860596</v>
      </c>
      <c r="AO258" s="2"/>
      <c r="AP258" s="2"/>
    </row>
    <row r="259" spans="1:42" x14ac:dyDescent="0.3">
      <c r="A259" t="s">
        <v>135</v>
      </c>
      <c r="B259" s="3">
        <v>2020</v>
      </c>
      <c r="C259" s="3">
        <v>0.18501799999999999</v>
      </c>
      <c r="D259" s="3"/>
      <c r="E259" t="s">
        <v>136</v>
      </c>
      <c r="G259" s="3">
        <v>3076.41748046875</v>
      </c>
      <c r="H259" s="3">
        <v>4165.66357421875</v>
      </c>
      <c r="I259" s="3">
        <v>3453.13012695313</v>
      </c>
      <c r="J259" s="3">
        <v>3274.69506835938</v>
      </c>
      <c r="K259" s="3"/>
      <c r="L259" s="3"/>
      <c r="M259" s="3"/>
      <c r="N259" s="3"/>
      <c r="O259" s="3">
        <v>3190.86840820313</v>
      </c>
      <c r="P259" s="3">
        <v>4404.38427734375</v>
      </c>
      <c r="Q259" s="3"/>
      <c r="R259" s="3">
        <v>0.67876833677291903</v>
      </c>
      <c r="S259" s="3">
        <v>0.75240856409072898</v>
      </c>
      <c r="T259" s="3">
        <v>0.73392182588577304</v>
      </c>
      <c r="U259" s="3">
        <v>0.77391254901885997</v>
      </c>
      <c r="W259" t="s">
        <v>50</v>
      </c>
      <c r="X259" t="s">
        <v>54</v>
      </c>
      <c r="Y259" t="s">
        <v>52</v>
      </c>
      <c r="Z259" t="s">
        <v>53</v>
      </c>
      <c r="AC259" s="2">
        <v>0.13005468518649899</v>
      </c>
      <c r="AD259" s="2">
        <v>0.75001418590545699</v>
      </c>
      <c r="AE259" s="2">
        <v>0.33262512087821999</v>
      </c>
      <c r="AF259" s="2">
        <v>0.18943738937377899</v>
      </c>
      <c r="AG259" s="2">
        <v>0.55765455961227395</v>
      </c>
      <c r="AH259" s="2">
        <v>-0.82973557710647605</v>
      </c>
      <c r="AI259" s="2">
        <v>4.2517863221291901E-6</v>
      </c>
      <c r="AJ259" s="2">
        <v>0.76666562936771399</v>
      </c>
      <c r="AK259" s="2">
        <v>0.68170875995410696</v>
      </c>
      <c r="AL259" s="2">
        <v>0.69596242261158403</v>
      </c>
      <c r="AM259" s="2">
        <v>0.64158815145492598</v>
      </c>
      <c r="AN259" s="2">
        <v>0.62366878986358598</v>
      </c>
      <c r="AO259" s="2"/>
      <c r="AP259" s="2"/>
    </row>
    <row r="260" spans="1:42" x14ac:dyDescent="0.3">
      <c r="A260" t="s">
        <v>137</v>
      </c>
      <c r="B260" s="3">
        <v>2015</v>
      </c>
      <c r="C260" s="3">
        <v>6.1642000000000002E-2</v>
      </c>
      <c r="D260" s="3"/>
      <c r="E260" t="s">
        <v>138</v>
      </c>
      <c r="G260" s="3">
        <v>2515.8486328125</v>
      </c>
      <c r="H260" s="3">
        <v>3216.0478515625</v>
      </c>
      <c r="I260" s="3">
        <v>4172.33984375</v>
      </c>
      <c r="J260" s="3">
        <v>4234.826171875</v>
      </c>
      <c r="K260" s="3">
        <v>14868.6357421875</v>
      </c>
      <c r="L260" s="3">
        <v>1.52578213601373E-4</v>
      </c>
      <c r="M260" s="3"/>
      <c r="N260" s="3"/>
      <c r="O260" s="3">
        <v>2539.41674804688</v>
      </c>
      <c r="P260" s="3">
        <v>3452.08227539063</v>
      </c>
      <c r="Q260" s="3"/>
      <c r="R260" s="3">
        <v>0.49903500080108598</v>
      </c>
      <c r="S260" s="3">
        <v>1.18479657173157</v>
      </c>
      <c r="T260" s="3">
        <v>1.12842392921448</v>
      </c>
      <c r="U260" s="3">
        <v>1.1117734909057599</v>
      </c>
      <c r="W260" t="s">
        <v>50</v>
      </c>
      <c r="X260" t="s">
        <v>51</v>
      </c>
      <c r="Y260" t="s">
        <v>52</v>
      </c>
      <c r="Z260" t="s">
        <v>53</v>
      </c>
      <c r="AA260" t="s">
        <v>53</v>
      </c>
      <c r="AC260" s="2">
        <v>0.76707244337867098</v>
      </c>
      <c r="AD260" s="2">
        <v>0.51158684492111195</v>
      </c>
      <c r="AE260" s="2">
        <v>0.16534310579299899</v>
      </c>
      <c r="AF260" s="2">
        <v>8.2498610019683796E-2</v>
      </c>
      <c r="AG260" s="2">
        <v>1.1461813449859599</v>
      </c>
      <c r="AH260" s="2">
        <v>-0.90560984611511197</v>
      </c>
      <c r="AI260" s="2">
        <v>0</v>
      </c>
      <c r="AJ260" s="2">
        <v>1.17357321907342</v>
      </c>
      <c r="AK260" s="2">
        <v>0.92587436615211605</v>
      </c>
      <c r="AL260" s="2">
        <v>1.2543942274766999</v>
      </c>
      <c r="AM260" s="2">
        <v>0.62367045879364003</v>
      </c>
      <c r="AN260" s="2">
        <v>0.507970690727234</v>
      </c>
      <c r="AO260" s="2">
        <v>0.66424328088760398</v>
      </c>
      <c r="AP260" s="2">
        <v>2.0653266906738299</v>
      </c>
    </row>
    <row r="261" spans="1:42" x14ac:dyDescent="0.3">
      <c r="A261" t="s">
        <v>137</v>
      </c>
      <c r="B261" s="3">
        <v>2016</v>
      </c>
      <c r="C261" s="3">
        <v>6.3100000000000003E-2</v>
      </c>
      <c r="D261" s="3"/>
      <c r="E261" t="s">
        <v>138</v>
      </c>
      <c r="G261" s="3">
        <v>2605.00903320313</v>
      </c>
      <c r="H261" s="3">
        <v>3308.07348632813</v>
      </c>
      <c r="I261" s="3">
        <v>4273.36962890625</v>
      </c>
      <c r="J261" s="3">
        <v>3648.02709960938</v>
      </c>
      <c r="K261" s="3">
        <v>14862.2412109375</v>
      </c>
      <c r="L261" s="3">
        <v>1.4822676894254999E-4</v>
      </c>
      <c r="M261" s="3"/>
      <c r="N261" s="3"/>
      <c r="O261" s="3">
        <v>2659.91650390625</v>
      </c>
      <c r="P261" s="3">
        <v>3622.33813476563</v>
      </c>
      <c r="Q261" s="3"/>
      <c r="R261" s="3">
        <v>0.49675464630126998</v>
      </c>
      <c r="S261" s="3">
        <v>1.1994812488555899</v>
      </c>
      <c r="T261" s="3">
        <v>1.1488175392150899</v>
      </c>
      <c r="U261" s="3">
        <v>1.34574711322784</v>
      </c>
      <c r="W261" t="s">
        <v>50</v>
      </c>
      <c r="X261" t="s">
        <v>51</v>
      </c>
      <c r="Y261" t="s">
        <v>52</v>
      </c>
      <c r="Z261" t="s">
        <v>62</v>
      </c>
      <c r="AA261" t="s">
        <v>53</v>
      </c>
      <c r="AC261" s="2">
        <v>0.77324255126849295</v>
      </c>
      <c r="AD261" s="2">
        <v>0.61160159111023005</v>
      </c>
      <c r="AE261" s="2">
        <v>0.19272455573082001</v>
      </c>
      <c r="AF261" s="2">
        <v>0.10248547792434699</v>
      </c>
      <c r="AG261" s="2">
        <v>1.2419747114181501</v>
      </c>
      <c r="AH261" s="2">
        <v>-1.1465585231780999</v>
      </c>
      <c r="AI261" s="2">
        <v>-2.2278684191405799E-3</v>
      </c>
      <c r="AJ261" s="2">
        <v>1.18832292163608</v>
      </c>
      <c r="AK261" s="2">
        <v>0.96109732638144596</v>
      </c>
      <c r="AL261" s="2">
        <v>1.26607077204045</v>
      </c>
      <c r="AM261" s="2">
        <v>0.694200038909912</v>
      </c>
      <c r="AN261" s="2">
        <v>0.48422709107398998</v>
      </c>
      <c r="AO261" s="2">
        <v>0.67330169677734397</v>
      </c>
      <c r="AP261" s="2">
        <v>2.1574356555938698</v>
      </c>
    </row>
    <row r="262" spans="1:42" x14ac:dyDescent="0.3">
      <c r="A262" t="s">
        <v>137</v>
      </c>
      <c r="B262" s="3">
        <v>2017</v>
      </c>
      <c r="C262" s="3">
        <v>6.4534999999999995E-2</v>
      </c>
      <c r="D262" s="3"/>
      <c r="E262" t="s">
        <v>138</v>
      </c>
      <c r="G262" s="3">
        <v>2591.41137695313</v>
      </c>
      <c r="H262" s="3">
        <v>3346.26220703125</v>
      </c>
      <c r="I262" s="3">
        <v>4357.65478515625</v>
      </c>
      <c r="J262" s="3">
        <v>4540.69970703125</v>
      </c>
      <c r="K262" s="3">
        <v>15121.921875</v>
      </c>
      <c r="L262" s="3">
        <v>1.4728255337104201E-4</v>
      </c>
      <c r="M262" s="3"/>
      <c r="N262" s="3"/>
      <c r="O262" s="3">
        <v>2705.396484375</v>
      </c>
      <c r="P262" s="3">
        <v>3713.93823242188</v>
      </c>
      <c r="Q262" s="3"/>
      <c r="R262" s="3">
        <v>0.48829632997512801</v>
      </c>
      <c r="S262" s="3">
        <v>1.24492180347443</v>
      </c>
      <c r="T262" s="3">
        <v>1.18556463718414</v>
      </c>
      <c r="U262" s="3">
        <v>1.13777208328247</v>
      </c>
      <c r="W262" t="s">
        <v>51</v>
      </c>
      <c r="X262" t="s">
        <v>51</v>
      </c>
      <c r="Y262" t="s">
        <v>52</v>
      </c>
      <c r="Z262" t="s">
        <v>62</v>
      </c>
      <c r="AA262" t="s">
        <v>53</v>
      </c>
      <c r="AC262" s="2">
        <v>0.76678778453388996</v>
      </c>
      <c r="AD262" s="2">
        <v>0.48400783538818398</v>
      </c>
      <c r="AE262" s="2">
        <v>0.166241079568863</v>
      </c>
      <c r="AF262" s="2">
        <v>8.6699634790420504E-2</v>
      </c>
      <c r="AG262" s="2">
        <v>1.1726052761077901</v>
      </c>
      <c r="AH262" s="2">
        <v>-0.89978981018066395</v>
      </c>
      <c r="AI262" s="2">
        <v>-9.7640138119459204E-3</v>
      </c>
      <c r="AJ262" s="2">
        <v>1.24314622388826</v>
      </c>
      <c r="AK262" s="2">
        <v>0.98179077800002501</v>
      </c>
      <c r="AL262" s="2">
        <v>1.2548341675780199</v>
      </c>
      <c r="AM262" s="2">
        <v>0.65591478347778298</v>
      </c>
      <c r="AN262" s="2">
        <v>0.54895931482315097</v>
      </c>
      <c r="AO262" s="2">
        <v>0.70329123735427901</v>
      </c>
      <c r="AP262" s="2">
        <v>2.2394363880157502</v>
      </c>
    </row>
    <row r="263" spans="1:42" x14ac:dyDescent="0.3">
      <c r="A263" t="s">
        <v>137</v>
      </c>
      <c r="B263" s="3">
        <v>2018</v>
      </c>
      <c r="C263" s="3">
        <v>6.5941E-2</v>
      </c>
      <c r="D263" s="3"/>
      <c r="E263" t="s">
        <v>138</v>
      </c>
      <c r="G263" s="3">
        <v>2707.92456054688</v>
      </c>
      <c r="H263" s="3">
        <v>3627.65600585938</v>
      </c>
      <c r="I263" s="3">
        <v>4631.0361328125</v>
      </c>
      <c r="J263" s="3">
        <v>4206.9765625</v>
      </c>
      <c r="K263" s="3">
        <v>16099.474609375</v>
      </c>
      <c r="L263" s="3">
        <v>1.5352715854533E-4</v>
      </c>
      <c r="M263" s="3"/>
      <c r="N263" s="3"/>
      <c r="O263" s="3">
        <v>2834.87353515625</v>
      </c>
      <c r="P263" s="3">
        <v>3972.40014648438</v>
      </c>
      <c r="Q263" s="3"/>
      <c r="R263" s="3">
        <v>0.481373071670532</v>
      </c>
      <c r="S263" s="3">
        <v>1.2739007472991899</v>
      </c>
      <c r="T263" s="3">
        <v>1.1941558122634901</v>
      </c>
      <c r="U263" s="3">
        <v>1.31452572345734</v>
      </c>
      <c r="W263" t="s">
        <v>50</v>
      </c>
      <c r="X263" t="s">
        <v>51</v>
      </c>
      <c r="Y263" t="s">
        <v>52</v>
      </c>
      <c r="Z263" t="s">
        <v>62</v>
      </c>
      <c r="AA263" t="s">
        <v>53</v>
      </c>
      <c r="AC263" s="2">
        <v>0.76638957687985998</v>
      </c>
      <c r="AD263" s="2">
        <v>0.54495269060134899</v>
      </c>
      <c r="AE263" s="2">
        <v>0.21862050890922499</v>
      </c>
      <c r="AF263" s="2">
        <v>9.8722048103809398E-2</v>
      </c>
      <c r="AG263" s="2">
        <v>1.25575971603394</v>
      </c>
      <c r="AH263" s="2">
        <v>-1.1222273111343399</v>
      </c>
      <c r="AI263" s="2">
        <v>4.1723228059709098E-3</v>
      </c>
      <c r="AJ263" s="2">
        <v>1.27747247799133</v>
      </c>
      <c r="AK263" s="2">
        <v>0.95936613319588304</v>
      </c>
      <c r="AL263" s="2">
        <v>1.25418442615263</v>
      </c>
      <c r="AM263" s="2">
        <v>0.699024617671967</v>
      </c>
      <c r="AN263" s="2">
        <v>0.53329730033874501</v>
      </c>
      <c r="AO263" s="2">
        <v>0.70350044965743996</v>
      </c>
      <c r="AP263" s="2">
        <v>2.2088935375213601</v>
      </c>
    </row>
    <row r="264" spans="1:42" x14ac:dyDescent="0.3">
      <c r="A264" t="s">
        <v>137</v>
      </c>
      <c r="B264" s="3">
        <v>2019</v>
      </c>
      <c r="C264" s="3">
        <v>6.7326999999999998E-2</v>
      </c>
      <c r="D264" s="3"/>
      <c r="E264" t="s">
        <v>138</v>
      </c>
      <c r="G264" s="3">
        <v>2906.80493164063</v>
      </c>
      <c r="H264" s="3">
        <v>3916.21850585938</v>
      </c>
      <c r="I264" s="3">
        <v>4883.5576171875</v>
      </c>
      <c r="J264" s="3">
        <v>4433.072265625</v>
      </c>
      <c r="K264" s="3">
        <v>17204.35546875</v>
      </c>
      <c r="L264" s="3">
        <v>1.5903152234386699E-4</v>
      </c>
      <c r="M264" s="3"/>
      <c r="N264" s="3"/>
      <c r="O264" s="3">
        <v>2990.3583984375</v>
      </c>
      <c r="P264" s="3">
        <v>4181.34423828125</v>
      </c>
      <c r="Q264" s="3"/>
      <c r="R264" s="3">
        <v>0.46890929341316201</v>
      </c>
      <c r="S264" s="3">
        <v>1.3078877925872801</v>
      </c>
      <c r="T264" s="3">
        <v>1.2167147397995</v>
      </c>
      <c r="U264" s="3">
        <v>1.3403562307357799</v>
      </c>
      <c r="W264" t="s">
        <v>50</v>
      </c>
      <c r="X264" t="s">
        <v>54</v>
      </c>
      <c r="Y264" t="s">
        <v>52</v>
      </c>
      <c r="Z264" t="s">
        <v>62</v>
      </c>
      <c r="AA264" t="s">
        <v>53</v>
      </c>
      <c r="AC264" s="2">
        <v>0.766607948059007</v>
      </c>
      <c r="AD264" s="2">
        <v>0.55043828487396196</v>
      </c>
      <c r="AE264" s="2">
        <v>0.227700680494308</v>
      </c>
      <c r="AF264" s="2">
        <v>0.105270631611347</v>
      </c>
      <c r="AG264" s="2">
        <v>1.2206169366836499</v>
      </c>
      <c r="AH264" s="2">
        <v>-1.1136320829391499</v>
      </c>
      <c r="AI264" s="2">
        <v>9.6055176109075598E-3</v>
      </c>
      <c r="AJ264" s="2">
        <v>1.3155408237919299</v>
      </c>
      <c r="AK264" s="2">
        <v>0.95416407977452899</v>
      </c>
      <c r="AL264" s="2">
        <v>1.26787181202592</v>
      </c>
      <c r="AM264" s="2">
        <v>0.70650058984756503</v>
      </c>
      <c r="AN264" s="2">
        <v>0.54752600193023704</v>
      </c>
      <c r="AO264" s="2">
        <v>0.71603471040725697</v>
      </c>
      <c r="AP264" s="2">
        <v>2.2569763660430899</v>
      </c>
    </row>
    <row r="265" spans="1:42" x14ac:dyDescent="0.3">
      <c r="A265" t="s">
        <v>137</v>
      </c>
      <c r="B265" s="3">
        <v>2020</v>
      </c>
      <c r="C265" s="3">
        <v>6.8683999999999995E-2</v>
      </c>
      <c r="D265" s="3"/>
      <c r="E265" t="s">
        <v>138</v>
      </c>
      <c r="G265" s="3">
        <v>2858.01928710938</v>
      </c>
      <c r="H265" s="3">
        <v>4031.88745117188</v>
      </c>
      <c r="I265" s="3">
        <v>4760.66845703125</v>
      </c>
      <c r="J265" s="3">
        <v>4386.2509765625</v>
      </c>
      <c r="K265" s="3">
        <v>19033.7265625</v>
      </c>
      <c r="L265" s="3">
        <v>1.6865390352904799E-4</v>
      </c>
      <c r="M265" s="3"/>
      <c r="N265" s="3"/>
      <c r="O265" s="3">
        <v>2867.37329101563</v>
      </c>
      <c r="P265" s="3">
        <v>4119.142578125</v>
      </c>
      <c r="Q265" s="3"/>
      <c r="R265" s="3">
        <v>0.48574149608612099</v>
      </c>
      <c r="S265" s="3">
        <v>1.29673075675964</v>
      </c>
      <c r="T265" s="3">
        <v>1.18793368339539</v>
      </c>
      <c r="U265" s="3">
        <v>1.2893375158309901</v>
      </c>
      <c r="W265" t="s">
        <v>50</v>
      </c>
      <c r="X265" t="s">
        <v>54</v>
      </c>
      <c r="Y265" t="s">
        <v>52</v>
      </c>
      <c r="Z265" t="s">
        <v>62</v>
      </c>
      <c r="AA265" t="s">
        <v>53</v>
      </c>
      <c r="AC265" s="2">
        <v>0.763673562566068</v>
      </c>
      <c r="AD265" s="2">
        <v>0.53248077630996704</v>
      </c>
      <c r="AE265" s="2">
        <v>0.26762449741363498</v>
      </c>
      <c r="AF265" s="2">
        <v>0.11910507082939099</v>
      </c>
      <c r="AG265" s="2">
        <v>1.0847371816635101</v>
      </c>
      <c r="AH265" s="2">
        <v>-1.00198674201965</v>
      </c>
      <c r="AI265" s="2">
        <v>-1.9607697613537299E-3</v>
      </c>
      <c r="AJ265" s="2">
        <v>1.31543145168811</v>
      </c>
      <c r="AK265" s="2">
        <v>0.92304496780398604</v>
      </c>
      <c r="AL265" s="2">
        <v>1.21312581650977</v>
      </c>
      <c r="AM265" s="2">
        <v>0.70639163255691495</v>
      </c>
      <c r="AN265" s="2">
        <v>0.565221548080444</v>
      </c>
      <c r="AO265" s="2">
        <v>0.69827604293823198</v>
      </c>
      <c r="AP265" s="2">
        <v>2.0477180480957</v>
      </c>
    </row>
    <row r="266" spans="1:42" x14ac:dyDescent="0.3">
      <c r="A266" t="s">
        <v>139</v>
      </c>
      <c r="B266" s="3">
        <v>2015</v>
      </c>
      <c r="C266" s="3">
        <v>0.84770000000000001</v>
      </c>
      <c r="D266" s="3">
        <v>1824.33</v>
      </c>
      <c r="E266" t="s">
        <v>74</v>
      </c>
      <c r="G266" s="3">
        <v>23737.021484375</v>
      </c>
      <c r="H266" s="3">
        <v>28869.544921875</v>
      </c>
      <c r="I266" s="3">
        <v>29688.51953125</v>
      </c>
      <c r="J266" s="3">
        <v>25572.53515625</v>
      </c>
      <c r="K266" s="3">
        <v>199460.359375</v>
      </c>
      <c r="L266" s="3">
        <v>1.9612284377217301E-3</v>
      </c>
      <c r="M266" s="3">
        <v>0.70373332500457797</v>
      </c>
      <c r="N266" s="3">
        <v>0.76645523309707597</v>
      </c>
      <c r="O266" s="3">
        <v>23716.021484375</v>
      </c>
      <c r="P266" s="3">
        <v>29592.302734375</v>
      </c>
      <c r="Q266" s="3">
        <v>0.90796756744384799</v>
      </c>
      <c r="R266" s="3">
        <v>0.56230914592742898</v>
      </c>
      <c r="S266" s="3">
        <v>0.70386719703674305</v>
      </c>
      <c r="T266" s="3">
        <v>0.67060679197311401</v>
      </c>
      <c r="U266" s="3">
        <v>0.77854317426681496</v>
      </c>
      <c r="W266" t="s">
        <v>50</v>
      </c>
      <c r="X266" t="s">
        <v>51</v>
      </c>
      <c r="Y266" t="s">
        <v>52</v>
      </c>
      <c r="Z266" t="s">
        <v>53</v>
      </c>
      <c r="AA266" t="s">
        <v>53</v>
      </c>
      <c r="AC266" s="2">
        <v>0.66970381237461996</v>
      </c>
      <c r="AD266" s="2">
        <v>0.768335521221161</v>
      </c>
      <c r="AE266" s="2">
        <v>0.200704485177994</v>
      </c>
      <c r="AF266" s="2">
        <v>0.15988777577877</v>
      </c>
      <c r="AG266" s="2">
        <v>0.225593596696854</v>
      </c>
      <c r="AH266" s="2">
        <v>-0.57125502824783303</v>
      </c>
      <c r="AI266" s="2">
        <v>0.216733694076538</v>
      </c>
      <c r="AJ266" s="2">
        <v>0.68204006160628505</v>
      </c>
      <c r="AK266" s="2">
        <v>0.51678321024537099</v>
      </c>
      <c r="AL266" s="2">
        <v>0.80875662664124404</v>
      </c>
      <c r="AM266" s="2">
        <v>0.58364003896713301</v>
      </c>
      <c r="AN266" s="2">
        <v>0.48826783895492598</v>
      </c>
      <c r="AO266" s="2">
        <v>0.38097527623176602</v>
      </c>
      <c r="AP266" s="2">
        <v>0.59363251924514804</v>
      </c>
    </row>
    <row r="267" spans="1:42" x14ac:dyDescent="0.3">
      <c r="A267" t="s">
        <v>139</v>
      </c>
      <c r="B267" s="3">
        <v>2016</v>
      </c>
      <c r="C267" s="3">
        <v>0.85160000000000002</v>
      </c>
      <c r="D267" s="3">
        <v>1839.68</v>
      </c>
      <c r="E267" t="s">
        <v>74</v>
      </c>
      <c r="G267" s="3">
        <v>24851.173828125</v>
      </c>
      <c r="H267" s="3">
        <v>32276.42578125</v>
      </c>
      <c r="I267" s="3">
        <v>32916.9765625</v>
      </c>
      <c r="J267" s="3">
        <v>28319.23828125</v>
      </c>
      <c r="K267" s="3">
        <v>200803.4375</v>
      </c>
      <c r="L267" s="3">
        <v>1.9394976552575801E-3</v>
      </c>
      <c r="M267" s="3">
        <v>0.74627786874771096</v>
      </c>
      <c r="N267" s="3">
        <v>0.82233017683029197</v>
      </c>
      <c r="O267" s="3">
        <v>24710.013671875</v>
      </c>
      <c r="P267" s="3">
        <v>32142.001953125</v>
      </c>
      <c r="Q267" s="3">
        <v>0.92330741882324197</v>
      </c>
      <c r="R267" s="3">
        <v>0.54892939329147294</v>
      </c>
      <c r="S267" s="3">
        <v>0.68598920106887795</v>
      </c>
      <c r="T267" s="3">
        <v>0.639379382133484</v>
      </c>
      <c r="U267" s="3">
        <v>0.74318504333496105</v>
      </c>
      <c r="W267" t="s">
        <v>50</v>
      </c>
      <c r="X267" t="s">
        <v>51</v>
      </c>
      <c r="Y267" t="s">
        <v>52</v>
      </c>
      <c r="Z267" t="s">
        <v>53</v>
      </c>
      <c r="AA267" t="s">
        <v>53</v>
      </c>
      <c r="AC267" s="2">
        <v>0.62338603523908798</v>
      </c>
      <c r="AD267" s="2">
        <v>0.73017323017120395</v>
      </c>
      <c r="AE267" s="2">
        <v>0.26219817996025102</v>
      </c>
      <c r="AF267" s="2">
        <v>0.14736357331275901</v>
      </c>
      <c r="AG267" s="2">
        <v>0.18464072048664101</v>
      </c>
      <c r="AH267" s="2">
        <v>-0.57523590326309204</v>
      </c>
      <c r="AI267" s="2">
        <v>0.25086021423339799</v>
      </c>
      <c r="AJ267" s="2">
        <v>0.66680395612582</v>
      </c>
      <c r="AK267" s="2">
        <v>0.48338340558142301</v>
      </c>
      <c r="AL267" s="2">
        <v>0.78105021105202299</v>
      </c>
      <c r="AM267" s="2">
        <v>0.57320237159729004</v>
      </c>
      <c r="AN267" s="2">
        <v>0.48294970393180803</v>
      </c>
      <c r="AO267" s="2">
        <v>0.372618228197098</v>
      </c>
      <c r="AP267" s="2">
        <v>0.63357359170913696</v>
      </c>
    </row>
    <row r="268" spans="1:42" x14ac:dyDescent="0.3">
      <c r="A268" t="s">
        <v>139</v>
      </c>
      <c r="B268" s="3">
        <v>2017</v>
      </c>
      <c r="C268" s="3">
        <v>0.85951900000000003</v>
      </c>
      <c r="D268" s="3">
        <v>1821.45</v>
      </c>
      <c r="E268" t="s">
        <v>74</v>
      </c>
      <c r="G268" s="3">
        <v>25941.333984375</v>
      </c>
      <c r="H268" s="3">
        <v>35373.9921875</v>
      </c>
      <c r="I268" s="3">
        <v>35253.890625</v>
      </c>
      <c r="J268" s="3">
        <v>29034.83203125</v>
      </c>
      <c r="K268" s="3">
        <v>205665.796875</v>
      </c>
      <c r="L268" s="3">
        <v>2.0237630233168602E-3</v>
      </c>
      <c r="M268" s="3">
        <v>0.71953934431076105</v>
      </c>
      <c r="N268" s="3">
        <v>0.84421569108963002</v>
      </c>
      <c r="O268" s="3">
        <v>25749.107421875</v>
      </c>
      <c r="P268" s="3">
        <v>34698.2890625</v>
      </c>
      <c r="Q268" s="3">
        <v>0.932583868503571</v>
      </c>
      <c r="R268" s="3">
        <v>0.55260848999023404</v>
      </c>
      <c r="S268" s="3">
        <v>0.70727294683456399</v>
      </c>
      <c r="T268" s="3">
        <v>0.65089368820190396</v>
      </c>
      <c r="U268" s="3">
        <v>0.79031062126159701</v>
      </c>
      <c r="W268" t="s">
        <v>51</v>
      </c>
      <c r="X268" t="s">
        <v>51</v>
      </c>
      <c r="Y268" t="s">
        <v>52</v>
      </c>
      <c r="Z268" t="s">
        <v>53</v>
      </c>
      <c r="AA268" t="s">
        <v>53</v>
      </c>
      <c r="AC268" s="2">
        <v>0.63573747299469296</v>
      </c>
      <c r="AD268" s="2">
        <v>0.74438065290451105</v>
      </c>
      <c r="AE268" s="2">
        <v>0.32487392425537098</v>
      </c>
      <c r="AF268" s="2">
        <v>0.149074986577034</v>
      </c>
      <c r="AG268" s="2">
        <v>0.192465931177139</v>
      </c>
      <c r="AH268" s="2">
        <v>-0.66659057140350297</v>
      </c>
      <c r="AI268" s="2">
        <v>0.25579509139061002</v>
      </c>
      <c r="AJ268" s="2">
        <v>0.68930362529025602</v>
      </c>
      <c r="AK268" s="2">
        <v>0.49584169813300399</v>
      </c>
      <c r="AL268" s="2">
        <v>0.79699973075535702</v>
      </c>
      <c r="AM268" s="2">
        <v>0.60133278369903598</v>
      </c>
      <c r="AN268" s="2">
        <v>0.48093399405479398</v>
      </c>
      <c r="AO268" s="2">
        <v>0.387968599796295</v>
      </c>
      <c r="AP268" s="2">
        <v>0.63290524482727095</v>
      </c>
    </row>
    <row r="269" spans="1:42" x14ac:dyDescent="0.3">
      <c r="A269" t="s">
        <v>139</v>
      </c>
      <c r="B269" s="3">
        <v>2018</v>
      </c>
      <c r="C269" s="3">
        <v>0.87006799999999995</v>
      </c>
      <c r="D269" s="3">
        <v>1806.56</v>
      </c>
      <c r="E269" t="s">
        <v>74</v>
      </c>
      <c r="G269" s="3">
        <v>26781.970703125</v>
      </c>
      <c r="H269" s="3">
        <v>35596.51953125</v>
      </c>
      <c r="I269" s="3">
        <v>36101.42578125</v>
      </c>
      <c r="J269" s="3">
        <v>28679.599609375</v>
      </c>
      <c r="K269" s="3">
        <v>216150.125</v>
      </c>
      <c r="L269" s="3">
        <v>2.0985852461308202E-3</v>
      </c>
      <c r="M269" s="3">
        <v>0.667322218418121</v>
      </c>
      <c r="N269" s="3">
        <v>0.79728972911834695</v>
      </c>
      <c r="O269" s="3">
        <v>27183.580078125</v>
      </c>
      <c r="P269" s="3">
        <v>36132.6640625</v>
      </c>
      <c r="Q269" s="3">
        <v>0.95122396945953402</v>
      </c>
      <c r="R269" s="3">
        <v>0.55455231666564897</v>
      </c>
      <c r="S269" s="3">
        <v>0.76597654819488503</v>
      </c>
      <c r="T269" s="3">
        <v>0.71337956190109297</v>
      </c>
      <c r="U269" s="3">
        <v>0.89799100160598799</v>
      </c>
      <c r="W269" t="s">
        <v>50</v>
      </c>
      <c r="X269" t="s">
        <v>51</v>
      </c>
      <c r="Y269" t="s">
        <v>52</v>
      </c>
      <c r="Z269" t="s">
        <v>53</v>
      </c>
      <c r="AA269" t="s">
        <v>53</v>
      </c>
      <c r="AC269" s="2">
        <v>0.67216438560178804</v>
      </c>
      <c r="AD269" s="2">
        <v>0.78068095445632901</v>
      </c>
      <c r="AE269" s="2">
        <v>0.30734556913375899</v>
      </c>
      <c r="AF269" s="2">
        <v>0.153152480721474</v>
      </c>
      <c r="AG269" s="2">
        <v>0.272994875907898</v>
      </c>
      <c r="AH269" s="2">
        <v>-0.75131726264953602</v>
      </c>
      <c r="AI269" s="2">
        <v>0.23714333772659299</v>
      </c>
      <c r="AJ269" s="2">
        <v>0.74706273915306698</v>
      </c>
      <c r="AK269" s="2">
        <v>0.55356982922641096</v>
      </c>
      <c r="AL269" s="2">
        <v>0.86238798279292295</v>
      </c>
      <c r="AM269" s="2">
        <v>0.64696907997131403</v>
      </c>
      <c r="AN269" s="2">
        <v>0.50180220603942904</v>
      </c>
      <c r="AO269" s="2">
        <v>0.40736824274063099</v>
      </c>
      <c r="AP269" s="2">
        <v>0.64636945724487305</v>
      </c>
    </row>
    <row r="270" spans="1:42" x14ac:dyDescent="0.3">
      <c r="A270" t="s">
        <v>139</v>
      </c>
      <c r="B270" s="3">
        <v>2019</v>
      </c>
      <c r="C270" s="3">
        <v>0.87589899999999998</v>
      </c>
      <c r="D270" s="3">
        <v>1812.65</v>
      </c>
      <c r="E270" t="s">
        <v>74</v>
      </c>
      <c r="G270" s="3">
        <v>29469.89453125</v>
      </c>
      <c r="H270" s="3">
        <v>39441.80078125</v>
      </c>
      <c r="I270" s="3">
        <v>39845.00390625</v>
      </c>
      <c r="J270" s="3">
        <v>33417.95703125</v>
      </c>
      <c r="K270" s="3">
        <v>228436.5625</v>
      </c>
      <c r="L270" s="3">
        <v>2.13653594255447E-3</v>
      </c>
      <c r="M270" s="3">
        <v>0.742012739181519</v>
      </c>
      <c r="N270" s="3">
        <v>0.84272992610931396</v>
      </c>
      <c r="O270" s="3">
        <v>28739.982421875</v>
      </c>
      <c r="P270" s="3">
        <v>38460.0078125</v>
      </c>
      <c r="Q270" s="3">
        <v>0.97064548730850198</v>
      </c>
      <c r="R270" s="3">
        <v>0.56543660163879395</v>
      </c>
      <c r="S270" s="3">
        <v>0.70664662122726396</v>
      </c>
      <c r="T270" s="3">
        <v>0.65746533870696999</v>
      </c>
      <c r="U270" s="3">
        <v>0.78391110897064198</v>
      </c>
      <c r="W270" t="s">
        <v>50</v>
      </c>
      <c r="X270" t="s">
        <v>54</v>
      </c>
      <c r="Y270" t="s">
        <v>52</v>
      </c>
      <c r="Z270" t="s">
        <v>53</v>
      </c>
      <c r="AA270" t="s">
        <v>53</v>
      </c>
      <c r="AC270" s="2">
        <v>0.71643517779363697</v>
      </c>
      <c r="AD270" s="2">
        <v>0.72477400302886996</v>
      </c>
      <c r="AE270" s="2">
        <v>0.29839968681335499</v>
      </c>
      <c r="AF270" s="2">
        <v>0.15708407759666401</v>
      </c>
      <c r="AG270" s="2">
        <v>0.17265287041664101</v>
      </c>
      <c r="AH270" s="2">
        <v>-0.57902127504348799</v>
      </c>
      <c r="AI270" s="2">
        <v>0.22611065208911901</v>
      </c>
      <c r="AJ270" s="2">
        <v>0.68640678545446399</v>
      </c>
      <c r="AK270" s="2">
        <v>0.51212053561403803</v>
      </c>
      <c r="AL270" s="2">
        <v>0.80003154126120501</v>
      </c>
      <c r="AM270" s="2">
        <v>0.61023902893066395</v>
      </c>
      <c r="AN270" s="2">
        <v>0.47438248991966298</v>
      </c>
      <c r="AO270" s="2">
        <v>0.38081556558608998</v>
      </c>
      <c r="AP270" s="2">
        <v>0.60604661703109697</v>
      </c>
    </row>
    <row r="271" spans="1:42" x14ac:dyDescent="0.3">
      <c r="A271" t="s">
        <v>139</v>
      </c>
      <c r="B271" s="3">
        <v>2020</v>
      </c>
      <c r="C271" s="3">
        <v>0.88800500000000004</v>
      </c>
      <c r="D271" s="3">
        <v>1725.32</v>
      </c>
      <c r="E271" t="s">
        <v>74</v>
      </c>
      <c r="G271" s="3">
        <v>28597.150390625</v>
      </c>
      <c r="H271" s="3">
        <v>38347.84765625</v>
      </c>
      <c r="I271" s="3">
        <v>37827.77734375</v>
      </c>
      <c r="J271" s="3">
        <v>31552.03125</v>
      </c>
      <c r="K271" s="3">
        <v>225607.390625</v>
      </c>
      <c r="L271" s="3">
        <v>2.0150658674538101E-3</v>
      </c>
      <c r="M271" s="3">
        <v>0.72245186567306496</v>
      </c>
      <c r="N271" s="3">
        <v>0.84233677387237604</v>
      </c>
      <c r="O271" s="3">
        <v>27990.11328125</v>
      </c>
      <c r="P271" s="3">
        <v>37695.41796875</v>
      </c>
      <c r="Q271" s="3">
        <v>0.95291465520858798</v>
      </c>
      <c r="R271" s="3">
        <v>0.56564629077911399</v>
      </c>
      <c r="S271" s="3">
        <v>0.721360683441162</v>
      </c>
      <c r="T271" s="3">
        <v>0.67556279897689797</v>
      </c>
      <c r="U271" s="3">
        <v>0.80993324518203702</v>
      </c>
      <c r="W271" t="s">
        <v>50</v>
      </c>
      <c r="X271" t="s">
        <v>54</v>
      </c>
      <c r="Y271" t="s">
        <v>52</v>
      </c>
      <c r="Z271" t="s">
        <v>53</v>
      </c>
      <c r="AA271" t="s">
        <v>53</v>
      </c>
      <c r="AC271" s="2">
        <v>0.730557378986749</v>
      </c>
      <c r="AD271" s="2">
        <v>0.71814054250717196</v>
      </c>
      <c r="AE271" s="2">
        <v>0.30903545022010798</v>
      </c>
      <c r="AF271" s="2">
        <v>0.18820843100547799</v>
      </c>
      <c r="AG271" s="2">
        <v>0.18476086854934701</v>
      </c>
      <c r="AH271" s="2">
        <v>-0.62490123510360696</v>
      </c>
      <c r="AI271" s="2">
        <v>0.22475586831569699</v>
      </c>
      <c r="AJ271" s="2">
        <v>0.69390850641163304</v>
      </c>
      <c r="AK271" s="2">
        <v>0.54124513549599396</v>
      </c>
      <c r="AL271" s="2">
        <v>0.82610915880560898</v>
      </c>
      <c r="AM271" s="2">
        <v>0.619420886039734</v>
      </c>
      <c r="AN271" s="2">
        <v>0.49226537346839899</v>
      </c>
      <c r="AO271" s="2">
        <v>0.40034317970275901</v>
      </c>
      <c r="AP271" s="2">
        <v>0.65411746501922596</v>
      </c>
    </row>
    <row r="272" spans="1:42" x14ac:dyDescent="0.3">
      <c r="A272" t="s">
        <v>140</v>
      </c>
      <c r="B272" s="3">
        <v>2015</v>
      </c>
      <c r="C272" s="3">
        <v>10.524416</v>
      </c>
      <c r="D272" s="3">
        <v>1749.72</v>
      </c>
      <c r="E272" t="s">
        <v>141</v>
      </c>
      <c r="G272" s="3">
        <v>278957.40625</v>
      </c>
      <c r="H272" s="3">
        <v>388030.9375</v>
      </c>
      <c r="I272" s="3">
        <v>412828.4375</v>
      </c>
      <c r="J272" s="3">
        <v>380038.3125</v>
      </c>
      <c r="K272" s="3">
        <v>2295950.5</v>
      </c>
      <c r="L272" s="3">
        <v>2.6300510391593E-2</v>
      </c>
      <c r="M272" s="3">
        <v>0.598225057125092</v>
      </c>
      <c r="N272" s="3">
        <v>0.58927237987518299</v>
      </c>
      <c r="O272" s="3">
        <v>299947.21875</v>
      </c>
      <c r="P272" s="3">
        <v>420912.34375</v>
      </c>
      <c r="Q272" s="3">
        <v>0.93766719102859497</v>
      </c>
      <c r="R272" s="3">
        <v>0.50314664840698198</v>
      </c>
      <c r="S272" s="3">
        <v>0.45436596870422402</v>
      </c>
      <c r="T272" s="3">
        <v>0.45807814598083502</v>
      </c>
      <c r="U272" s="3">
        <v>0.497601687908173</v>
      </c>
      <c r="W272" t="s">
        <v>50</v>
      </c>
      <c r="X272" t="s">
        <v>51</v>
      </c>
      <c r="Y272" t="s">
        <v>52</v>
      </c>
      <c r="Z272" t="s">
        <v>53</v>
      </c>
      <c r="AA272" t="s">
        <v>53</v>
      </c>
      <c r="AC272" s="2">
        <v>0.78932280850913905</v>
      </c>
      <c r="AD272" s="2">
        <v>0.48956269025802601</v>
      </c>
      <c r="AE272" s="2">
        <v>0.287006676197052</v>
      </c>
      <c r="AF272" s="2">
        <v>0.244461745023727</v>
      </c>
      <c r="AG272" s="2">
        <v>0.65957897901535001</v>
      </c>
      <c r="AH272" s="2">
        <v>-0.68061017990112305</v>
      </c>
      <c r="AI272" s="2">
        <v>0</v>
      </c>
      <c r="AJ272" s="2">
        <v>0.48893614777195799</v>
      </c>
      <c r="AK272" s="2">
        <v>0.46757213401152398</v>
      </c>
      <c r="AL272" s="2">
        <v>0.38513525103497898</v>
      </c>
      <c r="AM272" s="2">
        <v>0.60363334417343095</v>
      </c>
      <c r="AN272" s="2">
        <v>0.54106491804122903</v>
      </c>
      <c r="AO272" s="2">
        <v>0.35513162612915</v>
      </c>
      <c r="AP272" s="2">
        <v>0.47730416059494002</v>
      </c>
    </row>
    <row r="273" spans="1:42" x14ac:dyDescent="0.3">
      <c r="A273" t="s">
        <v>140</v>
      </c>
      <c r="B273" s="3">
        <v>2016</v>
      </c>
      <c r="C273" s="3">
        <v>10.531948</v>
      </c>
      <c r="D273" s="3">
        <v>1773.19</v>
      </c>
      <c r="E273" t="s">
        <v>141</v>
      </c>
      <c r="G273" s="3">
        <v>291864.8125</v>
      </c>
      <c r="H273" s="3">
        <v>397749.6875</v>
      </c>
      <c r="I273" s="3">
        <v>430789.8125</v>
      </c>
      <c r="J273" s="3">
        <v>396538.71875</v>
      </c>
      <c r="K273" s="3">
        <v>2361040.25</v>
      </c>
      <c r="L273" s="3">
        <v>2.7056021615862801E-2</v>
      </c>
      <c r="M273" s="3">
        <v>0.60209161043167103</v>
      </c>
      <c r="N273" s="3">
        <v>0.58388674259185802</v>
      </c>
      <c r="O273" s="3">
        <v>309746.75</v>
      </c>
      <c r="P273" s="3">
        <v>426177.96875</v>
      </c>
      <c r="Q273" s="3">
        <v>0.94112223386764504</v>
      </c>
      <c r="R273" s="3">
        <v>0.51079058647155795</v>
      </c>
      <c r="S273" s="3">
        <v>0.45662790536880499</v>
      </c>
      <c r="T273" s="3">
        <v>0.45999383926391602</v>
      </c>
      <c r="U273" s="3">
        <v>0.49972581863403298</v>
      </c>
      <c r="W273" t="s">
        <v>50</v>
      </c>
      <c r="X273" t="s">
        <v>51</v>
      </c>
      <c r="Y273" t="s">
        <v>52</v>
      </c>
      <c r="Z273" t="s">
        <v>53</v>
      </c>
      <c r="AA273" t="s">
        <v>53</v>
      </c>
      <c r="AC273" s="2">
        <v>0.79152496200949496</v>
      </c>
      <c r="AD273" s="2">
        <v>0.48886513710022</v>
      </c>
      <c r="AE273" s="2">
        <v>0.26702278852462802</v>
      </c>
      <c r="AF273" s="2">
        <v>0.247165903449059</v>
      </c>
      <c r="AG273" s="2">
        <v>0.65276324748992898</v>
      </c>
      <c r="AH273" s="2">
        <v>-0.65581703186035201</v>
      </c>
      <c r="AI273" s="2">
        <v>0</v>
      </c>
      <c r="AJ273" s="2">
        <v>0.49436544957420198</v>
      </c>
      <c r="AK273" s="2">
        <v>0.46927186866685</v>
      </c>
      <c r="AL273" s="2">
        <v>0.38198747355992302</v>
      </c>
      <c r="AM273" s="2">
        <v>0.59796190261840798</v>
      </c>
      <c r="AN273" s="2">
        <v>0.53673547506332397</v>
      </c>
      <c r="AO273" s="2">
        <v>0.35362643003463701</v>
      </c>
      <c r="AP273" s="2">
        <v>0.46377950906753501</v>
      </c>
    </row>
    <row r="274" spans="1:42" x14ac:dyDescent="0.3">
      <c r="A274" t="s">
        <v>140</v>
      </c>
      <c r="B274" s="3">
        <v>2017</v>
      </c>
      <c r="C274" s="3">
        <v>10.541342</v>
      </c>
      <c r="D274" s="3">
        <v>1775.64</v>
      </c>
      <c r="E274" t="s">
        <v>141</v>
      </c>
      <c r="G274" s="3">
        <v>307279.5625</v>
      </c>
      <c r="H274" s="3">
        <v>421669.1875</v>
      </c>
      <c r="I274" s="3">
        <v>456441.03125</v>
      </c>
      <c r="J274" s="3">
        <v>420152.21875</v>
      </c>
      <c r="K274" s="3">
        <v>2500518.25</v>
      </c>
      <c r="L274" s="3">
        <v>2.8231985867023499E-2</v>
      </c>
      <c r="M274" s="3">
        <v>0.61099201440811202</v>
      </c>
      <c r="N274" s="3">
        <v>0.590520560741425</v>
      </c>
      <c r="O274" s="3">
        <v>321267.28125</v>
      </c>
      <c r="P274" s="3">
        <v>444051.28125</v>
      </c>
      <c r="Q274" s="3">
        <v>0.97358095645904497</v>
      </c>
      <c r="R274" s="3">
        <v>0.52039825916290305</v>
      </c>
      <c r="S274" s="3">
        <v>0.48520982265472401</v>
      </c>
      <c r="T274" s="3">
        <v>0.48541554808616599</v>
      </c>
      <c r="U274" s="3">
        <v>0.52734118700027499</v>
      </c>
      <c r="W274" t="s">
        <v>51</v>
      </c>
      <c r="X274" t="s">
        <v>51</v>
      </c>
      <c r="Y274" t="s">
        <v>52</v>
      </c>
      <c r="Z274" t="s">
        <v>53</v>
      </c>
      <c r="AA274" t="s">
        <v>53</v>
      </c>
      <c r="AC274" s="2">
        <v>0.79398160785125804</v>
      </c>
      <c r="AD274" s="2">
        <v>0.48744657635688798</v>
      </c>
      <c r="AE274" s="2">
        <v>0.27225759625434898</v>
      </c>
      <c r="AF274" s="2">
        <v>0.24390639364719399</v>
      </c>
      <c r="AG274" s="2">
        <v>0.66313886642456099</v>
      </c>
      <c r="AH274" s="2">
        <v>-0.66674941778182995</v>
      </c>
      <c r="AI274" s="2">
        <v>1.3135657244099599E-16</v>
      </c>
      <c r="AJ274" s="2">
        <v>0.52644103935600595</v>
      </c>
      <c r="AK274" s="2">
        <v>0.48596822110164001</v>
      </c>
      <c r="AL274" s="2">
        <v>0.40280928948321798</v>
      </c>
      <c r="AM274" s="2">
        <v>0.61776202917098999</v>
      </c>
      <c r="AN274" s="2">
        <v>0.55416470766067505</v>
      </c>
      <c r="AO274" s="2">
        <v>0.36072850227356001</v>
      </c>
      <c r="AP274" s="2">
        <v>0.46960327029228199</v>
      </c>
    </row>
    <row r="275" spans="1:42" x14ac:dyDescent="0.3">
      <c r="A275" t="s">
        <v>140</v>
      </c>
      <c r="B275" s="3">
        <v>2018</v>
      </c>
      <c r="C275" s="3">
        <v>10.548937</v>
      </c>
      <c r="D275" s="3">
        <v>1783.56</v>
      </c>
      <c r="E275" t="s">
        <v>141</v>
      </c>
      <c r="G275" s="3">
        <v>314857.75</v>
      </c>
      <c r="H275" s="3">
        <v>441071.625</v>
      </c>
      <c r="I275" s="3">
        <v>469614.0625</v>
      </c>
      <c r="J275" s="3">
        <v>435511.96875</v>
      </c>
      <c r="K275" s="3">
        <v>2643814.25</v>
      </c>
      <c r="L275" s="3">
        <v>2.9453869909048101E-2</v>
      </c>
      <c r="M275" s="3">
        <v>0.60822540521621704</v>
      </c>
      <c r="N275" s="3">
        <v>0.59295225143432595</v>
      </c>
      <c r="O275" s="3">
        <v>332637.84375</v>
      </c>
      <c r="P275" s="3">
        <v>463139.28125</v>
      </c>
      <c r="Q275" s="3">
        <v>0.982224941253662</v>
      </c>
      <c r="R275" s="3">
        <v>0.53586781024932895</v>
      </c>
      <c r="S275" s="3">
        <v>0.54646658897399902</v>
      </c>
      <c r="T275" s="3">
        <v>0.53659456968307495</v>
      </c>
      <c r="U275" s="3">
        <v>0.57861179113388095</v>
      </c>
      <c r="W275" t="s">
        <v>50</v>
      </c>
      <c r="X275" t="s">
        <v>51</v>
      </c>
      <c r="Y275" t="s">
        <v>52</v>
      </c>
      <c r="Z275" t="s">
        <v>53</v>
      </c>
      <c r="AA275" t="s">
        <v>53</v>
      </c>
      <c r="AC275" s="2">
        <v>0.79437639346936195</v>
      </c>
      <c r="AD275" s="2">
        <v>0.481208115816116</v>
      </c>
      <c r="AE275" s="2">
        <v>0.28980574011802701</v>
      </c>
      <c r="AF275" s="2">
        <v>0.241751939058304</v>
      </c>
      <c r="AG275" s="2">
        <v>0.68536114692687999</v>
      </c>
      <c r="AH275" s="2">
        <v>-0.69812697172164895</v>
      </c>
      <c r="AI275" s="2">
        <v>0</v>
      </c>
      <c r="AJ275" s="2">
        <v>0.58953883564764398</v>
      </c>
      <c r="AK275" s="2">
        <v>0.51196760919226103</v>
      </c>
      <c r="AL275" s="2">
        <v>0.46073106783024798</v>
      </c>
      <c r="AM275" s="2">
        <v>0.63833075761795</v>
      </c>
      <c r="AN275" s="2">
        <v>0.57628482580184903</v>
      </c>
      <c r="AO275" s="2">
        <v>0.385794907808304</v>
      </c>
      <c r="AP275" s="2">
        <v>0.46951821446418801</v>
      </c>
    </row>
    <row r="276" spans="1:42" x14ac:dyDescent="0.3">
      <c r="A276" t="s">
        <v>140</v>
      </c>
      <c r="B276" s="3">
        <v>2019</v>
      </c>
      <c r="C276" s="3">
        <v>10.554874999999999</v>
      </c>
      <c r="D276" s="3">
        <v>1783.15</v>
      </c>
      <c r="E276" t="s">
        <v>141</v>
      </c>
      <c r="G276" s="3">
        <v>338598.8125</v>
      </c>
      <c r="H276" s="3">
        <v>475489.53125</v>
      </c>
      <c r="I276" s="3">
        <v>506352.125</v>
      </c>
      <c r="J276" s="3">
        <v>471372.15625</v>
      </c>
      <c r="K276" s="3">
        <v>2742330.75</v>
      </c>
      <c r="L276" s="3">
        <v>3.0407771468162498E-2</v>
      </c>
      <c r="M276" s="3">
        <v>0.63543355464935303</v>
      </c>
      <c r="N276" s="3">
        <v>0.61680442094802901</v>
      </c>
      <c r="O276" s="3">
        <v>342438.4375</v>
      </c>
      <c r="P276" s="3">
        <v>480261.25</v>
      </c>
      <c r="Q276" s="3">
        <v>1.00642061233521</v>
      </c>
      <c r="R276" s="3">
        <v>0.53180831670761097</v>
      </c>
      <c r="S276" s="3">
        <v>0.51368927955627397</v>
      </c>
      <c r="T276" s="3">
        <v>0.50714546442031905</v>
      </c>
      <c r="U276" s="3">
        <v>0.54478013515472401</v>
      </c>
      <c r="W276" t="s">
        <v>50</v>
      </c>
      <c r="X276" t="s">
        <v>54</v>
      </c>
      <c r="Y276" t="s">
        <v>52</v>
      </c>
      <c r="Z276" t="s">
        <v>53</v>
      </c>
      <c r="AA276" t="s">
        <v>53</v>
      </c>
      <c r="AC276" s="2">
        <v>0.80035660907658002</v>
      </c>
      <c r="AD276" s="2">
        <v>0.480089992284775</v>
      </c>
      <c r="AE276" s="2">
        <v>0.29040899872779802</v>
      </c>
      <c r="AF276" s="2">
        <v>0.23823583126068101</v>
      </c>
      <c r="AG276" s="2">
        <v>0.647460997104645</v>
      </c>
      <c r="AH276" s="2">
        <v>-0.65619581937789895</v>
      </c>
      <c r="AI276" s="2">
        <v>0</v>
      </c>
      <c r="AJ276" s="2">
        <v>0.54881226832618901</v>
      </c>
      <c r="AK276" s="2">
        <v>0.49095949183785798</v>
      </c>
      <c r="AL276" s="2">
        <v>0.44290981392058199</v>
      </c>
      <c r="AM276" s="2">
        <v>0.60686576366424605</v>
      </c>
      <c r="AN276" s="2">
        <v>0.54818552732467696</v>
      </c>
      <c r="AO276" s="2">
        <v>0.37483894824981701</v>
      </c>
      <c r="AP276" s="2">
        <v>0.44971844553947499</v>
      </c>
    </row>
    <row r="277" spans="1:42" x14ac:dyDescent="0.3">
      <c r="A277" t="s">
        <v>140</v>
      </c>
      <c r="B277" s="3">
        <v>2020</v>
      </c>
      <c r="C277" s="3">
        <v>10.550129</v>
      </c>
      <c r="D277" s="3">
        <v>1672.85</v>
      </c>
      <c r="E277" t="s">
        <v>141</v>
      </c>
      <c r="G277" s="3">
        <v>326026.8125</v>
      </c>
      <c r="H277" s="3">
        <v>452485.5625</v>
      </c>
      <c r="I277" s="3">
        <v>485195.09375</v>
      </c>
      <c r="J277" s="3">
        <v>450838.34375</v>
      </c>
      <c r="K277" s="3">
        <v>2826762.5</v>
      </c>
      <c r="L277" s="3">
        <v>3.0201626941561699E-2</v>
      </c>
      <c r="M277" s="3">
        <v>0.62599128484725997</v>
      </c>
      <c r="N277" s="3">
        <v>0.60271996259689298</v>
      </c>
      <c r="O277" s="3">
        <v>330847.21875</v>
      </c>
      <c r="P277" s="3">
        <v>456124.375</v>
      </c>
      <c r="Q277" s="3">
        <v>0.99091100692749001</v>
      </c>
      <c r="R277" s="3">
        <v>0.538415968418121</v>
      </c>
      <c r="S277" s="3">
        <v>0.52781277894973799</v>
      </c>
      <c r="T277" s="3">
        <v>0.51754373311996504</v>
      </c>
      <c r="U277" s="3">
        <v>0.55698382854461703</v>
      </c>
      <c r="W277" t="s">
        <v>50</v>
      </c>
      <c r="X277" t="s">
        <v>54</v>
      </c>
      <c r="Y277" t="s">
        <v>52</v>
      </c>
      <c r="Z277" t="s">
        <v>53</v>
      </c>
      <c r="AA277" t="s">
        <v>53</v>
      </c>
      <c r="AC277" s="2">
        <v>0.79628009529676602</v>
      </c>
      <c r="AD277" s="2">
        <v>0.46238866448402399</v>
      </c>
      <c r="AE277" s="2">
        <v>0.28049689531326299</v>
      </c>
      <c r="AF277" s="2">
        <v>0.26076814532280002</v>
      </c>
      <c r="AG277" s="2">
        <v>0.61557012796402</v>
      </c>
      <c r="AH277" s="2">
        <v>-0.619223833084106</v>
      </c>
      <c r="AI277" s="2">
        <v>-1.1590088136645501E-16</v>
      </c>
      <c r="AJ277" s="2">
        <v>0.56723246713858999</v>
      </c>
      <c r="AK277" s="2">
        <v>0.49106869900861699</v>
      </c>
      <c r="AL277" s="2">
        <v>0.45791463113250402</v>
      </c>
      <c r="AM277" s="2">
        <v>0.61311888694763195</v>
      </c>
      <c r="AN277" s="2">
        <v>0.54886209964752197</v>
      </c>
      <c r="AO277" s="2">
        <v>0.37480324506759599</v>
      </c>
      <c r="AP277" s="2">
        <v>0.45573124289512601</v>
      </c>
    </row>
    <row r="278" spans="1:42" x14ac:dyDescent="0.3">
      <c r="A278" t="s">
        <v>142</v>
      </c>
      <c r="B278" s="3">
        <v>2015</v>
      </c>
      <c r="C278" s="3">
        <v>82.077550000000002</v>
      </c>
      <c r="D278" s="3">
        <v>1401.59</v>
      </c>
      <c r="E278" t="s">
        <v>74</v>
      </c>
      <c r="G278" s="3">
        <v>3107026.5</v>
      </c>
      <c r="H278" s="3">
        <v>4046416.5</v>
      </c>
      <c r="I278" s="3">
        <v>4370607.5</v>
      </c>
      <c r="J278" s="3">
        <v>4400532.5</v>
      </c>
      <c r="K278" s="3">
        <v>18882630</v>
      </c>
      <c r="L278" s="3">
        <v>0.22781059145927399</v>
      </c>
      <c r="M278" s="3">
        <v>0.98189646005630504</v>
      </c>
      <c r="N278" s="3">
        <v>0.87105101346969604</v>
      </c>
      <c r="O278" s="3">
        <v>3314040.25</v>
      </c>
      <c r="P278" s="3">
        <v>4351681</v>
      </c>
      <c r="Q278" s="3">
        <v>0.97416639328002896</v>
      </c>
      <c r="R278" s="3">
        <v>0.632662773132324</v>
      </c>
      <c r="S278" s="3">
        <v>0.80570161342620905</v>
      </c>
      <c r="T278" s="3">
        <v>0.78331637382507302</v>
      </c>
      <c r="U278" s="3">
        <v>0.77798962593078602</v>
      </c>
      <c r="W278" t="s">
        <v>50</v>
      </c>
      <c r="X278" t="s">
        <v>51</v>
      </c>
      <c r="Y278" t="s">
        <v>52</v>
      </c>
      <c r="Z278" t="s">
        <v>53</v>
      </c>
      <c r="AA278" t="s">
        <v>53</v>
      </c>
      <c r="AC278" s="2">
        <v>0.79988459796372802</v>
      </c>
      <c r="AD278" s="2">
        <v>0.53778749704360995</v>
      </c>
      <c r="AE278" s="2">
        <v>0.213471904397011</v>
      </c>
      <c r="AF278" s="2">
        <v>0.16826939582824699</v>
      </c>
      <c r="AG278" s="2">
        <v>0.540785372257233</v>
      </c>
      <c r="AH278" s="2">
        <v>-0.46031421422958402</v>
      </c>
      <c r="AI278" s="2">
        <v>0</v>
      </c>
      <c r="AJ278" s="2">
        <v>0.77371475560768299</v>
      </c>
      <c r="AK278" s="2">
        <v>0.70927727000184104</v>
      </c>
      <c r="AL278" s="2">
        <v>0.90793142692349904</v>
      </c>
      <c r="AM278" s="2">
        <v>0.61291986703872703</v>
      </c>
      <c r="AN278" s="2">
        <v>0.59470361471176203</v>
      </c>
      <c r="AO278" s="2">
        <v>0.71240061521530196</v>
      </c>
      <c r="AP278" s="2">
        <v>0.73755097389221203</v>
      </c>
    </row>
    <row r="279" spans="1:42" x14ac:dyDescent="0.3">
      <c r="A279" t="s">
        <v>142</v>
      </c>
      <c r="B279" s="3">
        <v>2016</v>
      </c>
      <c r="C279" s="3">
        <v>82.760102000000003</v>
      </c>
      <c r="D279" s="3">
        <v>1395.83</v>
      </c>
      <c r="E279" t="s">
        <v>74</v>
      </c>
      <c r="G279" s="3">
        <v>3222010.25</v>
      </c>
      <c r="H279" s="3">
        <v>4192212.25</v>
      </c>
      <c r="I279" s="3">
        <v>4520541.5</v>
      </c>
      <c r="J279" s="3">
        <v>4585158.5</v>
      </c>
      <c r="K279" s="3">
        <v>19178750</v>
      </c>
      <c r="L279" s="3">
        <v>0.22727297246456099</v>
      </c>
      <c r="M279" s="3">
        <v>1.01068162918091</v>
      </c>
      <c r="N279" s="3">
        <v>0.89339864253997803</v>
      </c>
      <c r="O279" s="3">
        <v>3403791</v>
      </c>
      <c r="P279" s="3">
        <v>4481413.5</v>
      </c>
      <c r="Q279" s="3">
        <v>0.98455572128295898</v>
      </c>
      <c r="R279" s="3">
        <v>0.63343751430511497</v>
      </c>
      <c r="S279" s="3">
        <v>0.80156672000884999</v>
      </c>
      <c r="T279" s="3">
        <v>0.78260189294815097</v>
      </c>
      <c r="U279" s="3">
        <v>0.77157294750213601</v>
      </c>
      <c r="W279" t="s">
        <v>50</v>
      </c>
      <c r="X279" t="s">
        <v>51</v>
      </c>
      <c r="Y279" t="s">
        <v>52</v>
      </c>
      <c r="Z279" t="s">
        <v>53</v>
      </c>
      <c r="AA279" t="s">
        <v>53</v>
      </c>
      <c r="AC279" s="2">
        <v>0.79449442353697997</v>
      </c>
      <c r="AD279" s="2">
        <v>0.53063803911209095</v>
      </c>
      <c r="AE279" s="2">
        <v>0.21159616112709001</v>
      </c>
      <c r="AF279" s="2">
        <v>0.17206618189811701</v>
      </c>
      <c r="AG279" s="2">
        <v>0.53114056587219205</v>
      </c>
      <c r="AH279" s="2">
        <v>-0.44544100761413602</v>
      </c>
      <c r="AI279" s="2">
        <v>0</v>
      </c>
      <c r="AJ279" s="2">
        <v>0.77310082561482196</v>
      </c>
      <c r="AK279" s="2">
        <v>0.71962021475515303</v>
      </c>
      <c r="AL279" s="2">
        <v>0.88935327453688195</v>
      </c>
      <c r="AM279" s="2">
        <v>0.60465747117996205</v>
      </c>
      <c r="AN279" s="2">
        <v>0.59518188238143899</v>
      </c>
      <c r="AO279" s="2">
        <v>0.71788299083709695</v>
      </c>
      <c r="AP279" s="2">
        <v>0.738575398921967</v>
      </c>
    </row>
    <row r="280" spans="1:42" x14ac:dyDescent="0.3">
      <c r="A280" t="s">
        <v>142</v>
      </c>
      <c r="B280" s="3">
        <v>2017</v>
      </c>
      <c r="C280" s="3">
        <v>83.104006999999996</v>
      </c>
      <c r="D280" s="3">
        <v>1388.21</v>
      </c>
      <c r="E280" t="s">
        <v>74</v>
      </c>
      <c r="G280" s="3">
        <v>3317987</v>
      </c>
      <c r="H280" s="3">
        <v>4380809.5</v>
      </c>
      <c r="I280" s="3">
        <v>4714873.5</v>
      </c>
      <c r="J280" s="3">
        <v>4735501.5</v>
      </c>
      <c r="K280" s="3">
        <v>19554130</v>
      </c>
      <c r="L280" s="3">
        <v>0.230011746287346</v>
      </c>
      <c r="M280" s="3">
        <v>1.0161764621734599</v>
      </c>
      <c r="N280" s="3">
        <v>0.905298471450806</v>
      </c>
      <c r="O280" s="3">
        <v>3455923.25</v>
      </c>
      <c r="P280" s="3">
        <v>4597196.5</v>
      </c>
      <c r="Q280" s="3">
        <v>0.99875259399414096</v>
      </c>
      <c r="R280" s="3">
        <v>0.63476037979125999</v>
      </c>
      <c r="S280" s="3">
        <v>0.82113981246948198</v>
      </c>
      <c r="T280" s="3">
        <v>0.79813224077224698</v>
      </c>
      <c r="U280" s="3">
        <v>0.794655501842499</v>
      </c>
      <c r="W280" t="s">
        <v>51</v>
      </c>
      <c r="X280" t="s">
        <v>51</v>
      </c>
      <c r="Y280" t="s">
        <v>52</v>
      </c>
      <c r="Z280" t="s">
        <v>53</v>
      </c>
      <c r="AA280" t="s">
        <v>53</v>
      </c>
      <c r="AC280" s="2">
        <v>0.80161439973930604</v>
      </c>
      <c r="AD280" s="2">
        <v>0.52669668197631803</v>
      </c>
      <c r="AE280" s="2">
        <v>0.22443711757659901</v>
      </c>
      <c r="AF280" s="2">
        <v>0.17396554350853</v>
      </c>
      <c r="AG280" s="2">
        <v>0.53716266155242898</v>
      </c>
      <c r="AH280" s="2">
        <v>-0.46226191520690901</v>
      </c>
      <c r="AI280" s="2">
        <v>0</v>
      </c>
      <c r="AJ280" s="2">
        <v>0.79433640799122196</v>
      </c>
      <c r="AK280" s="2">
        <v>0.72630554513171397</v>
      </c>
      <c r="AL280" s="2">
        <v>0.90228959750490201</v>
      </c>
      <c r="AM280" s="2">
        <v>0.62615251541137695</v>
      </c>
      <c r="AN280" s="2">
        <v>0.60580760240554798</v>
      </c>
      <c r="AO280" s="2">
        <v>0.75243669748306297</v>
      </c>
      <c r="AP280" s="2">
        <v>0.74553185701370195</v>
      </c>
    </row>
    <row r="281" spans="1:42" x14ac:dyDescent="0.3">
      <c r="A281" t="s">
        <v>142</v>
      </c>
      <c r="B281" s="3">
        <v>2018</v>
      </c>
      <c r="C281" s="3">
        <v>83.368504999999999</v>
      </c>
      <c r="D281" s="3">
        <v>1380.72</v>
      </c>
      <c r="E281" t="s">
        <v>74</v>
      </c>
      <c r="G281" s="3">
        <v>3375820.75</v>
      </c>
      <c r="H281" s="3">
        <v>4519292.5</v>
      </c>
      <c r="I281" s="3">
        <v>4807099.5</v>
      </c>
      <c r="J281" s="3">
        <v>4821639</v>
      </c>
      <c r="K281" s="3">
        <v>19797532</v>
      </c>
      <c r="L281" s="3">
        <v>0.23126330971717801</v>
      </c>
      <c r="M281" s="3">
        <v>1.0159724950790401</v>
      </c>
      <c r="N281" s="3">
        <v>0.91665005683898904</v>
      </c>
      <c r="O281" s="3">
        <v>3500967.25</v>
      </c>
      <c r="P281" s="3">
        <v>4687492.5</v>
      </c>
      <c r="Q281" s="3">
        <v>0.99734634160995495</v>
      </c>
      <c r="R281" s="3">
        <v>0.64470368623733498</v>
      </c>
      <c r="S281" s="3">
        <v>0.87072801589965798</v>
      </c>
      <c r="T281" s="3">
        <v>0.84292173385620095</v>
      </c>
      <c r="U281" s="3">
        <v>0.84038001298904397</v>
      </c>
      <c r="W281" t="s">
        <v>50</v>
      </c>
      <c r="X281" t="s">
        <v>51</v>
      </c>
      <c r="Y281" t="s">
        <v>52</v>
      </c>
      <c r="Z281" t="s">
        <v>53</v>
      </c>
      <c r="AA281" t="s">
        <v>53</v>
      </c>
      <c r="AC281" s="2">
        <v>0.80681443495220395</v>
      </c>
      <c r="AD281" s="2">
        <v>0.52799719572067305</v>
      </c>
      <c r="AE281" s="2">
        <v>0.237154126167297</v>
      </c>
      <c r="AF281" s="2">
        <v>0.17214244604110701</v>
      </c>
      <c r="AG281" s="2">
        <v>0.55379652976989802</v>
      </c>
      <c r="AH281" s="2">
        <v>-0.491090357303619</v>
      </c>
      <c r="AI281" s="2">
        <v>-1.1492108923960899E-16</v>
      </c>
      <c r="AJ281" s="2">
        <v>0.83892789805567902</v>
      </c>
      <c r="AK281" s="2">
        <v>0.76083038675235304</v>
      </c>
      <c r="AL281" s="2">
        <v>0.96826576963359401</v>
      </c>
      <c r="AM281" s="2">
        <v>0.64656227827072099</v>
      </c>
      <c r="AN281" s="2">
        <v>0.62666547298431396</v>
      </c>
      <c r="AO281" s="2">
        <v>0.81913107633590698</v>
      </c>
      <c r="AP281" s="2">
        <v>0.73607158660888705</v>
      </c>
    </row>
    <row r="282" spans="1:42" x14ac:dyDescent="0.3">
      <c r="A282" t="s">
        <v>142</v>
      </c>
      <c r="B282" s="3">
        <v>2019</v>
      </c>
      <c r="C282" s="3">
        <v>83.559185999999997</v>
      </c>
      <c r="D282" s="3">
        <v>1372.04</v>
      </c>
      <c r="E282" t="s">
        <v>74</v>
      </c>
      <c r="G282" s="3">
        <v>3565447.5</v>
      </c>
      <c r="H282" s="3">
        <v>4715024.5</v>
      </c>
      <c r="I282" s="3">
        <v>4996786</v>
      </c>
      <c r="J282" s="3">
        <v>5001099</v>
      </c>
      <c r="K282" s="3">
        <v>20058936</v>
      </c>
      <c r="L282" s="3">
        <v>0.23081235587596899</v>
      </c>
      <c r="M282" s="3">
        <v>1.0399796962737999</v>
      </c>
      <c r="N282" s="3">
        <v>0.94350397586822499</v>
      </c>
      <c r="O282" s="3">
        <v>3571268.75</v>
      </c>
      <c r="P282" s="3">
        <v>4760400.5</v>
      </c>
      <c r="Q282" s="3">
        <v>0.99837124347686801</v>
      </c>
      <c r="R282" s="3">
        <v>0.65586757659912098</v>
      </c>
      <c r="S282" s="3">
        <v>0.81088793277740501</v>
      </c>
      <c r="T282" s="3">
        <v>0.791950643062592</v>
      </c>
      <c r="U282" s="3">
        <v>0.79126757383346602</v>
      </c>
      <c r="W282" t="s">
        <v>50</v>
      </c>
      <c r="X282" t="s">
        <v>54</v>
      </c>
      <c r="Y282" t="s">
        <v>52</v>
      </c>
      <c r="Z282" t="s">
        <v>53</v>
      </c>
      <c r="AA282" t="s">
        <v>53</v>
      </c>
      <c r="AC282" s="2">
        <v>0.80567201997719395</v>
      </c>
      <c r="AD282" s="2">
        <v>0.533755123615265</v>
      </c>
      <c r="AE282" s="2">
        <v>0.22986485064029699</v>
      </c>
      <c r="AF282" s="2">
        <v>0.179177686572075</v>
      </c>
      <c r="AG282" s="2">
        <v>0.549455046653748</v>
      </c>
      <c r="AH282" s="2">
        <v>-0.492252677679062</v>
      </c>
      <c r="AI282" s="2">
        <v>0</v>
      </c>
      <c r="AJ282" s="2">
        <v>0.782190122232018</v>
      </c>
      <c r="AK282" s="2">
        <v>0.73321602722874901</v>
      </c>
      <c r="AL282" s="2">
        <v>0.89637629663074503</v>
      </c>
      <c r="AM282" s="2">
        <v>0.61040323972702004</v>
      </c>
      <c r="AN282" s="2">
        <v>0.59069389104843095</v>
      </c>
      <c r="AO282" s="2">
        <v>0.80437654256820701</v>
      </c>
      <c r="AP282" s="2">
        <v>0.671076118946075</v>
      </c>
    </row>
    <row r="283" spans="1:42" x14ac:dyDescent="0.3">
      <c r="A283" t="s">
        <v>142</v>
      </c>
      <c r="B283" s="3">
        <v>2020</v>
      </c>
      <c r="C283" s="3">
        <v>83.628708000000003</v>
      </c>
      <c r="D283" s="3">
        <v>1313.57</v>
      </c>
      <c r="E283" t="s">
        <v>74</v>
      </c>
      <c r="G283" s="3">
        <v>3468262.75</v>
      </c>
      <c r="H283" s="3">
        <v>4593079</v>
      </c>
      <c r="I283" s="3">
        <v>4852448</v>
      </c>
      <c r="J283" s="3">
        <v>4838396.5</v>
      </c>
      <c r="K283" s="3">
        <v>20244588</v>
      </c>
      <c r="L283" s="3">
        <v>0.224380537867546</v>
      </c>
      <c r="M283" s="3">
        <v>1.0257595777511599</v>
      </c>
      <c r="N283" s="3">
        <v>0.93413931131362904</v>
      </c>
      <c r="O283" s="3">
        <v>3446974.5</v>
      </c>
      <c r="P283" s="3">
        <v>4607168.5</v>
      </c>
      <c r="Q283" s="3">
        <v>0.98533511161804199</v>
      </c>
      <c r="R283" s="3">
        <v>0.65727329254150402</v>
      </c>
      <c r="S283" s="3">
        <v>0.82918667793273904</v>
      </c>
      <c r="T283" s="3">
        <v>0.81199067831039395</v>
      </c>
      <c r="U283" s="3">
        <v>0.81434887647628795</v>
      </c>
      <c r="W283" t="s">
        <v>50</v>
      </c>
      <c r="X283" t="s">
        <v>54</v>
      </c>
      <c r="Y283" t="s">
        <v>52</v>
      </c>
      <c r="Z283" t="s">
        <v>53</v>
      </c>
      <c r="AA283" t="s">
        <v>53</v>
      </c>
      <c r="AC283" s="2">
        <v>0.80404045349616005</v>
      </c>
      <c r="AD283" s="2">
        <v>0.51935231685638406</v>
      </c>
      <c r="AE283" s="2">
        <v>0.23247709870338401</v>
      </c>
      <c r="AF283" s="2">
        <v>0.19746838510036499</v>
      </c>
      <c r="AG283" s="2">
        <v>0.51149868965148904</v>
      </c>
      <c r="AH283" s="2">
        <v>-0.46079647541046098</v>
      </c>
      <c r="AI283" s="2">
        <v>1.1818386015243201E-16</v>
      </c>
      <c r="AJ283" s="2">
        <v>0.79489468164177501</v>
      </c>
      <c r="AK283" s="2">
        <v>0.758968519283997</v>
      </c>
      <c r="AL283" s="2">
        <v>0.91937646764482095</v>
      </c>
      <c r="AM283" s="2">
        <v>0.62360626459121704</v>
      </c>
      <c r="AN283" s="2">
        <v>0.59776055812835704</v>
      </c>
      <c r="AO283" s="2">
        <v>0.84537506103515603</v>
      </c>
      <c r="AP283" s="2">
        <v>0.71466034650802601</v>
      </c>
    </row>
    <row r="284" spans="1:42" x14ac:dyDescent="0.3">
      <c r="A284" t="s">
        <v>143</v>
      </c>
      <c r="B284" s="3">
        <v>2015</v>
      </c>
      <c r="C284" s="3">
        <v>1.020313</v>
      </c>
      <c r="D284" s="3"/>
      <c r="E284" t="s">
        <v>144</v>
      </c>
      <c r="G284" s="3">
        <v>4072.62744140625</v>
      </c>
      <c r="H284" s="3">
        <v>4863.75146484375</v>
      </c>
      <c r="I284" s="3">
        <v>4872.4189453125</v>
      </c>
      <c r="J284" s="3">
        <v>4762.36865234375</v>
      </c>
      <c r="K284" s="3">
        <v>11589.349609375</v>
      </c>
      <c r="L284" s="3">
        <v>1.2354120553936801E-4</v>
      </c>
      <c r="M284" s="3"/>
      <c r="N284" s="3"/>
      <c r="O284" s="3">
        <v>2910.59716796875</v>
      </c>
      <c r="P284" s="3">
        <v>1918.67163085938</v>
      </c>
      <c r="Q284" s="3"/>
      <c r="R284" s="3">
        <v>0.63356858491897605</v>
      </c>
      <c r="S284" s="3">
        <v>0.48506665229797402</v>
      </c>
      <c r="T284" s="3">
        <v>0.49757421016693099</v>
      </c>
      <c r="U284" s="3">
        <v>0.50907230377197299</v>
      </c>
      <c r="W284" t="s">
        <v>50</v>
      </c>
      <c r="X284" t="s">
        <v>51</v>
      </c>
      <c r="Y284" t="s">
        <v>52</v>
      </c>
      <c r="Z284" t="s">
        <v>53</v>
      </c>
      <c r="AA284" t="s">
        <v>53</v>
      </c>
      <c r="AC284" s="2">
        <v>0.43306808044280798</v>
      </c>
      <c r="AD284" s="2">
        <v>0.65681451559066795</v>
      </c>
      <c r="AE284" s="2">
        <v>0.16611985862255099</v>
      </c>
      <c r="AF284" s="2">
        <v>0.198353976011276</v>
      </c>
      <c r="AG284" s="2">
        <v>1.3353976011276201</v>
      </c>
      <c r="AH284" s="2">
        <v>-1.3479905128478999</v>
      </c>
      <c r="AI284" s="2">
        <v>-8.6953453719615902E-3</v>
      </c>
      <c r="AJ284" s="2">
        <v>0.47723029153207802</v>
      </c>
      <c r="AK284" s="2">
        <v>0.56196206533159798</v>
      </c>
      <c r="AL284" s="2">
        <v>0.51101539904341398</v>
      </c>
      <c r="AM284" s="2">
        <v>0.54056835174560602</v>
      </c>
      <c r="AN284" s="2">
        <v>0.53156274557113703</v>
      </c>
      <c r="AO284" s="2">
        <v>0.36095327138900801</v>
      </c>
      <c r="AP284" s="2">
        <v>0.96073883771896396</v>
      </c>
    </row>
    <row r="285" spans="1:42" x14ac:dyDescent="0.3">
      <c r="A285" t="s">
        <v>143</v>
      </c>
      <c r="B285" s="3">
        <v>2016</v>
      </c>
      <c r="C285" s="3">
        <v>1.0376529999999999</v>
      </c>
      <c r="D285" s="3"/>
      <c r="E285" t="s">
        <v>144</v>
      </c>
      <c r="G285" s="3">
        <v>4391.02294921875</v>
      </c>
      <c r="H285" s="3">
        <v>6202.24755859375</v>
      </c>
      <c r="I285" s="3">
        <v>4960.69091796875</v>
      </c>
      <c r="J285" s="3">
        <v>4880.279296875</v>
      </c>
      <c r="K285" s="3">
        <v>11707.1259765625</v>
      </c>
      <c r="L285" s="3">
        <v>1.2340050307102499E-4</v>
      </c>
      <c r="M285" s="3"/>
      <c r="N285" s="3"/>
      <c r="O285" s="3">
        <v>3337.4736328125</v>
      </c>
      <c r="P285" s="3">
        <v>3034.66235351563</v>
      </c>
      <c r="Q285" s="3"/>
      <c r="R285" s="3">
        <v>0.63356858491897605</v>
      </c>
      <c r="S285" s="3">
        <v>0.49610978364944502</v>
      </c>
      <c r="T285" s="3">
        <v>0.52511912584304798</v>
      </c>
      <c r="U285" s="3">
        <v>0.53377139568328902</v>
      </c>
      <c r="W285" t="s">
        <v>50</v>
      </c>
      <c r="X285" t="s">
        <v>51</v>
      </c>
      <c r="Y285" t="s">
        <v>52</v>
      </c>
      <c r="Z285" t="s">
        <v>53</v>
      </c>
      <c r="AA285" t="s">
        <v>53</v>
      </c>
      <c r="AC285" s="2">
        <v>0.403045318880209</v>
      </c>
      <c r="AD285" s="2">
        <v>0.67314857244491599</v>
      </c>
      <c r="AE285" s="2">
        <v>0.37113136053085299</v>
      </c>
      <c r="AF285" s="2">
        <v>0.22659972310066201</v>
      </c>
      <c r="AG285" s="2">
        <v>0.99144583940506004</v>
      </c>
      <c r="AH285" s="2">
        <v>-1.2570972442627</v>
      </c>
      <c r="AI285" s="2">
        <v>-5.2281892858445601E-3</v>
      </c>
      <c r="AJ285" s="2">
        <v>0.48684113095812398</v>
      </c>
      <c r="AK285" s="2">
        <v>0.59544776477690797</v>
      </c>
      <c r="AL285" s="2">
        <v>0.52364368159776897</v>
      </c>
      <c r="AM285" s="2">
        <v>0.54142022132873502</v>
      </c>
      <c r="AN285" s="2">
        <v>0.53105670213699296</v>
      </c>
      <c r="AO285" s="2">
        <v>0.38894534111022999</v>
      </c>
      <c r="AP285" s="2">
        <v>1.00124204158783</v>
      </c>
    </row>
    <row r="286" spans="1:42" x14ac:dyDescent="0.3">
      <c r="A286" t="s">
        <v>143</v>
      </c>
      <c r="B286" s="3">
        <v>2017</v>
      </c>
      <c r="C286" s="3">
        <v>1.0548409999999999</v>
      </c>
      <c r="D286" s="3"/>
      <c r="E286" t="s">
        <v>144</v>
      </c>
      <c r="G286" s="3">
        <v>4657.6201171875</v>
      </c>
      <c r="H286" s="3">
        <v>6860.99365234375</v>
      </c>
      <c r="I286" s="3">
        <v>5212.23583984375</v>
      </c>
      <c r="J286" s="3">
        <v>4770.9580078125</v>
      </c>
      <c r="K286" s="3">
        <v>12337.04296875</v>
      </c>
      <c r="L286" s="3">
        <v>1.2858067930210401E-4</v>
      </c>
      <c r="M286" s="3"/>
      <c r="N286" s="3"/>
      <c r="O286" s="3">
        <v>3626.515625</v>
      </c>
      <c r="P286" s="3">
        <v>3592.8232421875</v>
      </c>
      <c r="Q286" s="3"/>
      <c r="R286" s="3">
        <v>0.63356858491897605</v>
      </c>
      <c r="S286" s="3">
        <v>0.49912795424461398</v>
      </c>
      <c r="T286" s="3">
        <v>0.53001880645751998</v>
      </c>
      <c r="U286" s="3">
        <v>0.57904154062271096</v>
      </c>
      <c r="W286" t="s">
        <v>51</v>
      </c>
      <c r="X286" t="s">
        <v>51</v>
      </c>
      <c r="Y286" t="s">
        <v>52</v>
      </c>
      <c r="Z286" t="s">
        <v>53</v>
      </c>
      <c r="AA286" t="s">
        <v>53</v>
      </c>
      <c r="AC286" s="2">
        <v>0.37443197702229403</v>
      </c>
      <c r="AD286" s="2">
        <v>0.73476243019104004</v>
      </c>
      <c r="AE286" s="2">
        <v>0.46183043718338002</v>
      </c>
      <c r="AF286" s="2">
        <v>0.24148172140121499</v>
      </c>
      <c r="AG286" s="2">
        <v>1.5146346092224101</v>
      </c>
      <c r="AH286" s="2">
        <v>-1.9511636495590201</v>
      </c>
      <c r="AI286" s="2">
        <v>-1.5455024549737601E-3</v>
      </c>
      <c r="AJ286" s="2">
        <v>0.49157780219960101</v>
      </c>
      <c r="AK286" s="2">
        <v>0.59531765768712097</v>
      </c>
      <c r="AL286" s="2">
        <v>0.52210100931741998</v>
      </c>
      <c r="AM286" s="2">
        <v>0.56286585330963101</v>
      </c>
      <c r="AN286" s="2">
        <v>0.53035336732864402</v>
      </c>
      <c r="AO286" s="2">
        <v>0.40815430879592901</v>
      </c>
      <c r="AP286" s="2">
        <v>0.98225843906402599</v>
      </c>
    </row>
    <row r="287" spans="1:42" x14ac:dyDescent="0.3">
      <c r="A287" t="s">
        <v>143</v>
      </c>
      <c r="B287" s="3">
        <v>2018</v>
      </c>
      <c r="C287" s="3">
        <v>1.071882</v>
      </c>
      <c r="D287" s="3"/>
      <c r="E287" t="s">
        <v>144</v>
      </c>
      <c r="G287" s="3">
        <v>4751.08544921875</v>
      </c>
      <c r="H287" s="3">
        <v>6906.435546875</v>
      </c>
      <c r="I287" s="3">
        <v>5543.87255859375</v>
      </c>
      <c r="J287" s="3">
        <v>4801.787109375</v>
      </c>
      <c r="K287" s="3">
        <v>14673.7197265625</v>
      </c>
      <c r="L287" s="3">
        <v>1.4655313862021999E-4</v>
      </c>
      <c r="M287" s="3"/>
      <c r="N287" s="3"/>
      <c r="O287" s="3">
        <v>4017.236328125</v>
      </c>
      <c r="P287" s="3">
        <v>4288.7705078125</v>
      </c>
      <c r="Q287" s="3"/>
      <c r="R287" s="3">
        <v>0.63356858491897605</v>
      </c>
      <c r="S287" s="3">
        <v>0.499184250831604</v>
      </c>
      <c r="T287" s="3">
        <v>0.52552896738052401</v>
      </c>
      <c r="U287" s="3">
        <v>0.60674619674682595</v>
      </c>
      <c r="W287" t="s">
        <v>50</v>
      </c>
      <c r="X287" t="s">
        <v>51</v>
      </c>
      <c r="Y287" t="s">
        <v>52</v>
      </c>
      <c r="Z287" t="s">
        <v>53</v>
      </c>
      <c r="AA287" t="s">
        <v>53</v>
      </c>
      <c r="AC287" s="2">
        <v>0.35684056417585902</v>
      </c>
      <c r="AD287" s="2">
        <v>0.73715156316757202</v>
      </c>
      <c r="AE287" s="2">
        <v>0.44886413216590898</v>
      </c>
      <c r="AF287" s="2">
        <v>0.25228950381278997</v>
      </c>
      <c r="AG287" s="2">
        <v>1.4299243688583401</v>
      </c>
      <c r="AH287" s="2">
        <v>-1.86513566970825</v>
      </c>
      <c r="AI287" s="2">
        <v>-3.0938070267438902E-3</v>
      </c>
      <c r="AJ287" s="2">
        <v>0.50102072515148399</v>
      </c>
      <c r="AK287" s="2">
        <v>0.58360121384900698</v>
      </c>
      <c r="AL287" s="2">
        <v>0.49381835749713199</v>
      </c>
      <c r="AM287" s="2">
        <v>0.59778547286987305</v>
      </c>
      <c r="AN287" s="2">
        <v>0.53724551200866699</v>
      </c>
      <c r="AO287" s="2">
        <v>0.39246249198913602</v>
      </c>
      <c r="AP287" s="2">
        <v>0.86133724451065097</v>
      </c>
    </row>
    <row r="288" spans="1:42" x14ac:dyDescent="0.3">
      <c r="A288" t="s">
        <v>143</v>
      </c>
      <c r="B288" s="3">
        <v>2019</v>
      </c>
      <c r="C288" s="3">
        <v>1.0887089999999999</v>
      </c>
      <c r="D288" s="3"/>
      <c r="E288" t="s">
        <v>144</v>
      </c>
      <c r="G288" s="3">
        <v>5009.2509765625</v>
      </c>
      <c r="H288" s="3">
        <v>6899.9794921875</v>
      </c>
      <c r="I288" s="3">
        <v>5904.287109375</v>
      </c>
      <c r="J288" s="3">
        <v>6675.07177734375</v>
      </c>
      <c r="K288" s="3">
        <v>17513.859375</v>
      </c>
      <c r="L288" s="3">
        <v>1.6605012933723599E-4</v>
      </c>
      <c r="M288" s="3"/>
      <c r="N288" s="3"/>
      <c r="O288" s="3">
        <v>4473.39501953125</v>
      </c>
      <c r="P288" s="3">
        <v>5247.47412109375</v>
      </c>
      <c r="Q288" s="3"/>
      <c r="R288" s="3">
        <v>0.63356858491897605</v>
      </c>
      <c r="S288" s="3">
        <v>0.50609958171844505</v>
      </c>
      <c r="T288" s="3">
        <v>0.52315419912338301</v>
      </c>
      <c r="U288" s="3">
        <v>0.46274444460868802</v>
      </c>
      <c r="W288" t="s">
        <v>50</v>
      </c>
      <c r="X288" t="s">
        <v>51</v>
      </c>
      <c r="Y288" t="s">
        <v>52</v>
      </c>
      <c r="Z288" t="s">
        <v>53</v>
      </c>
      <c r="AA288" t="s">
        <v>53</v>
      </c>
      <c r="AC288" s="2">
        <v>0.337568994006607</v>
      </c>
      <c r="AD288" s="2">
        <v>0.55010187625884999</v>
      </c>
      <c r="AE288" s="2">
        <v>0.28325217962264998</v>
      </c>
      <c r="AF288" s="2">
        <v>0.200339645147324</v>
      </c>
      <c r="AG288" s="2">
        <v>1.0540575981140099</v>
      </c>
      <c r="AH288" s="2">
        <v>-1.08403873443604</v>
      </c>
      <c r="AI288" s="2">
        <v>-3.7125693634152399E-3</v>
      </c>
      <c r="AJ288" s="2">
        <v>0.51623847649896604</v>
      </c>
      <c r="AK288" s="2">
        <v>0.568338306481874</v>
      </c>
      <c r="AL288" s="2">
        <v>0.478259771596311</v>
      </c>
      <c r="AM288" s="2">
        <v>0.60473608970642101</v>
      </c>
      <c r="AN288" s="2">
        <v>0.65841317176818903</v>
      </c>
      <c r="AO288" s="2">
        <v>0.37591922283172602</v>
      </c>
      <c r="AP288" s="2">
        <v>0.77529513835907005</v>
      </c>
    </row>
    <row r="289" spans="1:42" x14ac:dyDescent="0.3">
      <c r="A289" t="s">
        <v>143</v>
      </c>
      <c r="B289" s="3">
        <v>2020</v>
      </c>
      <c r="C289" s="3">
        <v>1.1051880000000001</v>
      </c>
      <c r="D289" s="3"/>
      <c r="E289" t="s">
        <v>144</v>
      </c>
      <c r="G289" s="3">
        <v>5149.05859375</v>
      </c>
      <c r="H289" s="3">
        <v>7337.9404296875</v>
      </c>
      <c r="I289" s="3">
        <v>6136.1796875</v>
      </c>
      <c r="J289" s="3">
        <v>7073.55419921875</v>
      </c>
      <c r="K289" s="3">
        <v>20206.888671875</v>
      </c>
      <c r="L289" s="3">
        <v>1.79035938344896E-4</v>
      </c>
      <c r="M289" s="3"/>
      <c r="N289" s="3"/>
      <c r="O289" s="3">
        <v>4933.33349609375</v>
      </c>
      <c r="P289" s="3">
        <v>6150.83203125</v>
      </c>
      <c r="Q289" s="3"/>
      <c r="R289" s="3">
        <v>0.63356858491897605</v>
      </c>
      <c r="S289" s="3">
        <v>0.50997948646545399</v>
      </c>
      <c r="T289" s="3">
        <v>0.51841217279434204</v>
      </c>
      <c r="U289" s="3">
        <v>0.44971325993537897</v>
      </c>
      <c r="W289" t="s">
        <v>50</v>
      </c>
      <c r="X289" t="s">
        <v>51</v>
      </c>
      <c r="Y289" t="s">
        <v>52</v>
      </c>
      <c r="Z289" t="s">
        <v>53</v>
      </c>
      <c r="AA289" t="s">
        <v>53</v>
      </c>
      <c r="AC289" s="2">
        <v>0.29418733705989802</v>
      </c>
      <c r="AD289" s="2">
        <v>0.52485883235931396</v>
      </c>
      <c r="AE289" s="2">
        <v>0.30944582819938699</v>
      </c>
      <c r="AF289" s="2">
        <v>0.20307210087776201</v>
      </c>
      <c r="AG289" s="2">
        <v>1.0174919366836499</v>
      </c>
      <c r="AH289" s="2">
        <v>-1.0504136085510301</v>
      </c>
      <c r="AI289" s="2">
        <v>-4.45508165284991E-3</v>
      </c>
      <c r="AJ289" s="2">
        <v>0.52709763706553003</v>
      </c>
      <c r="AK289" s="2">
        <v>0.53824896641679498</v>
      </c>
      <c r="AL289" s="2">
        <v>0.46573601982317497</v>
      </c>
      <c r="AM289" s="2">
        <v>0.59069061279296897</v>
      </c>
      <c r="AN289" s="2">
        <v>0.65411853790283203</v>
      </c>
      <c r="AO289" s="2">
        <v>0.352761059999466</v>
      </c>
      <c r="AP289" s="2">
        <v>0.77312701940536499</v>
      </c>
    </row>
    <row r="290" spans="1:42" x14ac:dyDescent="0.3">
      <c r="A290" t="s">
        <v>145</v>
      </c>
      <c r="B290" s="3">
        <v>2015</v>
      </c>
      <c r="C290" s="3">
        <v>7.041E-2</v>
      </c>
      <c r="D290" s="3"/>
      <c r="E290" t="s">
        <v>58</v>
      </c>
      <c r="G290" s="3">
        <v>915.96838378906295</v>
      </c>
      <c r="H290" s="3">
        <v>1018.24877929688</v>
      </c>
      <c r="I290" s="3">
        <v>899.98602294921898</v>
      </c>
      <c r="J290" s="3">
        <v>772.86682128906295</v>
      </c>
      <c r="K290" s="3">
        <v>2612.2412109375</v>
      </c>
      <c r="L290" s="3"/>
      <c r="M290" s="3"/>
      <c r="N290" s="3"/>
      <c r="O290" s="3">
        <v>1046.26647949219</v>
      </c>
      <c r="P290" s="3">
        <v>1243.09204101563</v>
      </c>
      <c r="Q290" s="3"/>
      <c r="R290" s="3"/>
      <c r="S290" s="3">
        <v>0.58937829732894897</v>
      </c>
      <c r="T290" s="3">
        <v>0.60082823038101196</v>
      </c>
      <c r="U290" s="3">
        <v>0.69965100288391102</v>
      </c>
      <c r="W290" t="s">
        <v>50</v>
      </c>
      <c r="X290" t="s">
        <v>51</v>
      </c>
      <c r="Y290" t="s">
        <v>52</v>
      </c>
      <c r="Z290" t="s">
        <v>53</v>
      </c>
      <c r="AC290" s="2">
        <v>0.51724992360875299</v>
      </c>
      <c r="AD290" s="2">
        <v>0.91999357938766502</v>
      </c>
      <c r="AE290" s="2">
        <v>0.13233892619609799</v>
      </c>
      <c r="AF290" s="2">
        <v>0.26516321301460299</v>
      </c>
      <c r="AG290" s="2">
        <v>0.19875393807888</v>
      </c>
      <c r="AH290" s="2">
        <v>-0.618843853473663</v>
      </c>
      <c r="AI290" s="2">
        <v>0.102594256401062</v>
      </c>
      <c r="AJ290" s="2">
        <v>0.59689410603312998</v>
      </c>
      <c r="AK290" s="2">
        <v>0.703368048516963</v>
      </c>
      <c r="AL290" s="2">
        <v>0.56330183979382698</v>
      </c>
      <c r="AM290" s="2">
        <v>0.58421212434768699</v>
      </c>
      <c r="AN290" s="2">
        <v>0.45218560099601701</v>
      </c>
      <c r="AO290" s="2">
        <v>0.49908092617988598</v>
      </c>
      <c r="AP290" s="2"/>
    </row>
    <row r="291" spans="1:42" x14ac:dyDescent="0.3">
      <c r="A291" t="s">
        <v>145</v>
      </c>
      <c r="B291" s="3">
        <v>2016</v>
      </c>
      <c r="C291" s="3">
        <v>6.9606000000000001E-2</v>
      </c>
      <c r="D291" s="3"/>
      <c r="E291" t="s">
        <v>58</v>
      </c>
      <c r="G291" s="3">
        <v>948.54364013671898</v>
      </c>
      <c r="H291" s="3">
        <v>1067.73364257813</v>
      </c>
      <c r="I291" s="3">
        <v>948.92718505859398</v>
      </c>
      <c r="J291" s="3">
        <v>840.05029296875</v>
      </c>
      <c r="K291" s="3">
        <v>2647.54760742188</v>
      </c>
      <c r="L291" s="3"/>
      <c r="M291" s="3"/>
      <c r="N291" s="3"/>
      <c r="O291" s="3">
        <v>1048.01049804688</v>
      </c>
      <c r="P291" s="3">
        <v>1270.44165039063</v>
      </c>
      <c r="Q291" s="3"/>
      <c r="R291" s="3"/>
      <c r="S291" s="3">
        <v>0.59116744995117199</v>
      </c>
      <c r="T291" s="3">
        <v>0.60724329948425304</v>
      </c>
      <c r="U291" s="3">
        <v>0.68594658374786399</v>
      </c>
      <c r="W291" t="s">
        <v>50</v>
      </c>
      <c r="X291" t="s">
        <v>51</v>
      </c>
      <c r="Y291" t="s">
        <v>52</v>
      </c>
      <c r="Z291" t="s">
        <v>53</v>
      </c>
      <c r="AC291" s="2">
        <v>0.50958527890597605</v>
      </c>
      <c r="AD291" s="2">
        <v>0.89107263088226296</v>
      </c>
      <c r="AE291" s="2">
        <v>0.14188437163829801</v>
      </c>
      <c r="AF291" s="2">
        <v>0.23807840049266801</v>
      </c>
      <c r="AG291" s="2">
        <v>9.1064289212226895E-2</v>
      </c>
      <c r="AH291" s="2">
        <v>-0.465223759412766</v>
      </c>
      <c r="AI291" s="2">
        <v>0.103124059736729</v>
      </c>
      <c r="AJ291" s="2">
        <v>0.60222445073772402</v>
      </c>
      <c r="AK291" s="2">
        <v>0.73517843082078105</v>
      </c>
      <c r="AL291" s="2">
        <v>0.54978375403442803</v>
      </c>
      <c r="AM291" s="2">
        <v>0.60684674978256203</v>
      </c>
      <c r="AN291" s="2">
        <v>0.45543840527534502</v>
      </c>
      <c r="AO291" s="2">
        <v>0.52034115791320801</v>
      </c>
      <c r="AP291" s="2"/>
    </row>
    <row r="292" spans="1:42" x14ac:dyDescent="0.3">
      <c r="A292" t="s">
        <v>145</v>
      </c>
      <c r="B292" s="3">
        <v>2017</v>
      </c>
      <c r="C292" s="3">
        <v>6.8496000000000001E-2</v>
      </c>
      <c r="D292" s="3"/>
      <c r="E292" t="s">
        <v>58</v>
      </c>
      <c r="G292" s="3">
        <v>923.558837890625</v>
      </c>
      <c r="H292" s="3">
        <v>1052.658203125</v>
      </c>
      <c r="I292" s="3">
        <v>871.83453369140602</v>
      </c>
      <c r="J292" s="3">
        <v>786.62823486328102</v>
      </c>
      <c r="K292" s="3">
        <v>2729.794921875</v>
      </c>
      <c r="L292" s="3"/>
      <c r="M292" s="3"/>
      <c r="N292" s="3"/>
      <c r="O292" s="3">
        <v>1043.06555175781</v>
      </c>
      <c r="P292" s="3">
        <v>1270.94909667969</v>
      </c>
      <c r="Q292" s="3"/>
      <c r="R292" s="3"/>
      <c r="S292" s="3">
        <v>0.58572137355804399</v>
      </c>
      <c r="T292" s="3">
        <v>0.59724634885787997</v>
      </c>
      <c r="U292" s="3">
        <v>0.66193908452987704</v>
      </c>
      <c r="W292" t="s">
        <v>51</v>
      </c>
      <c r="X292" t="s">
        <v>51</v>
      </c>
      <c r="Y292" t="s">
        <v>52</v>
      </c>
      <c r="Z292" t="s">
        <v>53</v>
      </c>
      <c r="AC292" s="2">
        <v>0.52603341989389596</v>
      </c>
      <c r="AD292" s="2">
        <v>0.85782825946807895</v>
      </c>
      <c r="AE292" s="2">
        <v>0.16411744058132199</v>
      </c>
      <c r="AF292" s="2">
        <v>0.31624457240104697</v>
      </c>
      <c r="AG292" s="2">
        <v>7.74116441607475E-2</v>
      </c>
      <c r="AH292" s="2">
        <v>-0.46858099102973899</v>
      </c>
      <c r="AI292" s="2">
        <v>5.2979111671447802E-2</v>
      </c>
      <c r="AJ292" s="2">
        <v>0.61554777870625399</v>
      </c>
      <c r="AK292" s="2">
        <v>0.67969439573951795</v>
      </c>
      <c r="AL292" s="2">
        <v>0.50481585586599897</v>
      </c>
      <c r="AM292" s="2">
        <v>0.63195729255676303</v>
      </c>
      <c r="AN292" s="2">
        <v>0.47223412990570102</v>
      </c>
      <c r="AO292" s="2">
        <v>0.49960768222808799</v>
      </c>
      <c r="AP292" s="2"/>
    </row>
    <row r="293" spans="1:42" x14ac:dyDescent="0.3">
      <c r="A293" t="s">
        <v>145</v>
      </c>
      <c r="B293" s="3">
        <v>2018</v>
      </c>
      <c r="C293" s="3">
        <v>6.8173999999999998E-2</v>
      </c>
      <c r="D293" s="3"/>
      <c r="E293" t="s">
        <v>58</v>
      </c>
      <c r="G293" s="3">
        <v>1120.14709472656</v>
      </c>
      <c r="H293" s="3">
        <v>1414.24084472656</v>
      </c>
      <c r="I293" s="3">
        <v>956.69122314453102</v>
      </c>
      <c r="J293" s="3">
        <v>867.91223144531295</v>
      </c>
      <c r="K293" s="3">
        <v>3328.3779296875</v>
      </c>
      <c r="L293" s="3"/>
      <c r="M293" s="3"/>
      <c r="N293" s="3"/>
      <c r="O293" s="3">
        <v>1198.80981445313</v>
      </c>
      <c r="P293" s="3">
        <v>1613.89306640625</v>
      </c>
      <c r="Q293" s="3"/>
      <c r="R293" s="3"/>
      <c r="S293" s="3">
        <v>0.57015985250473</v>
      </c>
      <c r="T293" s="3">
        <v>0.57988446950912498</v>
      </c>
      <c r="U293" s="3">
        <v>0.63920104503631603</v>
      </c>
      <c r="W293" t="s">
        <v>50</v>
      </c>
      <c r="X293" t="s">
        <v>51</v>
      </c>
      <c r="Y293" t="s">
        <v>52</v>
      </c>
      <c r="Z293" t="s">
        <v>53</v>
      </c>
      <c r="AC293" s="2">
        <v>0.51739721480726897</v>
      </c>
      <c r="AD293" s="2">
        <v>0.93050420284271196</v>
      </c>
      <c r="AE293" s="2">
        <v>0.338851898908615</v>
      </c>
      <c r="AF293" s="2">
        <v>0.360118418931961</v>
      </c>
      <c r="AG293" s="2">
        <v>5.2432633936405203E-2</v>
      </c>
      <c r="AH293" s="2">
        <v>-0.57126069068908703</v>
      </c>
      <c r="AI293" s="2">
        <v>-0.110646411776543</v>
      </c>
      <c r="AJ293" s="2">
        <v>0.602662013833695</v>
      </c>
      <c r="AK293" s="2">
        <v>0.61692356864210296</v>
      </c>
      <c r="AL293" s="2">
        <v>0.486178141723902</v>
      </c>
      <c r="AM293" s="2">
        <v>0.64241749048232999</v>
      </c>
      <c r="AN293" s="2">
        <v>0.47030064463615401</v>
      </c>
      <c r="AO293" s="2">
        <v>0.45629575848579401</v>
      </c>
      <c r="AP293" s="2"/>
    </row>
    <row r="294" spans="1:42" x14ac:dyDescent="0.3">
      <c r="A294" t="s">
        <v>145</v>
      </c>
      <c r="B294" s="3">
        <v>2019</v>
      </c>
      <c r="C294" s="3">
        <v>6.7879999999999996E-2</v>
      </c>
      <c r="D294" s="3"/>
      <c r="E294" t="s">
        <v>58</v>
      </c>
      <c r="G294" s="3">
        <v>1202.04333496094</v>
      </c>
      <c r="H294" s="3">
        <v>1452.10534667969</v>
      </c>
      <c r="I294" s="3">
        <v>1074.5849609375</v>
      </c>
      <c r="J294" s="3">
        <v>999.22967529296898</v>
      </c>
      <c r="K294" s="3">
        <v>3853.1484375</v>
      </c>
      <c r="L294" s="3"/>
      <c r="M294" s="3"/>
      <c r="N294" s="3"/>
      <c r="O294" s="3">
        <v>1224.65893554688</v>
      </c>
      <c r="P294" s="3">
        <v>1556.47900390625</v>
      </c>
      <c r="Q294" s="3"/>
      <c r="R294" s="3"/>
      <c r="S294" s="3">
        <v>0.56710475683212302</v>
      </c>
      <c r="T294" s="3">
        <v>0.56909137964248702</v>
      </c>
      <c r="U294" s="3">
        <v>0.61200839281082198</v>
      </c>
      <c r="W294" t="s">
        <v>50</v>
      </c>
      <c r="X294" t="s">
        <v>54</v>
      </c>
      <c r="Y294" t="s">
        <v>52</v>
      </c>
      <c r="Z294" t="s">
        <v>53</v>
      </c>
      <c r="AC294" s="2">
        <v>0.51468424964300596</v>
      </c>
      <c r="AD294" s="2">
        <v>0.90507256984710704</v>
      </c>
      <c r="AE294" s="2">
        <v>0.25025478005409202</v>
      </c>
      <c r="AF294" s="2">
        <v>0.29789748787879899</v>
      </c>
      <c r="AG294" s="2">
        <v>6.0342036187648801E-2</v>
      </c>
      <c r="AH294" s="2">
        <v>-0.48315778374671903</v>
      </c>
      <c r="AI294" s="2">
        <v>-3.0409084632992699E-2</v>
      </c>
      <c r="AJ294" s="2">
        <v>0.58638580443675703</v>
      </c>
      <c r="AK294" s="2">
        <v>0.57864090963436698</v>
      </c>
      <c r="AL294" s="2">
        <v>0.508525048075956</v>
      </c>
      <c r="AM294" s="2">
        <v>0.66463607549667403</v>
      </c>
      <c r="AN294" s="2">
        <v>0.48949658870696999</v>
      </c>
      <c r="AO294" s="2">
        <v>0.431027412414551</v>
      </c>
      <c r="AP294" s="2"/>
    </row>
    <row r="295" spans="1:42" x14ac:dyDescent="0.3">
      <c r="A295" t="s">
        <v>145</v>
      </c>
      <c r="B295" s="3">
        <v>2020</v>
      </c>
      <c r="C295" s="3">
        <v>6.7572999999999994E-2</v>
      </c>
      <c r="D295" s="3"/>
      <c r="E295" t="s">
        <v>58</v>
      </c>
      <c r="G295" s="3">
        <v>1038.15551757813</v>
      </c>
      <c r="H295" s="3">
        <v>1274.982421875</v>
      </c>
      <c r="I295" s="3">
        <v>931.14447021484398</v>
      </c>
      <c r="J295" s="3">
        <v>895.32147216796898</v>
      </c>
      <c r="K295" s="3">
        <v>4434.7060546875</v>
      </c>
      <c r="L295" s="3"/>
      <c r="M295" s="3"/>
      <c r="N295" s="3"/>
      <c r="O295" s="3">
        <v>1040.32983398438</v>
      </c>
      <c r="P295" s="3">
        <v>1323.90502929688</v>
      </c>
      <c r="Q295" s="3"/>
      <c r="R295" s="3"/>
      <c r="S295" s="3">
        <v>0.55048841238021895</v>
      </c>
      <c r="T295" s="3">
        <v>0.54407757520675704</v>
      </c>
      <c r="U295" s="3">
        <v>0.56584686040878296</v>
      </c>
      <c r="W295" t="s">
        <v>50</v>
      </c>
      <c r="X295" t="s">
        <v>54</v>
      </c>
      <c r="Y295" t="s">
        <v>52</v>
      </c>
      <c r="Z295" t="s">
        <v>53</v>
      </c>
      <c r="AC295" s="2">
        <v>0.50874127685491399</v>
      </c>
      <c r="AD295" s="2">
        <v>0.86399680376052901</v>
      </c>
      <c r="AE295" s="2">
        <v>0.26451605558395402</v>
      </c>
      <c r="AF295" s="2">
        <v>0.29553699493408198</v>
      </c>
      <c r="AG295" s="2">
        <v>3.3077418804168701E-2</v>
      </c>
      <c r="AH295" s="2">
        <v>-0.37393853068351701</v>
      </c>
      <c r="AI295" s="2">
        <v>-8.3188802003860501E-2</v>
      </c>
      <c r="AJ295" s="2">
        <v>0.56834084487172398</v>
      </c>
      <c r="AK295" s="2">
        <v>0.51597493043804699</v>
      </c>
      <c r="AL295" s="2">
        <v>0.498297174825726</v>
      </c>
      <c r="AM295" s="2">
        <v>0.65848082304000899</v>
      </c>
      <c r="AN295" s="2">
        <v>0.49113819003105202</v>
      </c>
      <c r="AO295" s="2">
        <v>0.38098925352096602</v>
      </c>
      <c r="AP295" s="2"/>
    </row>
    <row r="296" spans="1:42" x14ac:dyDescent="0.3">
      <c r="A296" t="s">
        <v>146</v>
      </c>
      <c r="B296" s="3">
        <v>2015</v>
      </c>
      <c r="C296" s="3">
        <v>5.6837010000000001</v>
      </c>
      <c r="D296" s="3">
        <v>1406.89</v>
      </c>
      <c r="E296" t="s">
        <v>147</v>
      </c>
      <c r="G296" s="3">
        <v>202925.390625</v>
      </c>
      <c r="H296" s="3">
        <v>281979.46875</v>
      </c>
      <c r="I296" s="3">
        <v>301576.8125</v>
      </c>
      <c r="J296" s="3">
        <v>293397.5</v>
      </c>
      <c r="K296" s="3">
        <v>1444586.625</v>
      </c>
      <c r="L296" s="3">
        <v>1.8740229308605201E-2</v>
      </c>
      <c r="M296" s="3">
        <v>0.92131704092025801</v>
      </c>
      <c r="N296" s="3">
        <v>0.85424566268920898</v>
      </c>
      <c r="O296" s="3">
        <v>220431.53125</v>
      </c>
      <c r="P296" s="3">
        <v>312937.46875</v>
      </c>
      <c r="Q296" s="3">
        <v>0.95780217647552501</v>
      </c>
      <c r="R296" s="3">
        <v>0.62479513883590698</v>
      </c>
      <c r="S296" s="3">
        <v>1.0849200487136801</v>
      </c>
      <c r="T296" s="3">
        <v>1.00060391426086</v>
      </c>
      <c r="U296" s="3">
        <v>1.02849864959717</v>
      </c>
      <c r="W296" t="s">
        <v>50</v>
      </c>
      <c r="X296" t="s">
        <v>51</v>
      </c>
      <c r="Y296" t="s">
        <v>52</v>
      </c>
      <c r="Z296" t="s">
        <v>53</v>
      </c>
      <c r="AA296" t="s">
        <v>53</v>
      </c>
      <c r="AC296" s="2">
        <v>0.75662230829389299</v>
      </c>
      <c r="AD296" s="2">
        <v>0.46524420380592302</v>
      </c>
      <c r="AE296" s="2">
        <v>0.26944360136985801</v>
      </c>
      <c r="AF296" s="2">
        <v>0.22639557719230699</v>
      </c>
      <c r="AG296" s="2">
        <v>0.55354362726211603</v>
      </c>
      <c r="AH296" s="2">
        <v>-0.54881882667541504</v>
      </c>
      <c r="AI296" s="2">
        <v>3.4191869199275998E-2</v>
      </c>
      <c r="AJ296" s="2">
        <v>1.0463497965149999</v>
      </c>
      <c r="AK296" s="2">
        <v>0.78417129309473199</v>
      </c>
      <c r="AL296" s="2">
        <v>1.1641820564679299</v>
      </c>
      <c r="AM296" s="2">
        <v>0.58259838819503795</v>
      </c>
      <c r="AN296" s="2">
        <v>0.52991092205047596</v>
      </c>
      <c r="AO296" s="2">
        <v>0.71203529834747303</v>
      </c>
      <c r="AP296" s="2">
        <v>0.80718982219696001</v>
      </c>
    </row>
    <row r="297" spans="1:42" x14ac:dyDescent="0.3">
      <c r="A297" t="s">
        <v>146</v>
      </c>
      <c r="B297" s="3">
        <v>2016</v>
      </c>
      <c r="C297" s="3">
        <v>5.7282010000000003</v>
      </c>
      <c r="D297" s="3">
        <v>1412.02</v>
      </c>
      <c r="E297" t="s">
        <v>147</v>
      </c>
      <c r="G297" s="3">
        <v>207519.125</v>
      </c>
      <c r="H297" s="3">
        <v>295048.21875</v>
      </c>
      <c r="I297" s="3">
        <v>313998.40625</v>
      </c>
      <c r="J297" s="3">
        <v>306732.09375</v>
      </c>
      <c r="K297" s="3">
        <v>1525994.375</v>
      </c>
      <c r="L297" s="3">
        <v>1.9562279805541E-2</v>
      </c>
      <c r="M297" s="3">
        <v>0.92366856336593595</v>
      </c>
      <c r="N297" s="3">
        <v>0.858997702598572</v>
      </c>
      <c r="O297" s="3">
        <v>225160.234375</v>
      </c>
      <c r="P297" s="3">
        <v>323461.3125</v>
      </c>
      <c r="Q297" s="3">
        <v>0.96432286500930797</v>
      </c>
      <c r="R297" s="3">
        <v>0.62320548295974698</v>
      </c>
      <c r="S297" s="3">
        <v>1.08740830421448</v>
      </c>
      <c r="T297" s="3">
        <v>0.99421471357345603</v>
      </c>
      <c r="U297" s="3">
        <v>1.01776707172394</v>
      </c>
      <c r="W297" t="s">
        <v>50</v>
      </c>
      <c r="X297" t="s">
        <v>51</v>
      </c>
      <c r="Y297" t="s">
        <v>52</v>
      </c>
      <c r="Z297" t="s">
        <v>53</v>
      </c>
      <c r="AA297" t="s">
        <v>53</v>
      </c>
      <c r="AC297" s="2">
        <v>0.75698371833604305</v>
      </c>
      <c r="AD297" s="2">
        <v>0.45504844188690202</v>
      </c>
      <c r="AE297" s="2">
        <v>0.285360068082809</v>
      </c>
      <c r="AF297" s="2">
        <v>0.221500024199486</v>
      </c>
      <c r="AG297" s="2">
        <v>0.53688716888427701</v>
      </c>
      <c r="AH297" s="2">
        <v>-0.52614927291870095</v>
      </c>
      <c r="AI297" s="2">
        <v>2.73536425083876E-2</v>
      </c>
      <c r="AJ297" s="2">
        <v>1.0570326062389199</v>
      </c>
      <c r="AK297" s="2">
        <v>0.77326579712175303</v>
      </c>
      <c r="AL297" s="2">
        <v>1.1498120368265701</v>
      </c>
      <c r="AM297" s="2">
        <v>0.57522904872894298</v>
      </c>
      <c r="AN297" s="2">
        <v>0.52313894033431996</v>
      </c>
      <c r="AO297" s="2">
        <v>0.70348507165908802</v>
      </c>
      <c r="AP297" s="2">
        <v>0.77831619977951105</v>
      </c>
    </row>
    <row r="298" spans="1:42" x14ac:dyDescent="0.3">
      <c r="A298" t="s">
        <v>146</v>
      </c>
      <c r="B298" s="3">
        <v>2017</v>
      </c>
      <c r="C298" s="3">
        <v>5.7651680000000001</v>
      </c>
      <c r="D298" s="3">
        <v>1404.07</v>
      </c>
      <c r="E298" t="s">
        <v>147</v>
      </c>
      <c r="G298" s="3">
        <v>217240.78125</v>
      </c>
      <c r="H298" s="3">
        <v>311862.5</v>
      </c>
      <c r="I298" s="3">
        <v>333458.03125</v>
      </c>
      <c r="J298" s="3">
        <v>321284.6875</v>
      </c>
      <c r="K298" s="3">
        <v>1597723.625</v>
      </c>
      <c r="L298" s="3">
        <v>2.0307937636971501E-2</v>
      </c>
      <c r="M298" s="3">
        <v>0.92446607351303101</v>
      </c>
      <c r="N298" s="3">
        <v>0.86416846513748202</v>
      </c>
      <c r="O298" s="3">
        <v>229893.6875</v>
      </c>
      <c r="P298" s="3">
        <v>332176.59375</v>
      </c>
      <c r="Q298" s="3">
        <v>0.97681039571762096</v>
      </c>
      <c r="R298" s="3">
        <v>0.61812722682952903</v>
      </c>
      <c r="S298" s="3">
        <v>1.0924446582794201</v>
      </c>
      <c r="T298" s="3">
        <v>0.994459688663483</v>
      </c>
      <c r="U298" s="3">
        <v>1.0321394205093399</v>
      </c>
      <c r="W298" t="s">
        <v>51</v>
      </c>
      <c r="X298" t="s">
        <v>51</v>
      </c>
      <c r="Y298" t="s">
        <v>52</v>
      </c>
      <c r="Z298" t="s">
        <v>53</v>
      </c>
      <c r="AA298" t="s">
        <v>53</v>
      </c>
      <c r="AC298" s="2">
        <v>0.75654120226209198</v>
      </c>
      <c r="AD298" s="2">
        <v>0.45566740632057201</v>
      </c>
      <c r="AE298" s="2">
        <v>0.29451051354408297</v>
      </c>
      <c r="AF298" s="2">
        <v>0.22049550712108601</v>
      </c>
      <c r="AG298" s="2">
        <v>0.53191798925399802</v>
      </c>
      <c r="AH298" s="2">
        <v>-0.53925997018814098</v>
      </c>
      <c r="AI298" s="2">
        <v>3.6668561398983002E-2</v>
      </c>
      <c r="AJ298" s="2">
        <v>1.0654652957143</v>
      </c>
      <c r="AK298" s="2">
        <v>0.769497315709328</v>
      </c>
      <c r="AL298" s="2">
        <v>1.1481992578711699</v>
      </c>
      <c r="AM298" s="2">
        <v>0.59353840351104703</v>
      </c>
      <c r="AN298" s="2">
        <v>0.53168606758117698</v>
      </c>
      <c r="AO298" s="2">
        <v>0.71119153499603305</v>
      </c>
      <c r="AP298" s="2">
        <v>0.77799129486083995</v>
      </c>
    </row>
    <row r="299" spans="1:42" x14ac:dyDescent="0.3">
      <c r="A299" t="s">
        <v>146</v>
      </c>
      <c r="B299" s="3">
        <v>2018</v>
      </c>
      <c r="C299" s="3">
        <v>5.7938239999999999</v>
      </c>
      <c r="D299" s="3">
        <v>1380.78</v>
      </c>
      <c r="E299" t="s">
        <v>147</v>
      </c>
      <c r="G299" s="3">
        <v>223874.234375</v>
      </c>
      <c r="H299" s="3">
        <v>324893.875</v>
      </c>
      <c r="I299" s="3">
        <v>342544.34375</v>
      </c>
      <c r="J299" s="3">
        <v>327994.71875</v>
      </c>
      <c r="K299" s="3">
        <v>1688915.75</v>
      </c>
      <c r="L299" s="3">
        <v>2.1032489836216001E-2</v>
      </c>
      <c r="M299" s="3">
        <v>0.91570067405700695</v>
      </c>
      <c r="N299" s="3">
        <v>0.87312042713165305</v>
      </c>
      <c r="O299" s="3">
        <v>235886.21875</v>
      </c>
      <c r="P299" s="3">
        <v>341977.6875</v>
      </c>
      <c r="Q299" s="3">
        <v>0.98387897014617898</v>
      </c>
      <c r="R299" s="3">
        <v>0.62359410524368297</v>
      </c>
      <c r="S299" s="3">
        <v>1.1476539373397801</v>
      </c>
      <c r="T299" s="3">
        <v>1.0372185707092301</v>
      </c>
      <c r="U299" s="3">
        <v>1.08322906494141</v>
      </c>
      <c r="W299" t="s">
        <v>50</v>
      </c>
      <c r="X299" t="s">
        <v>51</v>
      </c>
      <c r="Y299" t="s">
        <v>52</v>
      </c>
      <c r="Z299" t="s">
        <v>53</v>
      </c>
      <c r="AA299" t="s">
        <v>53</v>
      </c>
      <c r="AC299" s="2">
        <v>0.75746035109883503</v>
      </c>
      <c r="AD299" s="2">
        <v>0.46655017137527499</v>
      </c>
      <c r="AE299" s="2">
        <v>0.307991713285446</v>
      </c>
      <c r="AF299" s="2">
        <v>0.21600425243377699</v>
      </c>
      <c r="AG299" s="2">
        <v>0.54052716493606601</v>
      </c>
      <c r="AH299" s="2">
        <v>-0.56329566240310702</v>
      </c>
      <c r="AI299" s="2">
        <v>3.2222334295511197E-2</v>
      </c>
      <c r="AJ299" s="2">
        <v>1.1111875451439399</v>
      </c>
      <c r="AK299" s="2">
        <v>0.79247768251196604</v>
      </c>
      <c r="AL299" s="2">
        <v>1.22641828569734</v>
      </c>
      <c r="AM299" s="2">
        <v>0.61212116479873702</v>
      </c>
      <c r="AN299" s="2">
        <v>0.55025488138198897</v>
      </c>
      <c r="AO299" s="2">
        <v>0.72821384668350198</v>
      </c>
      <c r="AP299" s="2">
        <v>0.75182807445526101</v>
      </c>
    </row>
    <row r="300" spans="1:42" x14ac:dyDescent="0.3">
      <c r="A300" t="s">
        <v>146</v>
      </c>
      <c r="B300" s="3">
        <v>2019</v>
      </c>
      <c r="C300" s="3">
        <v>5.8146180000000003</v>
      </c>
      <c r="D300" s="3">
        <v>1372.39</v>
      </c>
      <c r="E300" t="s">
        <v>147</v>
      </c>
      <c r="G300" s="3">
        <v>234272.671875</v>
      </c>
      <c r="H300" s="3">
        <v>335496.28125</v>
      </c>
      <c r="I300" s="3">
        <v>356947.96875</v>
      </c>
      <c r="J300" s="3">
        <v>348037.46875</v>
      </c>
      <c r="K300" s="3">
        <v>1776820</v>
      </c>
      <c r="L300" s="3">
        <v>2.1308973431587198E-2</v>
      </c>
      <c r="M300" s="3">
        <v>0.94454848766326904</v>
      </c>
      <c r="N300" s="3">
        <v>0.87616598606109597</v>
      </c>
      <c r="O300" s="3">
        <v>239438.984375</v>
      </c>
      <c r="P300" s="3">
        <v>344777.6875</v>
      </c>
      <c r="Q300" s="3">
        <v>0.98595619201660201</v>
      </c>
      <c r="R300" s="3">
        <v>0.626783907413483</v>
      </c>
      <c r="S300" s="3">
        <v>1.0630737543106099</v>
      </c>
      <c r="T300" s="3">
        <v>0.96765220165252697</v>
      </c>
      <c r="U300" s="3">
        <v>0.992425978183746</v>
      </c>
      <c r="W300" t="s">
        <v>50</v>
      </c>
      <c r="X300" t="s">
        <v>54</v>
      </c>
      <c r="Y300" t="s">
        <v>52</v>
      </c>
      <c r="Z300" t="s">
        <v>53</v>
      </c>
      <c r="AA300" t="s">
        <v>53</v>
      </c>
      <c r="AC300" s="2">
        <v>0.76104586824573495</v>
      </c>
      <c r="AD300" s="2">
        <v>0.45719182491302501</v>
      </c>
      <c r="AE300" s="2">
        <v>0.29084113240241999</v>
      </c>
      <c r="AF300" s="2">
        <v>0.21593306958675401</v>
      </c>
      <c r="AG300" s="2">
        <v>0.542139112949371</v>
      </c>
      <c r="AH300" s="2">
        <v>-0.52919548749923695</v>
      </c>
      <c r="AI300" s="2">
        <v>2.3090397939085999E-2</v>
      </c>
      <c r="AJ300" s="2">
        <v>1.03822881544288</v>
      </c>
      <c r="AK300" s="2">
        <v>0.74680766241562702</v>
      </c>
      <c r="AL300" s="2">
        <v>1.1156777326206599</v>
      </c>
      <c r="AM300" s="2">
        <v>0.58294069766998302</v>
      </c>
      <c r="AN300" s="2">
        <v>0.52779763936996504</v>
      </c>
      <c r="AO300" s="2">
        <v>0.680092513561249</v>
      </c>
      <c r="AP300" s="2">
        <v>0.68807905912399303</v>
      </c>
    </row>
    <row r="301" spans="1:42" x14ac:dyDescent="0.3">
      <c r="A301" t="s">
        <v>146</v>
      </c>
      <c r="B301" s="3">
        <v>2020</v>
      </c>
      <c r="C301" s="3">
        <v>5.8315299999999999</v>
      </c>
      <c r="D301" s="3">
        <v>1340.6</v>
      </c>
      <c r="E301" t="s">
        <v>147</v>
      </c>
      <c r="G301" s="3">
        <v>235656.609375</v>
      </c>
      <c r="H301" s="3">
        <v>343113.28125</v>
      </c>
      <c r="I301" s="3">
        <v>363623.1875</v>
      </c>
      <c r="J301" s="3">
        <v>352320.71875</v>
      </c>
      <c r="K301" s="3">
        <v>1878683.5</v>
      </c>
      <c r="L301" s="3">
        <v>2.13330183178186E-2</v>
      </c>
      <c r="M301" s="3">
        <v>0.94558268785476696</v>
      </c>
      <c r="N301" s="3">
        <v>0.88340973854064897</v>
      </c>
      <c r="O301" s="3">
        <v>235901.046875</v>
      </c>
      <c r="P301" s="3">
        <v>344296.71875</v>
      </c>
      <c r="Q301" s="3">
        <v>0.97826749086380005</v>
      </c>
      <c r="R301" s="3">
        <v>0.61859458684921298</v>
      </c>
      <c r="S301" s="3">
        <v>1.0804740190505999</v>
      </c>
      <c r="T301" s="3">
        <v>0.97802072763443004</v>
      </c>
      <c r="U301" s="3">
        <v>1.0093957185745199</v>
      </c>
      <c r="W301" t="s">
        <v>50</v>
      </c>
      <c r="X301" t="s">
        <v>54</v>
      </c>
      <c r="Y301" t="s">
        <v>52</v>
      </c>
      <c r="Z301" t="s">
        <v>53</v>
      </c>
      <c r="AA301" t="s">
        <v>53</v>
      </c>
      <c r="AC301" s="2">
        <v>0.76290016761008905</v>
      </c>
      <c r="AD301" s="2">
        <v>0.45050066709518399</v>
      </c>
      <c r="AE301" s="2">
        <v>0.304996728897095</v>
      </c>
      <c r="AF301" s="2">
        <v>0.21836891770362901</v>
      </c>
      <c r="AG301" s="2">
        <v>0.49934056401252702</v>
      </c>
      <c r="AH301" s="2">
        <v>-0.494903534650803</v>
      </c>
      <c r="AI301" s="2">
        <v>2.1696696057915701E-2</v>
      </c>
      <c r="AJ301" s="2">
        <v>1.04939631879298</v>
      </c>
      <c r="AK301" s="2">
        <v>0.75333675580804405</v>
      </c>
      <c r="AL301" s="2">
        <v>1.14458821497887</v>
      </c>
      <c r="AM301" s="2">
        <v>0.60098987817764304</v>
      </c>
      <c r="AN301" s="2">
        <v>0.535589158535004</v>
      </c>
      <c r="AO301" s="2">
        <v>0.67025578022003196</v>
      </c>
      <c r="AP301" s="2">
        <v>0.75502121448516901</v>
      </c>
    </row>
    <row r="302" spans="1:42" x14ac:dyDescent="0.3">
      <c r="A302" t="s">
        <v>148</v>
      </c>
      <c r="B302" s="3">
        <v>2015</v>
      </c>
      <c r="C302" s="3">
        <v>10.434829000000001</v>
      </c>
      <c r="D302" s="3">
        <v>2156.6</v>
      </c>
      <c r="E302" t="s">
        <v>149</v>
      </c>
      <c r="G302" s="3">
        <v>139432.3125</v>
      </c>
      <c r="H302" s="3">
        <v>176318.515625</v>
      </c>
      <c r="I302" s="3">
        <v>168487.359375</v>
      </c>
      <c r="J302" s="3">
        <v>170279.234375</v>
      </c>
      <c r="K302" s="3">
        <v>684170.5</v>
      </c>
      <c r="L302" s="3">
        <v>6.3237342983484303E-3</v>
      </c>
      <c r="M302" s="3">
        <v>0.63010662794113204</v>
      </c>
      <c r="N302" s="3">
        <v>0.62945264577865601</v>
      </c>
      <c r="O302" s="3">
        <v>152583.40625</v>
      </c>
      <c r="P302" s="3">
        <v>191911.453125</v>
      </c>
      <c r="Q302" s="3">
        <v>0.99065250158309903</v>
      </c>
      <c r="R302" s="3">
        <v>0.43434786796569802</v>
      </c>
      <c r="S302" s="3">
        <v>0.41446593403816201</v>
      </c>
      <c r="T302" s="3">
        <v>0.42237487435340898</v>
      </c>
      <c r="U302" s="3">
        <v>0.41793018579482999</v>
      </c>
      <c r="W302" t="s">
        <v>50</v>
      </c>
      <c r="X302" t="s">
        <v>51</v>
      </c>
      <c r="Y302" t="s">
        <v>52</v>
      </c>
      <c r="Z302" t="s">
        <v>53</v>
      </c>
      <c r="AA302" t="s">
        <v>53</v>
      </c>
      <c r="AC302" s="2">
        <v>0.61518279299311596</v>
      </c>
      <c r="AD302" s="2">
        <v>0.68341410160064697</v>
      </c>
      <c r="AE302" s="2">
        <v>0.21662183105945601</v>
      </c>
      <c r="AF302" s="2">
        <v>0.13543097674846699</v>
      </c>
      <c r="AG302" s="2">
        <v>8.5911385715007796E-2</v>
      </c>
      <c r="AH302" s="2">
        <v>-0.20085611939430201</v>
      </c>
      <c r="AI302" s="2">
        <v>7.9477831721305903E-2</v>
      </c>
      <c r="AJ302" s="2">
        <v>0.43368087368855701</v>
      </c>
      <c r="AK302" s="2">
        <v>0.45227110377600499</v>
      </c>
      <c r="AL302" s="2">
        <v>0.31750321608700799</v>
      </c>
      <c r="AM302" s="2">
        <v>0.57311856746673595</v>
      </c>
      <c r="AN302" s="2">
        <v>0.50722193717956499</v>
      </c>
      <c r="AO302" s="2">
        <v>0.284880131483078</v>
      </c>
      <c r="AP302" s="2">
        <v>0.85047823190689098</v>
      </c>
    </row>
    <row r="303" spans="1:42" x14ac:dyDescent="0.3">
      <c r="A303" t="s">
        <v>148</v>
      </c>
      <c r="B303" s="3">
        <v>2016</v>
      </c>
      <c r="C303" s="3">
        <v>10.55143</v>
      </c>
      <c r="D303" s="3">
        <v>2142.1</v>
      </c>
      <c r="E303" t="s">
        <v>149</v>
      </c>
      <c r="G303" s="3">
        <v>146580.578125</v>
      </c>
      <c r="H303" s="3">
        <v>189025.0625</v>
      </c>
      <c r="I303" s="3">
        <v>182162.609375</v>
      </c>
      <c r="J303" s="3">
        <v>184717.359375</v>
      </c>
      <c r="K303" s="3">
        <v>748575.5</v>
      </c>
      <c r="L303" s="3">
        <v>6.8749873898923397E-3</v>
      </c>
      <c r="M303" s="3">
        <v>0.63503611087799094</v>
      </c>
      <c r="N303" s="3">
        <v>0.62827783823013295</v>
      </c>
      <c r="O303" s="3">
        <v>160986.421875</v>
      </c>
      <c r="P303" s="3">
        <v>204813.96875</v>
      </c>
      <c r="Q303" s="3">
        <v>1.0033323764801001</v>
      </c>
      <c r="R303" s="3">
        <v>0.42650595307350198</v>
      </c>
      <c r="S303" s="3">
        <v>0.41728302836418202</v>
      </c>
      <c r="T303" s="3">
        <v>0.41558825969696001</v>
      </c>
      <c r="U303" s="3">
        <v>0.40984046459197998</v>
      </c>
      <c r="W303" t="s">
        <v>50</v>
      </c>
      <c r="X303" t="s">
        <v>51</v>
      </c>
      <c r="Y303" t="s">
        <v>52</v>
      </c>
      <c r="Z303" t="s">
        <v>53</v>
      </c>
      <c r="AA303" t="s">
        <v>53</v>
      </c>
      <c r="AC303" s="2">
        <v>0.62555661705689503</v>
      </c>
      <c r="AD303" s="2">
        <v>0.65804356336593595</v>
      </c>
      <c r="AE303" s="2">
        <v>0.229780733585358</v>
      </c>
      <c r="AF303" s="2">
        <v>0.13549627363681799</v>
      </c>
      <c r="AG303" s="2">
        <v>8.4103390574455303E-2</v>
      </c>
      <c r="AH303" s="2">
        <v>-0.18921460211277</v>
      </c>
      <c r="AI303" s="2">
        <v>8.1790670752525302E-2</v>
      </c>
      <c r="AJ303" s="2">
        <v>0.43903796635553899</v>
      </c>
      <c r="AK303" s="2">
        <v>0.40973553222561898</v>
      </c>
      <c r="AL303" s="2">
        <v>0.31162919681088203</v>
      </c>
      <c r="AM303" s="2">
        <v>0.56290441751480103</v>
      </c>
      <c r="AN303" s="2">
        <v>0.508960962295532</v>
      </c>
      <c r="AO303" s="2">
        <v>0.25254496932029702</v>
      </c>
      <c r="AP303" s="2">
        <v>0.81741541624069203</v>
      </c>
    </row>
    <row r="304" spans="1:42" x14ac:dyDescent="0.3">
      <c r="A304" t="s">
        <v>148</v>
      </c>
      <c r="B304" s="3">
        <v>2017</v>
      </c>
      <c r="C304" s="3">
        <v>10.666843</v>
      </c>
      <c r="D304" s="3">
        <v>2126.67</v>
      </c>
      <c r="E304" t="s">
        <v>149</v>
      </c>
      <c r="G304" s="3">
        <v>151158.1875</v>
      </c>
      <c r="H304" s="3">
        <v>192760.265625</v>
      </c>
      <c r="I304" s="3">
        <v>187399.15625</v>
      </c>
      <c r="J304" s="3">
        <v>190811.171875</v>
      </c>
      <c r="K304" s="3">
        <v>819138.5625</v>
      </c>
      <c r="L304" s="3">
        <v>7.3548941873013999E-3</v>
      </c>
      <c r="M304" s="3">
        <v>0.61331325769424405</v>
      </c>
      <c r="N304" s="3">
        <v>0.59666436910629295</v>
      </c>
      <c r="O304" s="3">
        <v>167230.265625</v>
      </c>
      <c r="P304" s="3">
        <v>209665.578125</v>
      </c>
      <c r="Q304" s="3">
        <v>1.0013445615768399</v>
      </c>
      <c r="R304" s="3">
        <v>0.42650595307350198</v>
      </c>
      <c r="S304" s="3">
        <v>0.42544543743133501</v>
      </c>
      <c r="T304" s="3">
        <v>0.42688581347465498</v>
      </c>
      <c r="U304" s="3">
        <v>0.41925239562988298</v>
      </c>
      <c r="W304" t="s">
        <v>51</v>
      </c>
      <c r="X304" t="s">
        <v>51</v>
      </c>
      <c r="Y304" t="s">
        <v>52</v>
      </c>
      <c r="Z304" t="s">
        <v>53</v>
      </c>
      <c r="AA304" t="s">
        <v>53</v>
      </c>
      <c r="AC304" s="2">
        <v>0.62884356949633502</v>
      </c>
      <c r="AD304" s="2">
        <v>0.64193218946456898</v>
      </c>
      <c r="AE304" s="2">
        <v>0.21802750229835499</v>
      </c>
      <c r="AF304" s="2">
        <v>0.15025509893894201</v>
      </c>
      <c r="AG304" s="2">
        <v>7.9332843422889696E-2</v>
      </c>
      <c r="AH304" s="2">
        <v>-0.194300532341003</v>
      </c>
      <c r="AI304" s="2">
        <v>0.10475292801857</v>
      </c>
      <c r="AJ304" s="2">
        <v>0.45358674818224198</v>
      </c>
      <c r="AK304" s="2">
        <v>0.43211941417196797</v>
      </c>
      <c r="AL304" s="2">
        <v>0.30521777951629298</v>
      </c>
      <c r="AM304" s="2">
        <v>0.58501011133194003</v>
      </c>
      <c r="AN304" s="2">
        <v>0.52661919593811002</v>
      </c>
      <c r="AO304" s="2">
        <v>0.267234146595001</v>
      </c>
      <c r="AP304" s="2">
        <v>0.77826100587844904</v>
      </c>
    </row>
    <row r="305" spans="1:42" x14ac:dyDescent="0.3">
      <c r="A305" t="s">
        <v>148</v>
      </c>
      <c r="B305" s="3">
        <v>2018</v>
      </c>
      <c r="C305" s="3">
        <v>10.782052999999999</v>
      </c>
      <c r="D305" s="3">
        <v>2109.65</v>
      </c>
      <c r="E305" t="s">
        <v>149</v>
      </c>
      <c r="G305" s="3">
        <v>161183.484375</v>
      </c>
      <c r="H305" s="3">
        <v>210201.109375</v>
      </c>
      <c r="I305" s="3">
        <v>200280.984375</v>
      </c>
      <c r="J305" s="3">
        <v>203851.25</v>
      </c>
      <c r="K305" s="3">
        <v>892218.5625</v>
      </c>
      <c r="L305" s="3">
        <v>7.8678401187062298E-3</v>
      </c>
      <c r="M305" s="3">
        <v>0.60954892635345503</v>
      </c>
      <c r="N305" s="3">
        <v>0.60502928495407104</v>
      </c>
      <c r="O305" s="3">
        <v>176066.328125</v>
      </c>
      <c r="P305" s="3">
        <v>225347.34375</v>
      </c>
      <c r="Q305" s="3">
        <v>1.01515352725983</v>
      </c>
      <c r="R305" s="3">
        <v>0.42650595307350198</v>
      </c>
      <c r="S305" s="3">
        <v>0.42016369104385398</v>
      </c>
      <c r="T305" s="3">
        <v>0.427176803350449</v>
      </c>
      <c r="U305" s="3">
        <v>0.41969522833824202</v>
      </c>
      <c r="W305" t="s">
        <v>50</v>
      </c>
      <c r="X305" t="s">
        <v>51</v>
      </c>
      <c r="Y305" t="s">
        <v>52</v>
      </c>
      <c r="Z305" t="s">
        <v>53</v>
      </c>
      <c r="AA305" t="s">
        <v>53</v>
      </c>
      <c r="AC305" s="2">
        <v>0.53183995821174701</v>
      </c>
      <c r="AD305" s="2">
        <v>0.64168345928192105</v>
      </c>
      <c r="AE305" s="2">
        <v>0.240457803010941</v>
      </c>
      <c r="AF305" s="2">
        <v>0.149008244276047</v>
      </c>
      <c r="AG305" s="2">
        <v>7.5422331690788297E-2</v>
      </c>
      <c r="AH305" s="2">
        <v>-0.20648165047168701</v>
      </c>
      <c r="AI305" s="2">
        <v>9.9909782409667997E-2</v>
      </c>
      <c r="AJ305" s="2">
        <v>0.44670258012023201</v>
      </c>
      <c r="AK305" s="2">
        <v>0.450237790124694</v>
      </c>
      <c r="AL305" s="2">
        <v>0.30587768767377099</v>
      </c>
      <c r="AM305" s="2">
        <v>0.61109924316406306</v>
      </c>
      <c r="AN305" s="2">
        <v>0.52697241306304898</v>
      </c>
      <c r="AO305" s="2">
        <v>0.26738232374191301</v>
      </c>
      <c r="AP305" s="2">
        <v>0.73737180233001698</v>
      </c>
    </row>
    <row r="306" spans="1:42" x14ac:dyDescent="0.3">
      <c r="A306" t="s">
        <v>148</v>
      </c>
      <c r="B306" s="3">
        <v>2019</v>
      </c>
      <c r="C306" s="3">
        <v>10.894043</v>
      </c>
      <c r="D306" s="3">
        <v>2070.54</v>
      </c>
      <c r="E306" t="s">
        <v>149</v>
      </c>
      <c r="G306" s="3">
        <v>176947.734375</v>
      </c>
      <c r="H306" s="3">
        <v>232093.390625</v>
      </c>
      <c r="I306" s="3">
        <v>221309.875</v>
      </c>
      <c r="J306" s="3">
        <v>225199.328125</v>
      </c>
      <c r="K306" s="3">
        <v>994433.6875</v>
      </c>
      <c r="L306" s="3">
        <v>8.57023987919092E-3</v>
      </c>
      <c r="M306" s="3">
        <v>0.624925017356873</v>
      </c>
      <c r="N306" s="3">
        <v>0.61976021528243996</v>
      </c>
      <c r="O306" s="3">
        <v>184626.953125</v>
      </c>
      <c r="P306" s="3">
        <v>239220.921875</v>
      </c>
      <c r="Q306" s="3">
        <v>1.01829469203949</v>
      </c>
      <c r="R306" s="3">
        <v>0.42650595307350198</v>
      </c>
      <c r="S306" s="3">
        <v>0.39642924070358299</v>
      </c>
      <c r="T306" s="3">
        <v>0.40188610553741499</v>
      </c>
      <c r="U306" s="3">
        <v>0.39494508504867598</v>
      </c>
      <c r="W306" t="s">
        <v>50</v>
      </c>
      <c r="X306" t="s">
        <v>54</v>
      </c>
      <c r="Y306" t="s">
        <v>52</v>
      </c>
      <c r="Z306" t="s">
        <v>53</v>
      </c>
      <c r="AA306" t="s">
        <v>53</v>
      </c>
      <c r="AC306" s="2">
        <v>0.62037536544523297</v>
      </c>
      <c r="AD306" s="2">
        <v>0.64632266759872403</v>
      </c>
      <c r="AE306" s="2">
        <v>0.24487486481666601</v>
      </c>
      <c r="AF306" s="2">
        <v>0.13941557705402399</v>
      </c>
      <c r="AG306" s="2">
        <v>7.0178367197513594E-2</v>
      </c>
      <c r="AH306" s="2">
        <v>-0.19863703846931499</v>
      </c>
      <c r="AI306" s="2">
        <v>9.7845532000064905E-2</v>
      </c>
      <c r="AJ306" s="2">
        <v>0.41430380917943899</v>
      </c>
      <c r="AK306" s="2">
        <v>0.41939584272467001</v>
      </c>
      <c r="AL306" s="2">
        <v>0.31356375491249899</v>
      </c>
      <c r="AM306" s="2">
        <v>0.60537981986999501</v>
      </c>
      <c r="AN306" s="2">
        <v>0.505304574966431</v>
      </c>
      <c r="AO306" s="2">
        <v>0.25491103529930098</v>
      </c>
      <c r="AP306" s="2">
        <v>0.676949262619019</v>
      </c>
    </row>
    <row r="307" spans="1:42" x14ac:dyDescent="0.3">
      <c r="A307" t="s">
        <v>148</v>
      </c>
      <c r="B307" s="3">
        <v>2020</v>
      </c>
      <c r="C307" s="3">
        <v>11.0083</v>
      </c>
      <c r="D307" s="3">
        <v>1801.03</v>
      </c>
      <c r="E307" t="s">
        <v>149</v>
      </c>
      <c r="G307" s="3">
        <v>179450.734375</v>
      </c>
      <c r="H307" s="3">
        <v>227480.359375</v>
      </c>
      <c r="I307" s="3">
        <v>211212.234375</v>
      </c>
      <c r="J307" s="3">
        <v>216920.8125</v>
      </c>
      <c r="K307" s="3">
        <v>1096257.625</v>
      </c>
      <c r="L307" s="3">
        <v>8.8570499792695098E-3</v>
      </c>
      <c r="M307" s="3">
        <v>0.63344889879226696</v>
      </c>
      <c r="N307" s="3">
        <v>0.63726133108139005</v>
      </c>
      <c r="O307" s="3">
        <v>180569.203125</v>
      </c>
      <c r="P307" s="3">
        <v>231947.078125</v>
      </c>
      <c r="Q307" s="3">
        <v>1.00005483627319</v>
      </c>
      <c r="R307" s="3">
        <v>0.42650595307350198</v>
      </c>
      <c r="S307" s="3">
        <v>0.36168918013572698</v>
      </c>
      <c r="T307" s="3">
        <v>0.37329584360122697</v>
      </c>
      <c r="U307" s="3">
        <v>0.36347207427024802</v>
      </c>
      <c r="W307" t="s">
        <v>50</v>
      </c>
      <c r="X307" t="s">
        <v>54</v>
      </c>
      <c r="Y307" t="s">
        <v>52</v>
      </c>
      <c r="Z307" t="s">
        <v>53</v>
      </c>
      <c r="AA307" t="s">
        <v>53</v>
      </c>
      <c r="AC307" s="2">
        <v>0.61592346775260398</v>
      </c>
      <c r="AD307" s="2">
        <v>0.681674003601074</v>
      </c>
      <c r="AE307" s="2">
        <v>0.221415460109711</v>
      </c>
      <c r="AF307" s="2">
        <v>0.14558979868888899</v>
      </c>
      <c r="AG307" s="2">
        <v>5.0595976412296302E-2</v>
      </c>
      <c r="AH307" s="2">
        <v>-0.17340238392353099</v>
      </c>
      <c r="AI307" s="2">
        <v>7.4127115309238406E-2</v>
      </c>
      <c r="AJ307" s="2">
        <v>0.37161187654425998</v>
      </c>
      <c r="AK307" s="2">
        <v>0.41666130501441001</v>
      </c>
      <c r="AL307" s="2">
        <v>0.315229648362569</v>
      </c>
      <c r="AM307" s="2">
        <v>0.61286437511444103</v>
      </c>
      <c r="AN307" s="2">
        <v>0.49565166234970098</v>
      </c>
      <c r="AO307" s="2">
        <v>0.24915148317813901</v>
      </c>
      <c r="AP307" s="2">
        <v>0.60622942447662398</v>
      </c>
    </row>
    <row r="308" spans="1:42" x14ac:dyDescent="0.3">
      <c r="A308" t="s">
        <v>150</v>
      </c>
      <c r="B308" s="3">
        <v>2015</v>
      </c>
      <c r="C308" s="3">
        <v>40.019528999999999</v>
      </c>
      <c r="D308" s="3">
        <v>2223.6999999999998</v>
      </c>
      <c r="E308" t="s">
        <v>151</v>
      </c>
      <c r="G308" s="3">
        <v>414641.9375</v>
      </c>
      <c r="H308" s="3">
        <v>601195.375</v>
      </c>
      <c r="I308" s="3">
        <v>530381.0625</v>
      </c>
      <c r="J308" s="3">
        <v>560400.6875</v>
      </c>
      <c r="K308" s="3">
        <v>2657530.75</v>
      </c>
      <c r="L308" s="3"/>
      <c r="M308" s="3"/>
      <c r="N308" s="3"/>
      <c r="O308" s="3">
        <v>353126.96875</v>
      </c>
      <c r="P308" s="3">
        <v>493523.34375</v>
      </c>
      <c r="Q308" s="3"/>
      <c r="R308" s="3"/>
      <c r="S308" s="3">
        <v>0.25046807527542098</v>
      </c>
      <c r="T308" s="3">
        <v>0.31294313073158297</v>
      </c>
      <c r="U308" s="3">
        <v>0.29617935419082603</v>
      </c>
      <c r="W308" t="s">
        <v>50</v>
      </c>
      <c r="X308" t="s">
        <v>51</v>
      </c>
      <c r="Y308" t="s">
        <v>52</v>
      </c>
      <c r="Z308" t="s">
        <v>53</v>
      </c>
      <c r="AC308" s="2">
        <v>0.35149851887778</v>
      </c>
      <c r="AD308" s="2">
        <v>0.40621966123580899</v>
      </c>
      <c r="AE308" s="2">
        <v>0.33289295434951799</v>
      </c>
      <c r="AF308" s="2">
        <v>0.33368295431137102</v>
      </c>
      <c r="AG308" s="2">
        <v>0.13378816843032801</v>
      </c>
      <c r="AH308" s="2">
        <v>-0.17553326487541199</v>
      </c>
      <c r="AI308" s="2">
        <v>-3.1050415709614799E-2</v>
      </c>
      <c r="AJ308" s="2">
        <v>0.29901223881487199</v>
      </c>
      <c r="AK308" s="2">
        <v>0.451802936200073</v>
      </c>
      <c r="AL308" s="2">
        <v>0.191371291240616</v>
      </c>
      <c r="AM308" s="2">
        <v>0.46410086750984197</v>
      </c>
      <c r="AN308" s="2">
        <v>0.52662009000778198</v>
      </c>
      <c r="AO308" s="2">
        <v>0.27711993455886802</v>
      </c>
      <c r="AP308" s="2"/>
    </row>
    <row r="309" spans="1:42" x14ac:dyDescent="0.3">
      <c r="A309" t="s">
        <v>150</v>
      </c>
      <c r="B309" s="3">
        <v>2016</v>
      </c>
      <c r="C309" s="3">
        <v>40.850721</v>
      </c>
      <c r="D309" s="3">
        <v>2250.16</v>
      </c>
      <c r="E309" t="s">
        <v>151</v>
      </c>
      <c r="G309" s="3">
        <v>412247.34375</v>
      </c>
      <c r="H309" s="3">
        <v>588021.25</v>
      </c>
      <c r="I309" s="3">
        <v>514991.8125</v>
      </c>
      <c r="J309" s="3">
        <v>546123.125</v>
      </c>
      <c r="K309" s="3">
        <v>2621866.5</v>
      </c>
      <c r="L309" s="3"/>
      <c r="M309" s="3"/>
      <c r="N309" s="3"/>
      <c r="O309" s="3">
        <v>362384.5625</v>
      </c>
      <c r="P309" s="3">
        <v>508392.25</v>
      </c>
      <c r="Q309" s="3"/>
      <c r="R309" s="3"/>
      <c r="S309" s="3">
        <v>0.24612998962402299</v>
      </c>
      <c r="T309" s="3">
        <v>0.31075096130371099</v>
      </c>
      <c r="U309" s="3">
        <v>0.29303687810897799</v>
      </c>
      <c r="W309" t="s">
        <v>50</v>
      </c>
      <c r="X309" t="s">
        <v>51</v>
      </c>
      <c r="Y309" t="s">
        <v>52</v>
      </c>
      <c r="Z309" t="s">
        <v>53</v>
      </c>
      <c r="AC309" s="2">
        <v>0.32573427275189798</v>
      </c>
      <c r="AD309" s="2">
        <v>0.42910376191139199</v>
      </c>
      <c r="AE309" s="2">
        <v>0.32185766100883501</v>
      </c>
      <c r="AF309" s="2">
        <v>0.32575780153274497</v>
      </c>
      <c r="AG309" s="2">
        <v>0.12157045304775201</v>
      </c>
      <c r="AH309" s="2">
        <v>-0.163325980305672</v>
      </c>
      <c r="AI309" s="2">
        <v>-3.4963686019182198E-2</v>
      </c>
      <c r="AJ309" s="2">
        <v>0.29032389056739599</v>
      </c>
      <c r="AK309" s="2">
        <v>0.46230829875009799</v>
      </c>
      <c r="AL309" s="2">
        <v>0.187915682183149</v>
      </c>
      <c r="AM309" s="2">
        <v>0.45173972845077498</v>
      </c>
      <c r="AN309" s="2">
        <v>0.52794557809829701</v>
      </c>
      <c r="AO309" s="2">
        <v>0.27949622273445102</v>
      </c>
      <c r="AP309" s="2"/>
    </row>
    <row r="310" spans="1:42" x14ac:dyDescent="0.3">
      <c r="A310" t="s">
        <v>150</v>
      </c>
      <c r="B310" s="3">
        <v>2017</v>
      </c>
      <c r="C310" s="3">
        <v>41.689298999999998</v>
      </c>
      <c r="D310" s="3">
        <v>2272.41</v>
      </c>
      <c r="E310" t="s">
        <v>151</v>
      </c>
      <c r="G310" s="3">
        <v>404589.1875</v>
      </c>
      <c r="H310" s="3">
        <v>578961.75</v>
      </c>
      <c r="I310" s="3">
        <v>526056.6875</v>
      </c>
      <c r="J310" s="3">
        <v>549066.0625</v>
      </c>
      <c r="K310" s="3">
        <v>2585753.75</v>
      </c>
      <c r="L310" s="3"/>
      <c r="M310" s="3"/>
      <c r="N310" s="3"/>
      <c r="O310" s="3">
        <v>370058.90625</v>
      </c>
      <c r="P310" s="3">
        <v>522035.46875</v>
      </c>
      <c r="Q310" s="3"/>
      <c r="R310" s="3"/>
      <c r="S310" s="3">
        <v>0.25861307978630099</v>
      </c>
      <c r="T310" s="3">
        <v>0.323343455791473</v>
      </c>
      <c r="U310" s="3">
        <v>0.30979329347610501</v>
      </c>
      <c r="W310" t="s">
        <v>51</v>
      </c>
      <c r="X310" t="s">
        <v>51</v>
      </c>
      <c r="Y310" t="s">
        <v>52</v>
      </c>
      <c r="Z310" t="s">
        <v>53</v>
      </c>
      <c r="AC310" s="2">
        <v>0.33915684806402302</v>
      </c>
      <c r="AD310" s="2">
        <v>0.43413871526718101</v>
      </c>
      <c r="AE310" s="2">
        <v>0.31758031249046298</v>
      </c>
      <c r="AF310" s="2">
        <v>0.30272921919822698</v>
      </c>
      <c r="AG310" s="2">
        <v>0.13554424047470101</v>
      </c>
      <c r="AH310" s="2">
        <v>-0.15328043699264501</v>
      </c>
      <c r="AI310" s="2">
        <v>-3.6712013185024303E-2</v>
      </c>
      <c r="AJ310" s="2">
        <v>0.30371992600006797</v>
      </c>
      <c r="AK310" s="2">
        <v>0.47353454501339098</v>
      </c>
      <c r="AL310" s="2">
        <v>0.193926128394318</v>
      </c>
      <c r="AM310" s="2">
        <v>0.47285437583923301</v>
      </c>
      <c r="AN310" s="2">
        <v>0.54720079898834195</v>
      </c>
      <c r="AO310" s="2">
        <v>0.289323180913925</v>
      </c>
      <c r="AP310" s="2"/>
    </row>
    <row r="311" spans="1:42" x14ac:dyDescent="0.3">
      <c r="A311" t="s">
        <v>150</v>
      </c>
      <c r="B311" s="3">
        <v>2018</v>
      </c>
      <c r="C311" s="3">
        <v>42.505034999999999</v>
      </c>
      <c r="D311" s="3">
        <v>2261.34</v>
      </c>
      <c r="E311" t="s">
        <v>151</v>
      </c>
      <c r="G311" s="3">
        <v>394138.625</v>
      </c>
      <c r="H311" s="3">
        <v>568990.5625</v>
      </c>
      <c r="I311" s="3">
        <v>535051.4375</v>
      </c>
      <c r="J311" s="3">
        <v>551853.125</v>
      </c>
      <c r="K311" s="3">
        <v>2625476.25</v>
      </c>
      <c r="L311" s="3"/>
      <c r="M311" s="3"/>
      <c r="N311" s="3"/>
      <c r="O311" s="3">
        <v>379865.28125</v>
      </c>
      <c r="P311" s="3">
        <v>536905.9375</v>
      </c>
      <c r="Q311" s="3"/>
      <c r="R311" s="3"/>
      <c r="S311" s="3">
        <v>0.263039410114288</v>
      </c>
      <c r="T311" s="3">
        <v>0.32690483331680298</v>
      </c>
      <c r="U311" s="3">
        <v>0.31695190072059598</v>
      </c>
      <c r="W311" t="s">
        <v>50</v>
      </c>
      <c r="X311" t="s">
        <v>51</v>
      </c>
      <c r="Y311" t="s">
        <v>52</v>
      </c>
      <c r="Z311" t="s">
        <v>53</v>
      </c>
      <c r="AC311" s="2">
        <v>0.34334678187148299</v>
      </c>
      <c r="AD311" s="2">
        <v>0.435820043087006</v>
      </c>
      <c r="AE311" s="2">
        <v>0.31684502959251398</v>
      </c>
      <c r="AF311" s="2">
        <v>0.27838921546936002</v>
      </c>
      <c r="AG311" s="2">
        <v>0.15319252014160201</v>
      </c>
      <c r="AH311" s="2">
        <v>-0.151140302419662</v>
      </c>
      <c r="AI311" s="2">
        <v>-3.31065021455288E-2</v>
      </c>
      <c r="AJ311" s="2">
        <v>0.305552683305224</v>
      </c>
      <c r="AK311" s="2">
        <v>0.47086565334874497</v>
      </c>
      <c r="AL311" s="2">
        <v>0.19648461456043201</v>
      </c>
      <c r="AM311" s="2">
        <v>0.48911392688751198</v>
      </c>
      <c r="AN311" s="2">
        <v>0.55934888124465898</v>
      </c>
      <c r="AO311" s="2">
        <v>0.293655306100845</v>
      </c>
      <c r="AP311" s="2"/>
    </row>
    <row r="312" spans="1:42" x14ac:dyDescent="0.3">
      <c r="A312" t="s">
        <v>150</v>
      </c>
      <c r="B312" s="3">
        <v>2019</v>
      </c>
      <c r="C312" s="3">
        <v>43.294545999999997</v>
      </c>
      <c r="D312" s="3">
        <v>2252.6</v>
      </c>
      <c r="E312" t="s">
        <v>151</v>
      </c>
      <c r="G312" s="3">
        <v>425785.28125</v>
      </c>
      <c r="H312" s="3">
        <v>599431.0625</v>
      </c>
      <c r="I312" s="3">
        <v>563476.875</v>
      </c>
      <c r="J312" s="3">
        <v>581660.0625</v>
      </c>
      <c r="K312" s="3">
        <v>2663982.5</v>
      </c>
      <c r="L312" s="3"/>
      <c r="M312" s="3"/>
      <c r="N312" s="3"/>
      <c r="O312" s="3">
        <v>404245.875</v>
      </c>
      <c r="P312" s="3">
        <v>557869.0625</v>
      </c>
      <c r="Q312" s="3"/>
      <c r="R312" s="3"/>
      <c r="S312" s="3">
        <v>0.25991076231002802</v>
      </c>
      <c r="T312" s="3">
        <v>0.31835827231407199</v>
      </c>
      <c r="U312" s="3">
        <v>0.30840611457824701</v>
      </c>
      <c r="W312" t="s">
        <v>50</v>
      </c>
      <c r="X312" t="s">
        <v>54</v>
      </c>
      <c r="Y312" t="s">
        <v>52</v>
      </c>
      <c r="Z312" t="s">
        <v>53</v>
      </c>
      <c r="AC312" s="2">
        <v>0.34465499898750201</v>
      </c>
      <c r="AD312" s="2">
        <v>0.44772776961326599</v>
      </c>
      <c r="AE312" s="2">
        <v>0.29853484034538302</v>
      </c>
      <c r="AF312" s="2">
        <v>0.28428962826728799</v>
      </c>
      <c r="AG312" s="2">
        <v>0.13981243968009999</v>
      </c>
      <c r="AH312" s="2">
        <v>-0.139896124601364</v>
      </c>
      <c r="AI312" s="2">
        <v>-3.0468545854091599E-2</v>
      </c>
      <c r="AJ312" s="2">
        <v>0.29859054123810203</v>
      </c>
      <c r="AK312" s="2">
        <v>0.46167355403958799</v>
      </c>
      <c r="AL312" s="2">
        <v>0.19899395620325999</v>
      </c>
      <c r="AM312" s="2">
        <v>0.45802271366119401</v>
      </c>
      <c r="AN312" s="2">
        <v>0.53124624490737904</v>
      </c>
      <c r="AO312" s="2">
        <v>0.29306203126907399</v>
      </c>
      <c r="AP312" s="2"/>
    </row>
    <row r="313" spans="1:42" x14ac:dyDescent="0.3">
      <c r="A313" t="s">
        <v>150</v>
      </c>
      <c r="B313" s="3">
        <v>2020</v>
      </c>
      <c r="C313" s="3">
        <v>44.042090999999999</v>
      </c>
      <c r="D313" s="3">
        <v>2122.02</v>
      </c>
      <c r="E313" t="s">
        <v>151</v>
      </c>
      <c r="G313" s="3">
        <v>418501.65625</v>
      </c>
      <c r="H313" s="3">
        <v>577026.5</v>
      </c>
      <c r="I313" s="3">
        <v>522712.34375</v>
      </c>
      <c r="J313" s="3">
        <v>558335.5</v>
      </c>
      <c r="K313" s="3">
        <v>2600111</v>
      </c>
      <c r="L313" s="3"/>
      <c r="M313" s="3"/>
      <c r="N313" s="3"/>
      <c r="O313" s="3">
        <v>413043</v>
      </c>
      <c r="P313" s="3">
        <v>562725.5</v>
      </c>
      <c r="Q313" s="3"/>
      <c r="R313" s="3"/>
      <c r="S313" s="3">
        <v>0.25288611650466902</v>
      </c>
      <c r="T313" s="3">
        <v>0.30413478612899802</v>
      </c>
      <c r="U313" s="3">
        <v>0.28473022580146801</v>
      </c>
      <c r="W313" t="s">
        <v>50</v>
      </c>
      <c r="X313" t="s">
        <v>54</v>
      </c>
      <c r="Y313" t="s">
        <v>52</v>
      </c>
      <c r="Z313" t="s">
        <v>53</v>
      </c>
      <c r="AC313" s="2">
        <v>0.34220617949361698</v>
      </c>
      <c r="AD313" s="2">
        <v>0.47658723592758201</v>
      </c>
      <c r="AE313" s="2">
        <v>0.28392398357391402</v>
      </c>
      <c r="AF313" s="2">
        <v>0.27296507358550998</v>
      </c>
      <c r="AG313" s="2">
        <v>0.12545941770076799</v>
      </c>
      <c r="AH313" s="2">
        <v>-0.126084044575691</v>
      </c>
      <c r="AI313" s="2">
        <v>-3.2851647585630403E-2</v>
      </c>
      <c r="AJ313" s="2">
        <v>0.28546031675317401</v>
      </c>
      <c r="AK313" s="2">
        <v>0.43942996599641099</v>
      </c>
      <c r="AL313" s="2">
        <v>0.19601271662891001</v>
      </c>
      <c r="AM313" s="2">
        <v>0.36243295669555697</v>
      </c>
      <c r="AN313" s="2">
        <v>0.52110177278518699</v>
      </c>
      <c r="AO313" s="2">
        <v>0.279722630977631</v>
      </c>
      <c r="AP313" s="2"/>
    </row>
    <row r="314" spans="1:42" x14ac:dyDescent="0.3">
      <c r="A314" t="s">
        <v>152</v>
      </c>
      <c r="B314" s="3">
        <v>2015</v>
      </c>
      <c r="C314" s="3">
        <v>16.266224999999999</v>
      </c>
      <c r="D314" s="3">
        <v>1620.2</v>
      </c>
      <c r="E314" t="s">
        <v>153</v>
      </c>
      <c r="G314" s="3">
        <v>150908.265625</v>
      </c>
      <c r="H314" s="3">
        <v>197019.6875</v>
      </c>
      <c r="I314" s="3">
        <v>195450.3125</v>
      </c>
      <c r="J314" s="3">
        <v>196654.609375</v>
      </c>
      <c r="K314" s="3">
        <v>908721.125</v>
      </c>
      <c r="L314" s="3">
        <v>1.11970212310553E-2</v>
      </c>
      <c r="M314" s="3">
        <v>0.470411866903305</v>
      </c>
      <c r="N314" s="3">
        <v>0.45467004179954501</v>
      </c>
      <c r="O314" s="3">
        <v>175841.296875</v>
      </c>
      <c r="P314" s="3">
        <v>226253.921875</v>
      </c>
      <c r="Q314" s="3">
        <v>1.03434669971466</v>
      </c>
      <c r="R314" s="3">
        <v>0.57231014966964699</v>
      </c>
      <c r="S314" s="3">
        <v>0.50319790840148904</v>
      </c>
      <c r="T314" s="3">
        <v>0.49736198782920799</v>
      </c>
      <c r="U314" s="3">
        <v>0.49431622028350802</v>
      </c>
      <c r="W314" t="s">
        <v>50</v>
      </c>
      <c r="X314" t="s">
        <v>51</v>
      </c>
      <c r="Y314" t="s">
        <v>52</v>
      </c>
      <c r="Z314" t="s">
        <v>53</v>
      </c>
      <c r="AA314" t="s">
        <v>53</v>
      </c>
      <c r="AC314" s="2">
        <v>0.53579903547782803</v>
      </c>
      <c r="AD314" s="2">
        <v>0.62194913625717196</v>
      </c>
      <c r="AE314" s="2">
        <v>0.23447926342487299</v>
      </c>
      <c r="AF314" s="2">
        <v>0.145428106188774</v>
      </c>
      <c r="AG314" s="2">
        <v>0.18329304456710799</v>
      </c>
      <c r="AH314" s="2">
        <v>-0.20856420695781699</v>
      </c>
      <c r="AI314" s="2">
        <v>2.3414693772792799E-2</v>
      </c>
      <c r="AJ314" s="2">
        <v>0.49866999926030597</v>
      </c>
      <c r="AK314" s="2">
        <v>0.47826287448978499</v>
      </c>
      <c r="AL314" s="2">
        <v>0.52256234159316195</v>
      </c>
      <c r="AM314" s="2">
        <v>0.50854188203811701</v>
      </c>
      <c r="AN314" s="2">
        <v>0.52144908905029297</v>
      </c>
      <c r="AO314" s="2">
        <v>0.30009934306144698</v>
      </c>
      <c r="AP314" s="2">
        <v>0.49608650803566001</v>
      </c>
    </row>
    <row r="315" spans="1:42" x14ac:dyDescent="0.3">
      <c r="A315" t="s">
        <v>152</v>
      </c>
      <c r="B315" s="3">
        <v>2016</v>
      </c>
      <c r="C315" s="3">
        <v>16.505139</v>
      </c>
      <c r="D315" s="3">
        <v>1572.31</v>
      </c>
      <c r="E315" t="s">
        <v>153</v>
      </c>
      <c r="G315" s="3">
        <v>147878.140625</v>
      </c>
      <c r="H315" s="3">
        <v>188808.265625</v>
      </c>
      <c r="I315" s="3">
        <v>194140.78125</v>
      </c>
      <c r="J315" s="3">
        <v>194015.53125</v>
      </c>
      <c r="K315" s="3">
        <v>1022930.6875</v>
      </c>
      <c r="L315" s="3">
        <v>1.1553393676876999E-2</v>
      </c>
      <c r="M315" s="3">
        <v>0.45686921477317799</v>
      </c>
      <c r="N315" s="3">
        <v>0.42985126376152</v>
      </c>
      <c r="O315" s="3">
        <v>166166.921875</v>
      </c>
      <c r="P315" s="3">
        <v>219408.609375</v>
      </c>
      <c r="Q315" s="3">
        <v>1.0294263362884499</v>
      </c>
      <c r="R315" s="3">
        <v>0.56251281499862704</v>
      </c>
      <c r="S315" s="3">
        <v>0.50862187147140503</v>
      </c>
      <c r="T315" s="3">
        <v>0.50309592485427901</v>
      </c>
      <c r="U315" s="3">
        <v>0.503420650959015</v>
      </c>
      <c r="W315" t="s">
        <v>50</v>
      </c>
      <c r="X315" t="s">
        <v>51</v>
      </c>
      <c r="Y315" t="s">
        <v>52</v>
      </c>
      <c r="Z315" t="s">
        <v>53</v>
      </c>
      <c r="AA315" t="s">
        <v>53</v>
      </c>
      <c r="AC315" s="2">
        <v>0.462215908216495</v>
      </c>
      <c r="AD315" s="2">
        <v>0.60933798551559504</v>
      </c>
      <c r="AE315" s="2">
        <v>0.210963129997253</v>
      </c>
      <c r="AF315" s="2">
        <v>0.15285944938659701</v>
      </c>
      <c r="AG315" s="2">
        <v>0.16913071274757399</v>
      </c>
      <c r="AH315" s="2">
        <v>-0.163523644208908</v>
      </c>
      <c r="AI315" s="2">
        <v>2.1232403814792598E-2</v>
      </c>
      <c r="AJ315" s="2">
        <v>0.50659084062882798</v>
      </c>
      <c r="AK315" s="2">
        <v>0.48313093102990801</v>
      </c>
      <c r="AL315" s="2">
        <v>0.51671798924315304</v>
      </c>
      <c r="AM315" s="2">
        <v>0.51190567016601596</v>
      </c>
      <c r="AN315" s="2">
        <v>0.51026374101638805</v>
      </c>
      <c r="AO315" s="2">
        <v>0.30323293805122398</v>
      </c>
      <c r="AP315" s="2">
        <v>0.47872552275657698</v>
      </c>
    </row>
    <row r="316" spans="1:42" x14ac:dyDescent="0.3">
      <c r="A316" t="s">
        <v>152</v>
      </c>
      <c r="B316" s="3">
        <v>2017</v>
      </c>
      <c r="C316" s="3">
        <v>16.759519000000001</v>
      </c>
      <c r="D316" s="3">
        <v>1566.36</v>
      </c>
      <c r="E316" t="s">
        <v>153</v>
      </c>
      <c r="G316" s="3">
        <v>154509.09375</v>
      </c>
      <c r="H316" s="3">
        <v>204842.734375</v>
      </c>
      <c r="I316" s="3">
        <v>209914.109375</v>
      </c>
      <c r="J316" s="3">
        <v>209733.828125</v>
      </c>
      <c r="K316" s="3">
        <v>1081118.5</v>
      </c>
      <c r="L316" s="3">
        <v>1.1691561900079301E-2</v>
      </c>
      <c r="M316" s="3">
        <v>0.47658401727676403</v>
      </c>
      <c r="N316" s="3">
        <v>0.44825571775436401</v>
      </c>
      <c r="O316" s="3">
        <v>176891.6875</v>
      </c>
      <c r="P316" s="3">
        <v>237646.734375</v>
      </c>
      <c r="Q316" s="3">
        <v>1.05957639217377</v>
      </c>
      <c r="R316" s="3">
        <v>0.55839174985885598</v>
      </c>
      <c r="S316" s="3">
        <v>0.50779491662979104</v>
      </c>
      <c r="T316" s="3">
        <v>0.49766775965690602</v>
      </c>
      <c r="U316" s="3">
        <v>0.49809557199478199</v>
      </c>
      <c r="W316" t="s">
        <v>51</v>
      </c>
      <c r="X316" t="s">
        <v>51</v>
      </c>
      <c r="Y316" t="s">
        <v>52</v>
      </c>
      <c r="Z316" t="s">
        <v>53</v>
      </c>
      <c r="AA316" t="s">
        <v>53</v>
      </c>
      <c r="AC316" s="2">
        <v>0.40369905172406201</v>
      </c>
      <c r="AD316" s="2">
        <v>0.58127999305725098</v>
      </c>
      <c r="AE316" s="2">
        <v>0.239988207817078</v>
      </c>
      <c r="AF316" s="2">
        <v>0.155411392450333</v>
      </c>
      <c r="AG316" s="2">
        <v>0.17732219398021701</v>
      </c>
      <c r="AH316" s="2">
        <v>-0.18535839021205899</v>
      </c>
      <c r="AI316" s="2">
        <v>3.1356599181890502E-2</v>
      </c>
      <c r="AJ316" s="2">
        <v>0.51247559401592502</v>
      </c>
      <c r="AK316" s="2">
        <v>0.46658044377366098</v>
      </c>
      <c r="AL316" s="2">
        <v>0.49028799656837802</v>
      </c>
      <c r="AM316" s="2">
        <v>0.51336687803268399</v>
      </c>
      <c r="AN316" s="2">
        <v>0.51045072078704801</v>
      </c>
      <c r="AO316" s="2">
        <v>0.29717135429382302</v>
      </c>
      <c r="AP316" s="2">
        <v>0.49231064319610601</v>
      </c>
    </row>
    <row r="317" spans="1:42" x14ac:dyDescent="0.3">
      <c r="A317" t="s">
        <v>152</v>
      </c>
      <c r="B317" s="3">
        <v>2018</v>
      </c>
      <c r="C317" s="3">
        <v>17.049547</v>
      </c>
      <c r="D317" s="3">
        <v>1568.14</v>
      </c>
      <c r="E317" t="s">
        <v>153</v>
      </c>
      <c r="G317" s="3">
        <v>168130.28125</v>
      </c>
      <c r="H317" s="3">
        <v>220014.40625</v>
      </c>
      <c r="I317" s="3">
        <v>218005.25</v>
      </c>
      <c r="J317" s="3">
        <v>219066.640625</v>
      </c>
      <c r="K317" s="3">
        <v>1123067.875</v>
      </c>
      <c r="L317" s="3">
        <v>1.16290776059031E-2</v>
      </c>
      <c r="M317" s="3">
        <v>0.48401123285293601</v>
      </c>
      <c r="N317" s="3">
        <v>0.467924535274506</v>
      </c>
      <c r="O317" s="3">
        <v>181211.625</v>
      </c>
      <c r="P317" s="3">
        <v>241516.5625</v>
      </c>
      <c r="Q317" s="3">
        <v>1.04063904285431</v>
      </c>
      <c r="R317" s="3">
        <v>0.56266587972641002</v>
      </c>
      <c r="S317" s="3">
        <v>0.50105947256088301</v>
      </c>
      <c r="T317" s="3">
        <v>0.49301087856292702</v>
      </c>
      <c r="U317" s="3">
        <v>0.49062225222587602</v>
      </c>
      <c r="W317" t="s">
        <v>50</v>
      </c>
      <c r="X317" t="s">
        <v>51</v>
      </c>
      <c r="Y317" t="s">
        <v>52</v>
      </c>
      <c r="Z317" t="s">
        <v>53</v>
      </c>
      <c r="AA317" t="s">
        <v>53</v>
      </c>
      <c r="AC317" s="2">
        <v>0.399410645488745</v>
      </c>
      <c r="AD317" s="2">
        <v>0.60789942741393999</v>
      </c>
      <c r="AE317" s="2">
        <v>0.23684173822403001</v>
      </c>
      <c r="AF317" s="2">
        <v>0.15958520770072901</v>
      </c>
      <c r="AG317" s="2">
        <v>0.18841727077961001</v>
      </c>
      <c r="AH317" s="2">
        <v>-0.19667915999889399</v>
      </c>
      <c r="AI317" s="2">
        <v>3.9355009794235203E-3</v>
      </c>
      <c r="AJ317" s="2">
        <v>0.507041954554036</v>
      </c>
      <c r="AK317" s="2">
        <v>0.46692953832865902</v>
      </c>
      <c r="AL317" s="2">
        <v>0.47827064630443999</v>
      </c>
      <c r="AM317" s="2">
        <v>0.52345591783523604</v>
      </c>
      <c r="AN317" s="2">
        <v>0.53427416086196899</v>
      </c>
      <c r="AO317" s="2">
        <v>0.29657885432243303</v>
      </c>
      <c r="AP317" s="2">
        <v>0.47792232036590598</v>
      </c>
    </row>
    <row r="318" spans="1:42" x14ac:dyDescent="0.3">
      <c r="A318" t="s">
        <v>152</v>
      </c>
      <c r="B318" s="3">
        <v>2019</v>
      </c>
      <c r="C318" s="3">
        <v>17.340021</v>
      </c>
      <c r="D318" s="3">
        <v>1551.64</v>
      </c>
      <c r="E318" t="s">
        <v>153</v>
      </c>
      <c r="G318" s="3">
        <v>176486.40625</v>
      </c>
      <c r="H318" s="3">
        <v>226551.828125</v>
      </c>
      <c r="I318" s="3">
        <v>226584.5</v>
      </c>
      <c r="J318" s="3">
        <v>226698.546875</v>
      </c>
      <c r="K318" s="3">
        <v>1198505.875</v>
      </c>
      <c r="L318" s="3">
        <v>1.16378562524915E-2</v>
      </c>
      <c r="M318" s="3">
        <v>0.49088332056999201</v>
      </c>
      <c r="N318" s="3">
        <v>0.47206029295921298</v>
      </c>
      <c r="O318" s="3">
        <v>183277.265625</v>
      </c>
      <c r="P318" s="3">
        <v>239717.90625</v>
      </c>
      <c r="Q318" s="3">
        <v>1.0315526723861701</v>
      </c>
      <c r="R318" s="3">
        <v>0.57562297582626298</v>
      </c>
      <c r="S318" s="3">
        <v>0.48123943805694602</v>
      </c>
      <c r="T318" s="3">
        <v>0.47485962510108998</v>
      </c>
      <c r="U318" s="3">
        <v>0.47462069988250699</v>
      </c>
      <c r="W318" t="s">
        <v>50</v>
      </c>
      <c r="X318" t="s">
        <v>54</v>
      </c>
      <c r="Y318" t="s">
        <v>52</v>
      </c>
      <c r="Z318" t="s">
        <v>53</v>
      </c>
      <c r="AA318" t="s">
        <v>53</v>
      </c>
      <c r="AC318" s="2">
        <v>0.397840022892269</v>
      </c>
      <c r="AD318" s="2">
        <v>0.61818104982376099</v>
      </c>
      <c r="AE318" s="2">
        <v>0.22084577381610901</v>
      </c>
      <c r="AF318" s="2">
        <v>0.16032594442367601</v>
      </c>
      <c r="AG318" s="2">
        <v>0.192338541150093</v>
      </c>
      <c r="AH318" s="2">
        <v>-0.172761470079422</v>
      </c>
      <c r="AI318" s="2">
        <v>-1.8929844722151801E-2</v>
      </c>
      <c r="AJ318" s="2">
        <v>0.48947067832449498</v>
      </c>
      <c r="AK318" s="2">
        <v>0.45237005877895098</v>
      </c>
      <c r="AL318" s="2">
        <v>0.449501643557981</v>
      </c>
      <c r="AM318" s="2">
        <v>0.51210802793502797</v>
      </c>
      <c r="AN318" s="2">
        <v>0.51773798465728804</v>
      </c>
      <c r="AO318" s="2">
        <v>0.28691178560257002</v>
      </c>
      <c r="AP318" s="2">
        <v>0.446262776851654</v>
      </c>
    </row>
    <row r="319" spans="1:42" x14ac:dyDescent="0.3">
      <c r="A319" t="s">
        <v>152</v>
      </c>
      <c r="B319" s="3">
        <v>2020</v>
      </c>
      <c r="C319" s="3">
        <v>17.546064999999999</v>
      </c>
      <c r="D319" s="3">
        <v>1483.37</v>
      </c>
      <c r="E319" t="s">
        <v>153</v>
      </c>
      <c r="G319" s="3">
        <v>162363.671875</v>
      </c>
      <c r="H319" s="3">
        <v>202263.078125</v>
      </c>
      <c r="I319" s="3">
        <v>207615</v>
      </c>
      <c r="J319" s="3">
        <v>208638.640625</v>
      </c>
      <c r="K319" s="3">
        <v>1306296.125</v>
      </c>
      <c r="L319" s="3">
        <v>1.17231113836169E-2</v>
      </c>
      <c r="M319" s="3">
        <v>0.47839847207069403</v>
      </c>
      <c r="N319" s="3">
        <v>0.44491308927536</v>
      </c>
      <c r="O319" s="3">
        <v>166150.96875</v>
      </c>
      <c r="P319" s="3">
        <v>209268</v>
      </c>
      <c r="Q319" s="3">
        <v>1.0199772119522099</v>
      </c>
      <c r="R319" s="3">
        <v>0.59630340337753296</v>
      </c>
      <c r="S319" s="3">
        <v>0.47138857841491699</v>
      </c>
      <c r="T319" s="3">
        <v>0.46174639463424699</v>
      </c>
      <c r="U319" s="3">
        <v>0.459480911493301</v>
      </c>
      <c r="W319" t="s">
        <v>50</v>
      </c>
      <c r="X319" t="s">
        <v>54</v>
      </c>
      <c r="Y319" t="s">
        <v>52</v>
      </c>
      <c r="Z319" t="s">
        <v>53</v>
      </c>
      <c r="AA319" t="s">
        <v>53</v>
      </c>
      <c r="AC319" s="2">
        <v>0.395046922275757</v>
      </c>
      <c r="AD319" s="2">
        <v>0.61897581815719604</v>
      </c>
      <c r="AE319" s="2">
        <v>0.19123686850071001</v>
      </c>
      <c r="AF319" s="2">
        <v>0.15922938287258101</v>
      </c>
      <c r="AG319" s="2">
        <v>0.194544106721878</v>
      </c>
      <c r="AH319" s="2">
        <v>-0.15119343996047999</v>
      </c>
      <c r="AI319" s="2">
        <v>-1.2792670167982601E-2</v>
      </c>
      <c r="AJ319" s="2">
        <v>0.471485091319502</v>
      </c>
      <c r="AK319" s="2">
        <v>0.42250911037171701</v>
      </c>
      <c r="AL319" s="2">
        <v>0.471013405086675</v>
      </c>
      <c r="AM319" s="2">
        <v>0.47455838322639499</v>
      </c>
      <c r="AN319" s="2">
        <v>0.49340751767158503</v>
      </c>
      <c r="AO319" s="2">
        <v>0.263687133789063</v>
      </c>
      <c r="AP319" s="2">
        <v>0.39201200008392301</v>
      </c>
    </row>
    <row r="320" spans="1:42" x14ac:dyDescent="0.3">
      <c r="A320" t="s">
        <v>154</v>
      </c>
      <c r="B320" s="3">
        <v>2015</v>
      </c>
      <c r="C320" s="3">
        <v>99.597341999999998</v>
      </c>
      <c r="D320" s="3">
        <v>2398.7399999999998</v>
      </c>
      <c r="E320" t="s">
        <v>155</v>
      </c>
      <c r="G320" s="3">
        <v>1202024.125</v>
      </c>
      <c r="H320" s="3">
        <v>1305085.25</v>
      </c>
      <c r="I320" s="3">
        <v>1203107.75</v>
      </c>
      <c r="J320" s="3">
        <v>1313168</v>
      </c>
      <c r="K320" s="3">
        <v>1934589.75</v>
      </c>
      <c r="L320" s="3">
        <v>2.0221550017595302E-2</v>
      </c>
      <c r="M320" s="3">
        <v>1.1868870258331301</v>
      </c>
      <c r="N320" s="3">
        <v>1.1379953622818</v>
      </c>
      <c r="O320" s="3">
        <v>1257842.375</v>
      </c>
      <c r="P320" s="3">
        <v>1393087.625</v>
      </c>
      <c r="Q320" s="3">
        <v>0.96200335025787398</v>
      </c>
      <c r="R320" s="3">
        <v>0.36151319742202798</v>
      </c>
      <c r="S320" s="3">
        <v>0.248990759253502</v>
      </c>
      <c r="T320" s="3">
        <v>0.264103174209595</v>
      </c>
      <c r="U320" s="3">
        <v>0.24196796119213099</v>
      </c>
      <c r="W320" t="s">
        <v>50</v>
      </c>
      <c r="X320" t="s">
        <v>51</v>
      </c>
      <c r="Y320" t="s">
        <v>52</v>
      </c>
      <c r="Z320" t="s">
        <v>53</v>
      </c>
      <c r="AA320" t="s">
        <v>53</v>
      </c>
      <c r="AC320" s="2">
        <v>0.56018007874408804</v>
      </c>
      <c r="AD320" s="2">
        <v>0.75818806886672996</v>
      </c>
      <c r="AE320" s="2">
        <v>7.8482851386070293E-2</v>
      </c>
      <c r="AF320" s="2">
        <v>0.157173916697502</v>
      </c>
      <c r="AG320" s="2">
        <v>3.1071525067090999E-2</v>
      </c>
      <c r="AH320" s="2">
        <v>-0.104195602238178</v>
      </c>
      <c r="AI320" s="2">
        <v>7.9279214143753093E-2</v>
      </c>
      <c r="AJ320" s="2">
        <v>0.26307554197370497</v>
      </c>
      <c r="AK320" s="2">
        <v>0.44036226174118298</v>
      </c>
      <c r="AL320" s="2">
        <v>0.18104749437224499</v>
      </c>
      <c r="AM320" s="2">
        <v>0.535561382770538</v>
      </c>
      <c r="AN320" s="2">
        <v>0.54065012931823697</v>
      </c>
      <c r="AO320" s="2">
        <v>0.27049276232719399</v>
      </c>
      <c r="AP320" s="2">
        <v>1.34040987491608</v>
      </c>
    </row>
    <row r="321" spans="1:42" x14ac:dyDescent="0.3">
      <c r="A321" t="s">
        <v>154</v>
      </c>
      <c r="B321" s="3">
        <v>2016</v>
      </c>
      <c r="C321" s="3">
        <v>101.644589</v>
      </c>
      <c r="D321" s="3">
        <v>2249.63</v>
      </c>
      <c r="E321" t="s">
        <v>155</v>
      </c>
      <c r="G321" s="3">
        <v>1181271.125</v>
      </c>
      <c r="H321" s="3">
        <v>1288891.625</v>
      </c>
      <c r="I321" s="3">
        <v>1176473</v>
      </c>
      <c r="J321" s="3">
        <v>1303901.75</v>
      </c>
      <c r="K321" s="3">
        <v>1935129.125</v>
      </c>
      <c r="L321" s="3">
        <v>1.9712569192051901E-2</v>
      </c>
      <c r="M321" s="3">
        <v>1.19511878490448</v>
      </c>
      <c r="N321" s="3">
        <v>1.1421535015106199</v>
      </c>
      <c r="O321" s="3">
        <v>1316877.75</v>
      </c>
      <c r="P321" s="3">
        <v>1467684.375</v>
      </c>
      <c r="Q321" s="3">
        <v>0.98975694179534901</v>
      </c>
      <c r="R321" s="3">
        <v>0.36151319742202798</v>
      </c>
      <c r="S321" s="3">
        <v>0.21623563766479501</v>
      </c>
      <c r="T321" s="3">
        <v>0.22971650958061199</v>
      </c>
      <c r="U321" s="3">
        <v>0.20726659893989599</v>
      </c>
      <c r="W321" t="s">
        <v>50</v>
      </c>
      <c r="X321" t="s">
        <v>51</v>
      </c>
      <c r="Y321" t="s">
        <v>52</v>
      </c>
      <c r="Z321" t="s">
        <v>53</v>
      </c>
      <c r="AA321" t="s">
        <v>53</v>
      </c>
      <c r="AC321" s="2">
        <v>0.53661968506290403</v>
      </c>
      <c r="AD321" s="2">
        <v>0.75209957361221302</v>
      </c>
      <c r="AE321" s="2">
        <v>8.2537241280078902E-2</v>
      </c>
      <c r="AF321" s="2">
        <v>0.153851509094238</v>
      </c>
      <c r="AG321" s="2">
        <v>3.3066600561142002E-2</v>
      </c>
      <c r="AH321" s="2">
        <v>-0.102410636842251</v>
      </c>
      <c r="AI321" s="2">
        <v>8.0855704843997997E-2</v>
      </c>
      <c r="AJ321" s="2">
        <v>0.22897714593263799</v>
      </c>
      <c r="AK321" s="2">
        <v>0.37768614914392301</v>
      </c>
      <c r="AL321" s="2">
        <v>0.153949087533783</v>
      </c>
      <c r="AM321" s="2">
        <v>0.53283196687698398</v>
      </c>
      <c r="AN321" s="2">
        <v>0.52907705307006803</v>
      </c>
      <c r="AO321" s="2">
        <v>0.22845159471035001</v>
      </c>
      <c r="AP321" s="2">
        <v>1.1330423355102499</v>
      </c>
    </row>
    <row r="322" spans="1:42" x14ac:dyDescent="0.3">
      <c r="A322" t="s">
        <v>154</v>
      </c>
      <c r="B322" s="3">
        <v>2017</v>
      </c>
      <c r="C322" s="3">
        <v>103.696057</v>
      </c>
      <c r="D322" s="3">
        <v>2296.1999999999998</v>
      </c>
      <c r="E322" t="s">
        <v>155</v>
      </c>
      <c r="G322" s="3">
        <v>1230013.625</v>
      </c>
      <c r="H322" s="3">
        <v>1349660.875</v>
      </c>
      <c r="I322" s="3">
        <v>1196465.875</v>
      </c>
      <c r="J322" s="3">
        <v>1367804.875</v>
      </c>
      <c r="K322" s="3">
        <v>2045096.375</v>
      </c>
      <c r="L322" s="3">
        <v>2.0193243399262401E-2</v>
      </c>
      <c r="M322" s="3">
        <v>1.1889618635177599</v>
      </c>
      <c r="N322" s="3">
        <v>1.1298035383224501</v>
      </c>
      <c r="O322" s="3">
        <v>1389037</v>
      </c>
      <c r="P322" s="3">
        <v>1573034</v>
      </c>
      <c r="Q322" s="3">
        <v>0.97564697265625</v>
      </c>
      <c r="R322" s="3">
        <v>0.36151319742202798</v>
      </c>
      <c r="S322" s="3">
        <v>0.15988838672637901</v>
      </c>
      <c r="T322" s="3">
        <v>0.171830534934998</v>
      </c>
      <c r="U322" s="3">
        <v>0.150306075811386</v>
      </c>
      <c r="W322" t="s">
        <v>51</v>
      </c>
      <c r="X322" t="s">
        <v>51</v>
      </c>
      <c r="Y322" t="s">
        <v>52</v>
      </c>
      <c r="Z322" t="s">
        <v>53</v>
      </c>
      <c r="AA322" t="s">
        <v>53</v>
      </c>
      <c r="AC322" s="2">
        <v>0.520110996549356</v>
      </c>
      <c r="AD322" s="2">
        <v>0.76780855655670199</v>
      </c>
      <c r="AE322" s="2">
        <v>8.7473906576633495E-2</v>
      </c>
      <c r="AF322" s="2">
        <v>0.131452441215515</v>
      </c>
      <c r="AG322" s="2">
        <v>3.50829474627972E-2</v>
      </c>
      <c r="AH322" s="2">
        <v>-8.9945182204246493E-2</v>
      </c>
      <c r="AI322" s="2">
        <v>6.8127289414405795E-2</v>
      </c>
      <c r="AJ322" s="2">
        <v>0.168510125193893</v>
      </c>
      <c r="AK322" s="2">
        <v>0.29459994863555</v>
      </c>
      <c r="AL322" s="2">
        <v>0.109529144792575</v>
      </c>
      <c r="AM322" s="2">
        <v>0.55086266994476296</v>
      </c>
      <c r="AN322" s="2">
        <v>0.542674541473389</v>
      </c>
      <c r="AO322" s="2">
        <v>0.17232687771320301</v>
      </c>
      <c r="AP322" s="2">
        <v>0.81103563308715798</v>
      </c>
    </row>
    <row r="323" spans="1:42" x14ac:dyDescent="0.3">
      <c r="A323" t="s">
        <v>154</v>
      </c>
      <c r="B323" s="3">
        <v>2018</v>
      </c>
      <c r="C323" s="3">
        <v>105.68209400000001</v>
      </c>
      <c r="D323" s="3">
        <v>2369.46</v>
      </c>
      <c r="E323" t="s">
        <v>155</v>
      </c>
      <c r="G323" s="3">
        <v>1339952.5</v>
      </c>
      <c r="H323" s="3">
        <v>1484018.125</v>
      </c>
      <c r="I323" s="3">
        <v>1349822.625</v>
      </c>
      <c r="J323" s="3">
        <v>1545054.75</v>
      </c>
      <c r="K323" s="3">
        <v>2283960.5</v>
      </c>
      <c r="L323" s="3">
        <v>2.2418882697820702E-2</v>
      </c>
      <c r="M323" s="3">
        <v>1.2209502458572401</v>
      </c>
      <c r="N323" s="3">
        <v>1.12885737419128</v>
      </c>
      <c r="O323" s="3">
        <v>1405986.625</v>
      </c>
      <c r="P323" s="3">
        <v>1610500</v>
      </c>
      <c r="Q323" s="3">
        <v>0.97261393070221003</v>
      </c>
      <c r="R323" s="3">
        <v>0.36151319742202798</v>
      </c>
      <c r="S323" s="3">
        <v>0.17881472408771501</v>
      </c>
      <c r="T323" s="3">
        <v>0.19456532597541801</v>
      </c>
      <c r="U323" s="3">
        <v>0.169980198144913</v>
      </c>
      <c r="W323" t="s">
        <v>50</v>
      </c>
      <c r="X323" t="s">
        <v>51</v>
      </c>
      <c r="Y323" t="s">
        <v>52</v>
      </c>
      <c r="Z323" t="s">
        <v>53</v>
      </c>
      <c r="AA323" t="s">
        <v>53</v>
      </c>
      <c r="AC323" s="2">
        <v>0.51793640244411399</v>
      </c>
      <c r="AD323" s="2">
        <v>0.75265443325042702</v>
      </c>
      <c r="AE323" s="2">
        <v>9.3243047595024095E-2</v>
      </c>
      <c r="AF323" s="2">
        <v>0.114597968757153</v>
      </c>
      <c r="AG323" s="2">
        <v>3.4493282437324503E-2</v>
      </c>
      <c r="AH323" s="2">
        <v>-9.7230762243270902E-2</v>
      </c>
      <c r="AI323" s="2">
        <v>0.10224203020334199</v>
      </c>
      <c r="AJ323" s="2">
        <v>0.188103973675358</v>
      </c>
      <c r="AK323" s="2">
        <v>0.34106150660222201</v>
      </c>
      <c r="AL323" s="2">
        <v>0.117804921130514</v>
      </c>
      <c r="AM323" s="2">
        <v>0.55321496725082397</v>
      </c>
      <c r="AN323" s="2">
        <v>0.54880011081695601</v>
      </c>
      <c r="AO323" s="2">
        <v>0.206888452172279</v>
      </c>
      <c r="AP323" s="2">
        <v>0.88439404964446999</v>
      </c>
    </row>
    <row r="324" spans="1:42" x14ac:dyDescent="0.3">
      <c r="A324" t="s">
        <v>154</v>
      </c>
      <c r="B324" s="3">
        <v>2019</v>
      </c>
      <c r="C324" s="3">
        <v>107.553158</v>
      </c>
      <c r="D324" s="3">
        <v>2404.4499999999998</v>
      </c>
      <c r="E324" t="s">
        <v>155</v>
      </c>
      <c r="G324" s="3">
        <v>1405859.25</v>
      </c>
      <c r="H324" s="3">
        <v>1578270</v>
      </c>
      <c r="I324" s="3">
        <v>1463584.25</v>
      </c>
      <c r="J324" s="3">
        <v>1611763.875</v>
      </c>
      <c r="K324" s="3">
        <v>2491935.5</v>
      </c>
      <c r="L324" s="3">
        <v>2.3990962654352199E-2</v>
      </c>
      <c r="M324" s="3">
        <v>1.18658995628357</v>
      </c>
      <c r="N324" s="3">
        <v>1.1181007623672501</v>
      </c>
      <c r="O324" s="3">
        <v>1428477.5</v>
      </c>
      <c r="P324" s="3">
        <v>1664539.5</v>
      </c>
      <c r="Q324" s="3">
        <v>0.973582863807678</v>
      </c>
      <c r="R324" s="3">
        <v>0.36151319742202798</v>
      </c>
      <c r="S324" s="3">
        <v>0.20835067331790899</v>
      </c>
      <c r="T324" s="3">
        <v>0.227987915277481</v>
      </c>
      <c r="U324" s="3">
        <v>0.20702753961086301</v>
      </c>
      <c r="W324" t="s">
        <v>50</v>
      </c>
      <c r="X324" t="s">
        <v>54</v>
      </c>
      <c r="Y324" t="s">
        <v>52</v>
      </c>
      <c r="Z324" t="s">
        <v>53</v>
      </c>
      <c r="AA324" t="s">
        <v>53</v>
      </c>
      <c r="AC324" s="2">
        <v>0.52669641833773495</v>
      </c>
      <c r="AD324" s="2">
        <v>0.76291871070861805</v>
      </c>
      <c r="AE324" s="2">
        <v>0.106970258057117</v>
      </c>
      <c r="AF324" s="2">
        <v>0.10933019220829</v>
      </c>
      <c r="AG324" s="2">
        <v>2.8528423979878401E-2</v>
      </c>
      <c r="AH324" s="2">
        <v>-7.3313407599925995E-2</v>
      </c>
      <c r="AI324" s="2">
        <v>6.5565861761570005E-2</v>
      </c>
      <c r="AJ324" s="2">
        <v>0.21843811974864699</v>
      </c>
      <c r="AK324" s="2">
        <v>0.388112534208363</v>
      </c>
      <c r="AL324" s="2">
        <v>0.137959322792504</v>
      </c>
      <c r="AM324" s="2">
        <v>0.66619902849197399</v>
      </c>
      <c r="AN324" s="2">
        <v>0.66566449403762795</v>
      </c>
      <c r="AO324" s="2">
        <v>0.24338059127330799</v>
      </c>
      <c r="AP324" s="2">
        <v>1.0100669860839799</v>
      </c>
    </row>
    <row r="325" spans="1:42" x14ac:dyDescent="0.3">
      <c r="A325" t="s">
        <v>154</v>
      </c>
      <c r="B325" s="3">
        <v>2020</v>
      </c>
      <c r="C325" s="3">
        <v>109.315124</v>
      </c>
      <c r="D325" s="3">
        <v>2159.0500000000002</v>
      </c>
      <c r="E325" t="s">
        <v>155</v>
      </c>
      <c r="G325" s="3">
        <v>1572728</v>
      </c>
      <c r="H325" s="3">
        <v>1738697.375</v>
      </c>
      <c r="I325" s="3">
        <v>1622211.25</v>
      </c>
      <c r="J325" s="3">
        <v>1764082.125</v>
      </c>
      <c r="K325" s="3">
        <v>2975873.25</v>
      </c>
      <c r="L325" s="3">
        <v>2.7258798480033899E-2</v>
      </c>
      <c r="M325" s="3">
        <v>1.23663973808289</v>
      </c>
      <c r="N325" s="3">
        <v>1.16926145553589</v>
      </c>
      <c r="O325" s="3">
        <v>1533646.125</v>
      </c>
      <c r="P325" s="3">
        <v>1706912.75</v>
      </c>
      <c r="Q325" s="3">
        <v>1.01972532272339</v>
      </c>
      <c r="R325" s="3">
        <v>0.36151319742202798</v>
      </c>
      <c r="S325" s="3">
        <v>0.22635966539382901</v>
      </c>
      <c r="T325" s="3">
        <v>0.24066771566867801</v>
      </c>
      <c r="U325" s="3">
        <v>0.221312776207924</v>
      </c>
      <c r="W325" t="s">
        <v>50</v>
      </c>
      <c r="X325" t="s">
        <v>54</v>
      </c>
      <c r="Y325" t="s">
        <v>52</v>
      </c>
      <c r="Z325" t="s">
        <v>53</v>
      </c>
      <c r="AA325" t="s">
        <v>53</v>
      </c>
      <c r="AC325" s="2">
        <v>0.52883585754568396</v>
      </c>
      <c r="AD325" s="2">
        <v>0.76802814006805398</v>
      </c>
      <c r="AE325" s="2">
        <v>9.4082593917846694E-2</v>
      </c>
      <c r="AF325" s="2">
        <v>0.123499512672424</v>
      </c>
      <c r="AG325" s="2">
        <v>1.9468350335955599E-2</v>
      </c>
      <c r="AH325" s="2">
        <v>-5.3727667778730399E-2</v>
      </c>
      <c r="AI325" s="2">
        <v>4.8649076372384997E-2</v>
      </c>
      <c r="AJ325" s="2">
        <v>0.24103171193356299</v>
      </c>
      <c r="AK325" s="2">
        <v>0.37625105826176403</v>
      </c>
      <c r="AL325" s="2">
        <v>0.13511604172883401</v>
      </c>
      <c r="AM325" s="2">
        <v>0.782051801681519</v>
      </c>
      <c r="AN325" s="2">
        <v>0.77955615520477295</v>
      </c>
      <c r="AO325" s="2">
        <v>0.240163058042526</v>
      </c>
      <c r="AP325" s="2">
        <v>1.0859140157699601</v>
      </c>
    </row>
    <row r="326" spans="1:42" x14ac:dyDescent="0.3">
      <c r="A326" t="s">
        <v>156</v>
      </c>
      <c r="B326" s="3">
        <v>2015</v>
      </c>
      <c r="C326" s="3">
        <v>46.683686000000002</v>
      </c>
      <c r="D326" s="3">
        <v>1689.96</v>
      </c>
      <c r="E326" t="s">
        <v>74</v>
      </c>
      <c r="G326" s="3">
        <v>1343450.625</v>
      </c>
      <c r="H326" s="3">
        <v>1800305.125</v>
      </c>
      <c r="I326" s="3">
        <v>1856278</v>
      </c>
      <c r="J326" s="3">
        <v>1815276.25</v>
      </c>
      <c r="K326" s="3">
        <v>11902534</v>
      </c>
      <c r="L326" s="3">
        <v>0.12750022113323201</v>
      </c>
      <c r="M326" s="3">
        <v>0.83810800313949596</v>
      </c>
      <c r="N326" s="3">
        <v>0.80189186334609996</v>
      </c>
      <c r="O326" s="3">
        <v>1387876.125</v>
      </c>
      <c r="P326" s="3">
        <v>1899070.375</v>
      </c>
      <c r="Q326" s="3">
        <v>1.04295206069946</v>
      </c>
      <c r="R326" s="3">
        <v>0.58329212665557895</v>
      </c>
      <c r="S326" s="3">
        <v>0.696802198886871</v>
      </c>
      <c r="T326" s="3">
        <v>0.64977598190307595</v>
      </c>
      <c r="U326" s="3">
        <v>0.66445249319076505</v>
      </c>
      <c r="W326" t="s">
        <v>50</v>
      </c>
      <c r="X326" t="s">
        <v>51</v>
      </c>
      <c r="Y326" t="s">
        <v>52</v>
      </c>
      <c r="Z326" t="s">
        <v>53</v>
      </c>
      <c r="AA326" t="s">
        <v>53</v>
      </c>
      <c r="AC326" s="2">
        <v>0.79744218250271104</v>
      </c>
      <c r="AD326" s="2">
        <v>0.55606448650360096</v>
      </c>
      <c r="AE326" s="2">
        <v>0.25167214870452898</v>
      </c>
      <c r="AF326" s="2">
        <v>0.184016078710556</v>
      </c>
      <c r="AG326" s="2">
        <v>0.260036140680313</v>
      </c>
      <c r="AH326" s="2">
        <v>-0.30494809150695801</v>
      </c>
      <c r="AI326" s="2">
        <v>5.3159251809120199E-2</v>
      </c>
      <c r="AJ326" s="2">
        <v>0.69731723647741894</v>
      </c>
      <c r="AK326" s="2">
        <v>0.51148807954476205</v>
      </c>
      <c r="AL326" s="2">
        <v>0.69524576840744001</v>
      </c>
      <c r="AM326" s="2">
        <v>0.586731016635895</v>
      </c>
      <c r="AN326" s="2">
        <v>0.55044656991958596</v>
      </c>
      <c r="AO326" s="2">
        <v>0.39210259914398199</v>
      </c>
      <c r="AP326" s="2">
        <v>0.52668309211731001</v>
      </c>
    </row>
    <row r="327" spans="1:42" x14ac:dyDescent="0.3">
      <c r="A327" t="s">
        <v>156</v>
      </c>
      <c r="B327" s="3">
        <v>2016</v>
      </c>
      <c r="C327" s="3">
        <v>46.732771</v>
      </c>
      <c r="D327" s="3">
        <v>1696.84</v>
      </c>
      <c r="E327" t="s">
        <v>74</v>
      </c>
      <c r="G327" s="3">
        <v>1378816.375</v>
      </c>
      <c r="H327" s="3">
        <v>1859379.375</v>
      </c>
      <c r="I327" s="3">
        <v>1936155.5</v>
      </c>
      <c r="J327" s="3">
        <v>1899962.25</v>
      </c>
      <c r="K327" s="3">
        <v>12361840</v>
      </c>
      <c r="L327" s="3">
        <v>0.12897580862045299</v>
      </c>
      <c r="M327" s="3">
        <v>0.84624379873275801</v>
      </c>
      <c r="N327" s="3">
        <v>0.80068266391754195</v>
      </c>
      <c r="O327" s="3">
        <v>1418620.875</v>
      </c>
      <c r="P327" s="3">
        <v>1936659.75</v>
      </c>
      <c r="Q327" s="3">
        <v>1.04708468914032</v>
      </c>
      <c r="R327" s="3">
        <v>0.577109694480896</v>
      </c>
      <c r="S327" s="3">
        <v>0.69392317533492998</v>
      </c>
      <c r="T327" s="3">
        <v>0.64200198650360096</v>
      </c>
      <c r="U327" s="3">
        <v>0.65423172712326105</v>
      </c>
      <c r="W327" t="s">
        <v>50</v>
      </c>
      <c r="X327" t="s">
        <v>51</v>
      </c>
      <c r="Y327" t="s">
        <v>52</v>
      </c>
      <c r="Z327" t="s">
        <v>53</v>
      </c>
      <c r="AA327" t="s">
        <v>53</v>
      </c>
      <c r="AC327" s="2">
        <v>0.79934220900278896</v>
      </c>
      <c r="AD327" s="2">
        <v>0.54360550642013605</v>
      </c>
      <c r="AE327" s="2">
        <v>0.25293290615081798</v>
      </c>
      <c r="AF327" s="2">
        <v>0.18210172653198201</v>
      </c>
      <c r="AG327" s="2">
        <v>0.25695082545280501</v>
      </c>
      <c r="AH327" s="2">
        <v>-0.29066705703735402</v>
      </c>
      <c r="AI327" s="2">
        <v>5.50760440528393E-2</v>
      </c>
      <c r="AJ327" s="2">
        <v>0.69933604366697</v>
      </c>
      <c r="AK327" s="2">
        <v>0.493031330039442</v>
      </c>
      <c r="AL327" s="2">
        <v>0.67776483745761196</v>
      </c>
      <c r="AM327" s="2">
        <v>0.58124297857284601</v>
      </c>
      <c r="AN327" s="2">
        <v>0.54853320121765103</v>
      </c>
      <c r="AO327" s="2">
        <v>0.38483136892318698</v>
      </c>
      <c r="AP327" s="2">
        <v>0.52754479646682695</v>
      </c>
    </row>
    <row r="328" spans="1:42" x14ac:dyDescent="0.3">
      <c r="A328" t="s">
        <v>156</v>
      </c>
      <c r="B328" s="3">
        <v>2017</v>
      </c>
      <c r="C328" s="3">
        <v>46.868595999999997</v>
      </c>
      <c r="D328" s="3">
        <v>1688.79</v>
      </c>
      <c r="E328" t="s">
        <v>74</v>
      </c>
      <c r="G328" s="3">
        <v>1429848.875</v>
      </c>
      <c r="H328" s="3">
        <v>1947759.75</v>
      </c>
      <c r="I328" s="3">
        <v>2021196.75</v>
      </c>
      <c r="J328" s="3">
        <v>1979964</v>
      </c>
      <c r="K328" s="3">
        <v>12436180</v>
      </c>
      <c r="L328" s="3">
        <v>0.12923794984817499</v>
      </c>
      <c r="M328" s="3">
        <v>0.85213553905487105</v>
      </c>
      <c r="N328" s="3">
        <v>0.80727440118789695</v>
      </c>
      <c r="O328" s="3">
        <v>1454901.875</v>
      </c>
      <c r="P328" s="3">
        <v>1997103.125</v>
      </c>
      <c r="Q328" s="3">
        <v>1.0515552759170499</v>
      </c>
      <c r="R328" s="3">
        <v>0.57707524299621604</v>
      </c>
      <c r="S328" s="3">
        <v>0.70994931459426902</v>
      </c>
      <c r="T328" s="3">
        <v>0.65394634008407604</v>
      </c>
      <c r="U328" s="3">
        <v>0.66756469011306796</v>
      </c>
      <c r="W328" t="s">
        <v>51</v>
      </c>
      <c r="X328" t="s">
        <v>51</v>
      </c>
      <c r="Y328" t="s">
        <v>52</v>
      </c>
      <c r="Z328" t="s">
        <v>53</v>
      </c>
      <c r="AA328" t="s">
        <v>53</v>
      </c>
      <c r="AC328" s="2">
        <v>0.79515362985465499</v>
      </c>
      <c r="AD328" s="2">
        <v>0.54153198003768899</v>
      </c>
      <c r="AE328" s="2">
        <v>0.261575877666473</v>
      </c>
      <c r="AF328" s="2">
        <v>0.18062701821327201</v>
      </c>
      <c r="AG328" s="2">
        <v>0.26292410492897</v>
      </c>
      <c r="AH328" s="2">
        <v>-0.30555337667465199</v>
      </c>
      <c r="AI328" s="2">
        <v>5.8894384652376203E-2</v>
      </c>
      <c r="AJ328" s="2">
        <v>0.71938753201916406</v>
      </c>
      <c r="AK328" s="2">
        <v>0.49933305764757102</v>
      </c>
      <c r="AL328" s="2">
        <v>0.68165294006566901</v>
      </c>
      <c r="AM328" s="2">
        <v>0.59856468439102195</v>
      </c>
      <c r="AN328" s="2">
        <v>0.56434649229049705</v>
      </c>
      <c r="AO328" s="2">
        <v>0.40397140383720398</v>
      </c>
      <c r="AP328" s="2">
        <v>0.539656162261963</v>
      </c>
    </row>
    <row r="329" spans="1:42" x14ac:dyDescent="0.3">
      <c r="A329" t="s">
        <v>156</v>
      </c>
      <c r="B329" s="3">
        <v>2018</v>
      </c>
      <c r="C329" s="3">
        <v>47.092821000000001</v>
      </c>
      <c r="D329" s="3">
        <v>1693.5</v>
      </c>
      <c r="E329" t="s">
        <v>74</v>
      </c>
      <c r="G329" s="3">
        <v>1427323.5</v>
      </c>
      <c r="H329" s="3">
        <v>1981203.75</v>
      </c>
      <c r="I329" s="3">
        <v>2037022.625</v>
      </c>
      <c r="J329" s="3">
        <v>1984784</v>
      </c>
      <c r="K329" s="3">
        <v>12419885</v>
      </c>
      <c r="L329" s="3">
        <v>0.12563295662403101</v>
      </c>
      <c r="M329" s="3">
        <v>0.83861398696899403</v>
      </c>
      <c r="N329" s="3">
        <v>0.80579382181167603</v>
      </c>
      <c r="O329" s="3">
        <v>1481385.125</v>
      </c>
      <c r="P329" s="3">
        <v>2059871.375</v>
      </c>
      <c r="Q329" s="3">
        <v>1.04833316802979</v>
      </c>
      <c r="R329" s="3">
        <v>0.58097571134567305</v>
      </c>
      <c r="S329" s="3">
        <v>0.76785272359848</v>
      </c>
      <c r="T329" s="3">
        <v>0.702811419963837</v>
      </c>
      <c r="U329" s="3">
        <v>0.72130918502807595</v>
      </c>
      <c r="W329" t="s">
        <v>50</v>
      </c>
      <c r="X329" t="s">
        <v>51</v>
      </c>
      <c r="Y329" t="s">
        <v>52</v>
      </c>
      <c r="Z329" t="s">
        <v>53</v>
      </c>
      <c r="AA329" t="s">
        <v>53</v>
      </c>
      <c r="AC329" s="2">
        <v>0.80431880429416902</v>
      </c>
      <c r="AD329" s="2">
        <v>0.53768938779830899</v>
      </c>
      <c r="AE329" s="2">
        <v>0.27906325459480302</v>
      </c>
      <c r="AF329" s="2">
        <v>0.18144351243972801</v>
      </c>
      <c r="AG329" s="2">
        <v>0.28297594189643899</v>
      </c>
      <c r="AH329" s="2">
        <v>-0.340001821517944</v>
      </c>
      <c r="AI329" s="2">
        <v>5.88297061622143E-2</v>
      </c>
      <c r="AJ329" s="2">
        <v>0.77944963365616504</v>
      </c>
      <c r="AK329" s="2">
        <v>0.53520313486421001</v>
      </c>
      <c r="AL329" s="2">
        <v>0.73348637518841397</v>
      </c>
      <c r="AM329" s="2">
        <v>0.61616015434265103</v>
      </c>
      <c r="AN329" s="2">
        <v>0.57948952913284302</v>
      </c>
      <c r="AO329" s="2">
        <v>0.43806701898574801</v>
      </c>
      <c r="AP329" s="2">
        <v>0.56459367275238004</v>
      </c>
    </row>
    <row r="330" spans="1:42" x14ac:dyDescent="0.3">
      <c r="A330" t="s">
        <v>156</v>
      </c>
      <c r="B330" s="3">
        <v>2019</v>
      </c>
      <c r="C330" s="3">
        <v>47.435119</v>
      </c>
      <c r="D330" s="3">
        <v>1678.23</v>
      </c>
      <c r="E330" t="s">
        <v>74</v>
      </c>
      <c r="G330" s="3">
        <v>1523436.125</v>
      </c>
      <c r="H330" s="3">
        <v>2104821.25</v>
      </c>
      <c r="I330" s="3">
        <v>2169581.25</v>
      </c>
      <c r="J330" s="3">
        <v>2123809.75</v>
      </c>
      <c r="K330" s="3">
        <v>12985419</v>
      </c>
      <c r="L330" s="3">
        <v>0.12711217999458299</v>
      </c>
      <c r="M330" s="3">
        <v>0.87255609035491899</v>
      </c>
      <c r="N330" s="3">
        <v>0.83213442564010598</v>
      </c>
      <c r="O330" s="3">
        <v>1502168.625</v>
      </c>
      <c r="P330" s="3">
        <v>2093810.75</v>
      </c>
      <c r="Q330" s="3">
        <v>1.0449750423431401</v>
      </c>
      <c r="R330" s="3">
        <v>0.59312605857849099</v>
      </c>
      <c r="S330" s="3">
        <v>0.70114451646804798</v>
      </c>
      <c r="T330" s="3">
        <v>0.64689737558364901</v>
      </c>
      <c r="U330" s="3">
        <v>0.66083896160125699</v>
      </c>
      <c r="W330" t="s">
        <v>50</v>
      </c>
      <c r="X330" t="s">
        <v>54</v>
      </c>
      <c r="Y330" t="s">
        <v>52</v>
      </c>
      <c r="Z330" t="s">
        <v>53</v>
      </c>
      <c r="AA330" t="s">
        <v>53</v>
      </c>
      <c r="AC330" s="2">
        <v>0.82725205875371299</v>
      </c>
      <c r="AD330" s="2">
        <v>0.53397488594055198</v>
      </c>
      <c r="AE330" s="2">
        <v>0.27374637126922602</v>
      </c>
      <c r="AF330" s="2">
        <v>0.18333800137042999</v>
      </c>
      <c r="AG330" s="2">
        <v>0.272920161485672</v>
      </c>
      <c r="AH330" s="2">
        <v>-0.32109600305557301</v>
      </c>
      <c r="AI330" s="2">
        <v>5.7116635143756901E-2</v>
      </c>
      <c r="AJ330" s="2">
        <v>0.71076389261078898</v>
      </c>
      <c r="AK330" s="2">
        <v>0.50475068594578898</v>
      </c>
      <c r="AL330" s="2">
        <v>0.67312791997289201</v>
      </c>
      <c r="AM330" s="2">
        <v>0.58177578449249301</v>
      </c>
      <c r="AN330" s="2">
        <v>0.55060750246047996</v>
      </c>
      <c r="AO330" s="2">
        <v>0.41710683703422502</v>
      </c>
      <c r="AP330" s="2">
        <v>0.51097583770751998</v>
      </c>
    </row>
    <row r="331" spans="1:42" x14ac:dyDescent="0.3">
      <c r="A331" t="s">
        <v>156</v>
      </c>
      <c r="B331" s="3">
        <v>2020</v>
      </c>
      <c r="C331" s="3">
        <v>47.679488999999997</v>
      </c>
      <c r="D331" s="3">
        <v>1562.68</v>
      </c>
      <c r="E331" t="s">
        <v>74</v>
      </c>
      <c r="G331" s="3">
        <v>1369542.625</v>
      </c>
      <c r="H331" s="3">
        <v>1877009.125</v>
      </c>
      <c r="I331" s="3">
        <v>1905901.125</v>
      </c>
      <c r="J331" s="3">
        <v>1858842.75</v>
      </c>
      <c r="K331" s="3">
        <v>12958272</v>
      </c>
      <c r="L331" s="3">
        <v>0.122040584683418</v>
      </c>
      <c r="M331" s="3">
        <v>0.821491599082947</v>
      </c>
      <c r="N331" s="3">
        <v>0.79577511548996005</v>
      </c>
      <c r="O331" s="3">
        <v>1378577.625</v>
      </c>
      <c r="P331" s="3">
        <v>1904797</v>
      </c>
      <c r="Q331" s="3">
        <v>0.98976755142211903</v>
      </c>
      <c r="R331" s="3">
        <v>0.61605215072631803</v>
      </c>
      <c r="S331" s="3">
        <v>0.733232080936432</v>
      </c>
      <c r="T331" s="3">
        <v>0.67673176527023304</v>
      </c>
      <c r="U331" s="3">
        <v>0.69386386871337902</v>
      </c>
      <c r="W331" t="s">
        <v>50</v>
      </c>
      <c r="X331" t="s">
        <v>54</v>
      </c>
      <c r="Y331" t="s">
        <v>52</v>
      </c>
      <c r="Z331" t="s">
        <v>53</v>
      </c>
      <c r="AA331" t="s">
        <v>53</v>
      </c>
      <c r="AC331" s="2">
        <v>0.83765358858818595</v>
      </c>
      <c r="AD331" s="2">
        <v>0.527660131454468</v>
      </c>
      <c r="AE331" s="2">
        <v>0.27300134301185602</v>
      </c>
      <c r="AF331" s="2">
        <v>0.20911146700382199</v>
      </c>
      <c r="AG331" s="2">
        <v>0.248019933700562</v>
      </c>
      <c r="AH331" s="2">
        <v>-0.306274354457855</v>
      </c>
      <c r="AI331" s="2">
        <v>4.84814643859863E-2</v>
      </c>
      <c r="AJ331" s="2">
        <v>0.73786235505809405</v>
      </c>
      <c r="AK331" s="2">
        <v>0.52424966678210805</v>
      </c>
      <c r="AL331" s="2">
        <v>0.72154831134030795</v>
      </c>
      <c r="AM331" s="2">
        <v>0.59086638689041104</v>
      </c>
      <c r="AN331" s="2">
        <v>0.55397313833236705</v>
      </c>
      <c r="AO331" s="2">
        <v>0.43130087852478</v>
      </c>
      <c r="AP331" s="2">
        <v>0.48184776306152299</v>
      </c>
    </row>
    <row r="332" spans="1:42" x14ac:dyDescent="0.3">
      <c r="A332" t="s">
        <v>157</v>
      </c>
      <c r="B332" s="3">
        <v>2015</v>
      </c>
      <c r="C332" s="3">
        <v>1.314576</v>
      </c>
      <c r="D332" s="3">
        <v>1763.31</v>
      </c>
      <c r="E332" t="s">
        <v>74</v>
      </c>
      <c r="G332" s="3">
        <v>32197.626953125</v>
      </c>
      <c r="H332" s="3">
        <v>42897.03515625</v>
      </c>
      <c r="I332" s="3">
        <v>44620.62109375</v>
      </c>
      <c r="J332" s="3">
        <v>40883.078125</v>
      </c>
      <c r="K332" s="3">
        <v>196371.828125</v>
      </c>
      <c r="L332" s="3">
        <v>2.3637907579541202E-3</v>
      </c>
      <c r="M332" s="3">
        <v>0.64932554960250899</v>
      </c>
      <c r="N332" s="3">
        <v>0.65729230642318703</v>
      </c>
      <c r="O332" s="3">
        <v>32707.73828125</v>
      </c>
      <c r="P332" s="3">
        <v>47086.06640625</v>
      </c>
      <c r="Q332" s="3">
        <v>0.88073927164077803</v>
      </c>
      <c r="R332" s="3">
        <v>0.58903062343597401</v>
      </c>
      <c r="S332" s="3">
        <v>0.517650127410889</v>
      </c>
      <c r="T332" s="3">
        <v>0.52244561910629295</v>
      </c>
      <c r="U332" s="3">
        <v>0.57020771503448497</v>
      </c>
      <c r="W332" t="s">
        <v>50</v>
      </c>
      <c r="X332" t="s">
        <v>51</v>
      </c>
      <c r="Y332" t="s">
        <v>52</v>
      </c>
      <c r="Z332" t="s">
        <v>53</v>
      </c>
      <c r="AA332" t="s">
        <v>53</v>
      </c>
      <c r="AC332" s="2">
        <v>0.736371722131966</v>
      </c>
      <c r="AD332" s="2">
        <v>0.53388786315918002</v>
      </c>
      <c r="AE332" s="2">
        <v>0.26170751452446001</v>
      </c>
      <c r="AF332" s="2">
        <v>0.25366601347923301</v>
      </c>
      <c r="AG332" s="2">
        <v>0.74463963508606001</v>
      </c>
      <c r="AH332" s="2">
        <v>-0.79691088199615501</v>
      </c>
      <c r="AI332" s="2">
        <v>3.0099160503596102E-3</v>
      </c>
      <c r="AJ332" s="2">
        <v>0.55817551301408097</v>
      </c>
      <c r="AK332" s="2">
        <v>0.53687667989149801</v>
      </c>
      <c r="AL332" s="2">
        <v>0.43235672944985198</v>
      </c>
      <c r="AM332" s="2">
        <v>0.582233846187592</v>
      </c>
      <c r="AN332" s="2">
        <v>0.51855850219726596</v>
      </c>
      <c r="AO332" s="2">
        <v>0.41125237941741899</v>
      </c>
      <c r="AP332" s="2">
        <v>0.54150080680847201</v>
      </c>
    </row>
    <row r="333" spans="1:42" x14ac:dyDescent="0.3">
      <c r="A333" t="s">
        <v>157</v>
      </c>
      <c r="B333" s="3">
        <v>2016</v>
      </c>
      <c r="C333" s="3">
        <v>1.315849</v>
      </c>
      <c r="D333" s="3">
        <v>1766.72</v>
      </c>
      <c r="E333" t="s">
        <v>74</v>
      </c>
      <c r="G333" s="3">
        <v>33742.87890625</v>
      </c>
      <c r="H333" s="3">
        <v>44989.76171875</v>
      </c>
      <c r="I333" s="3">
        <v>46638.28125</v>
      </c>
      <c r="J333" s="3">
        <v>42883.125</v>
      </c>
      <c r="K333" s="3">
        <v>196848.46875</v>
      </c>
      <c r="L333" s="3">
        <v>2.33538914471865E-3</v>
      </c>
      <c r="M333" s="3">
        <v>0.67749959230422996</v>
      </c>
      <c r="N333" s="3">
        <v>0.687192142009735</v>
      </c>
      <c r="O333" s="3">
        <v>33953.97265625</v>
      </c>
      <c r="P333" s="3">
        <v>49097.51171875</v>
      </c>
      <c r="Q333" s="3">
        <v>0.89598202705383301</v>
      </c>
      <c r="R333" s="3">
        <v>0.59398365020751998</v>
      </c>
      <c r="S333" s="3">
        <v>0.52235376834869396</v>
      </c>
      <c r="T333" s="3">
        <v>0.526628077030182</v>
      </c>
      <c r="U333" s="3">
        <v>0.57274341583251998</v>
      </c>
      <c r="W333" t="s">
        <v>50</v>
      </c>
      <c r="X333" t="s">
        <v>51</v>
      </c>
      <c r="Y333" t="s">
        <v>52</v>
      </c>
      <c r="Z333" t="s">
        <v>53</v>
      </c>
      <c r="AA333" t="s">
        <v>53</v>
      </c>
      <c r="AC333" s="2">
        <v>0.75733928190845701</v>
      </c>
      <c r="AD333" s="2">
        <v>0.53230255842208896</v>
      </c>
      <c r="AE333" s="2">
        <v>0.26226830482482899</v>
      </c>
      <c r="AF333" s="2">
        <v>0.25455427169799799</v>
      </c>
      <c r="AG333" s="2">
        <v>0.75134056806564298</v>
      </c>
      <c r="AH333" s="2">
        <v>-0.80373769998550404</v>
      </c>
      <c r="AI333" s="2">
        <v>3.2719878945499702E-3</v>
      </c>
      <c r="AJ333" s="2">
        <v>0.56401350657278004</v>
      </c>
      <c r="AK333" s="2">
        <v>0.53945180509000301</v>
      </c>
      <c r="AL333" s="2">
        <v>0.43523839169866901</v>
      </c>
      <c r="AM333" s="2">
        <v>0.57535660266876198</v>
      </c>
      <c r="AN333" s="2">
        <v>0.51499146223068204</v>
      </c>
      <c r="AO333" s="2">
        <v>0.416970044374466</v>
      </c>
      <c r="AP333" s="2">
        <v>0.55270588397979703</v>
      </c>
    </row>
    <row r="334" spans="1:42" x14ac:dyDescent="0.3">
      <c r="A334" t="s">
        <v>157</v>
      </c>
      <c r="B334" s="3">
        <v>2017</v>
      </c>
      <c r="C334" s="3">
        <v>1.3174250000000001</v>
      </c>
      <c r="D334" s="3">
        <v>1768.13</v>
      </c>
      <c r="E334" t="s">
        <v>74</v>
      </c>
      <c r="G334" s="3">
        <v>34930.87109375</v>
      </c>
      <c r="H334" s="3">
        <v>48155.22265625</v>
      </c>
      <c r="I334" s="3">
        <v>50148.890625</v>
      </c>
      <c r="J334" s="3">
        <v>45500.58203125</v>
      </c>
      <c r="K334" s="3">
        <v>215997.09375</v>
      </c>
      <c r="L334" s="3">
        <v>2.5184452533721902E-3</v>
      </c>
      <c r="M334" s="3">
        <v>0.66982650756835904</v>
      </c>
      <c r="N334" s="3">
        <v>0.682689249515533</v>
      </c>
      <c r="O334" s="3">
        <v>34689</v>
      </c>
      <c r="P334" s="3">
        <v>51547.7265625</v>
      </c>
      <c r="Q334" s="3">
        <v>0.91497558355331399</v>
      </c>
      <c r="R334" s="3">
        <v>0.58485597372055098</v>
      </c>
      <c r="S334" s="3">
        <v>0.55115514993667603</v>
      </c>
      <c r="T334" s="3">
        <v>0.54775810241699197</v>
      </c>
      <c r="U334" s="3">
        <v>0.60371673107147195</v>
      </c>
      <c r="W334" t="s">
        <v>51</v>
      </c>
      <c r="X334" t="s">
        <v>51</v>
      </c>
      <c r="Y334" t="s">
        <v>52</v>
      </c>
      <c r="Z334" t="s">
        <v>53</v>
      </c>
      <c r="AA334" t="s">
        <v>53</v>
      </c>
      <c r="AC334" s="2">
        <v>0.75735081209319199</v>
      </c>
      <c r="AD334" s="2">
        <v>0.51622259616851796</v>
      </c>
      <c r="AE334" s="2">
        <v>0.29064136743545499</v>
      </c>
      <c r="AF334" s="2">
        <v>0.25147902965545699</v>
      </c>
      <c r="AG334" s="2">
        <v>0.75947010517120395</v>
      </c>
      <c r="AH334" s="2">
        <v>-0.81781345605850198</v>
      </c>
      <c r="AI334" s="2">
        <v>3.7012483744547401E-7</v>
      </c>
      <c r="AJ334" s="2">
        <v>0.59875956140506803</v>
      </c>
      <c r="AK334" s="2">
        <v>0.53878506515472602</v>
      </c>
      <c r="AL334" s="2">
        <v>0.45343544301573402</v>
      </c>
      <c r="AM334" s="2">
        <v>0.59066849946975697</v>
      </c>
      <c r="AN334" s="2">
        <v>0.51918262243270896</v>
      </c>
      <c r="AO334" s="2">
        <v>0.41496101021766701</v>
      </c>
      <c r="AP334" s="2">
        <v>0.564949810504913</v>
      </c>
    </row>
    <row r="335" spans="1:42" x14ac:dyDescent="0.3">
      <c r="A335" t="s">
        <v>157</v>
      </c>
      <c r="B335" s="3">
        <v>2018</v>
      </c>
      <c r="C335" s="3">
        <v>1.3219650000000001</v>
      </c>
      <c r="D335" s="3">
        <v>1707.3</v>
      </c>
      <c r="E335" t="s">
        <v>74</v>
      </c>
      <c r="G335" s="3">
        <v>35916.59765625</v>
      </c>
      <c r="H335" s="3">
        <v>51643.9765625</v>
      </c>
      <c r="I335" s="3">
        <v>52868.28125</v>
      </c>
      <c r="J335" s="3">
        <v>48437.93359375</v>
      </c>
      <c r="K335" s="3">
        <v>239458.171875</v>
      </c>
      <c r="L335" s="3">
        <v>2.7293211314827199E-3</v>
      </c>
      <c r="M335" s="3">
        <v>0.68435126543045</v>
      </c>
      <c r="N335" s="3">
        <v>0.70235830545425404</v>
      </c>
      <c r="O335" s="3">
        <v>35956.83203125</v>
      </c>
      <c r="P335" s="3">
        <v>54814.25</v>
      </c>
      <c r="Q335" s="3">
        <v>0.94170457124710105</v>
      </c>
      <c r="R335" s="3">
        <v>0.59032726287841797</v>
      </c>
      <c r="S335" s="3">
        <v>0.60707205533981301</v>
      </c>
      <c r="T335" s="3">
        <v>0.59057402610778797</v>
      </c>
      <c r="U335" s="3">
        <v>0.64459055662155196</v>
      </c>
      <c r="W335" t="s">
        <v>50</v>
      </c>
      <c r="X335" t="s">
        <v>51</v>
      </c>
      <c r="Y335" t="s">
        <v>52</v>
      </c>
      <c r="Z335" t="s">
        <v>53</v>
      </c>
      <c r="AA335" t="s">
        <v>53</v>
      </c>
      <c r="AC335" s="2">
        <v>0.76736565856084504</v>
      </c>
      <c r="AD335" s="2">
        <v>0.50503557920455899</v>
      </c>
      <c r="AE335" s="2">
        <v>0.32469135522842402</v>
      </c>
      <c r="AF335" s="2">
        <v>0.23646172881126401</v>
      </c>
      <c r="AG335" s="2">
        <v>0.76940536499023404</v>
      </c>
      <c r="AH335" s="2">
        <v>-0.83559399843215898</v>
      </c>
      <c r="AI335" s="2">
        <v>-1.16517349298489E-16</v>
      </c>
      <c r="AJ335" s="2">
        <v>0.65166376793358305</v>
      </c>
      <c r="AK335" s="2">
        <v>0.552897478423232</v>
      </c>
      <c r="AL335" s="2">
        <v>0.51183288244137304</v>
      </c>
      <c r="AM335" s="2">
        <v>0.61074399948120095</v>
      </c>
      <c r="AN335" s="2">
        <v>0.54450184106826804</v>
      </c>
      <c r="AO335" s="2">
        <v>0.42608442902565002</v>
      </c>
      <c r="AP335" s="2">
        <v>0.55413764715194702</v>
      </c>
    </row>
    <row r="336" spans="1:42" x14ac:dyDescent="0.3">
      <c r="A336" t="s">
        <v>157</v>
      </c>
      <c r="B336" s="3">
        <v>2019</v>
      </c>
      <c r="C336" s="3">
        <v>1.3268219999999999</v>
      </c>
      <c r="D336" s="3">
        <v>1694.29</v>
      </c>
      <c r="E336" t="s">
        <v>74</v>
      </c>
      <c r="G336" s="3">
        <v>38606.8203125</v>
      </c>
      <c r="H336" s="3">
        <v>54774.76953125</v>
      </c>
      <c r="I336" s="3">
        <v>56871.1328125</v>
      </c>
      <c r="J336" s="3">
        <v>52125.515625</v>
      </c>
      <c r="K336" s="3">
        <v>256818.640625</v>
      </c>
      <c r="L336" s="3">
        <v>2.84802098758519E-3</v>
      </c>
      <c r="M336" s="3">
        <v>0.71058952808380105</v>
      </c>
      <c r="N336" s="3">
        <v>0.71853798627853405</v>
      </c>
      <c r="O336" s="3">
        <v>37397.29296875</v>
      </c>
      <c r="P336" s="3">
        <v>56302.19140625</v>
      </c>
      <c r="Q336" s="3">
        <v>0.958396136760712</v>
      </c>
      <c r="R336" s="3">
        <v>0.59654593467712402</v>
      </c>
      <c r="S336" s="3">
        <v>0.57757043838500999</v>
      </c>
      <c r="T336" s="3">
        <v>0.56045573949813798</v>
      </c>
      <c r="U336" s="3">
        <v>0.611480712890625</v>
      </c>
      <c r="W336" t="s">
        <v>50</v>
      </c>
      <c r="X336" t="s">
        <v>54</v>
      </c>
      <c r="Y336" t="s">
        <v>52</v>
      </c>
      <c r="Z336" t="s">
        <v>53</v>
      </c>
      <c r="AA336" t="s">
        <v>53</v>
      </c>
      <c r="AC336" s="2">
        <v>0.77494149933835099</v>
      </c>
      <c r="AD336" s="2">
        <v>0.50740230083465598</v>
      </c>
      <c r="AE336" s="2">
        <v>0.31017339229583701</v>
      </c>
      <c r="AF336" s="2">
        <v>0.23324878513812999</v>
      </c>
      <c r="AG336" s="2">
        <v>0.757798612117767</v>
      </c>
      <c r="AH336" s="2">
        <v>-0.80862313508987405</v>
      </c>
      <c r="AI336" s="2">
        <v>-1.1413714701203499E-16</v>
      </c>
      <c r="AJ336" s="2">
        <v>0.61269656182739696</v>
      </c>
      <c r="AK336" s="2">
        <v>0.51958808503981402</v>
      </c>
      <c r="AL336" s="2">
        <v>0.50115815314298995</v>
      </c>
      <c r="AM336" s="2">
        <v>0.58113491535186801</v>
      </c>
      <c r="AN336" s="2">
        <v>0.51673406362533603</v>
      </c>
      <c r="AO336" s="2">
        <v>0.40040838718414301</v>
      </c>
      <c r="AP336" s="2">
        <v>0.51357090473175104</v>
      </c>
    </row>
    <row r="337" spans="1:42" x14ac:dyDescent="0.3">
      <c r="A337" t="s">
        <v>157</v>
      </c>
      <c r="B337" s="3">
        <v>2020</v>
      </c>
      <c r="C337" s="3">
        <v>1.329669</v>
      </c>
      <c r="D337" s="3">
        <v>1637.23</v>
      </c>
      <c r="E337" t="s">
        <v>74</v>
      </c>
      <c r="G337" s="3">
        <v>38450.125</v>
      </c>
      <c r="H337" s="3">
        <v>56615.765625</v>
      </c>
      <c r="I337" s="3">
        <v>56006.75390625</v>
      </c>
      <c r="J337" s="3">
        <v>52317.15234375</v>
      </c>
      <c r="K337" s="3">
        <v>273598.625</v>
      </c>
      <c r="L337" s="3">
        <v>2.9070191085338601E-3</v>
      </c>
      <c r="M337" s="3">
        <v>0.71957755088806197</v>
      </c>
      <c r="N337" s="3">
        <v>0.74702376127242998</v>
      </c>
      <c r="O337" s="3">
        <v>37575.96484375</v>
      </c>
      <c r="P337" s="3">
        <v>55903.81640625</v>
      </c>
      <c r="Q337" s="3">
        <v>0.94753122329711903</v>
      </c>
      <c r="R337" s="3">
        <v>0.603726387023926</v>
      </c>
      <c r="S337" s="3">
        <v>0.59114170074462902</v>
      </c>
      <c r="T337" s="3">
        <v>0.568159520626068</v>
      </c>
      <c r="U337" s="3">
        <v>0.60822826623916604</v>
      </c>
      <c r="W337" t="s">
        <v>50</v>
      </c>
      <c r="X337" t="s">
        <v>54</v>
      </c>
      <c r="Y337" t="s">
        <v>52</v>
      </c>
      <c r="Z337" t="s">
        <v>53</v>
      </c>
      <c r="AA337" t="s">
        <v>53</v>
      </c>
      <c r="AC337" s="2">
        <v>0.77968414258352703</v>
      </c>
      <c r="AD337" s="2">
        <v>0.49128788709640497</v>
      </c>
      <c r="AE337" s="2">
        <v>0.34722152352333102</v>
      </c>
      <c r="AF337" s="2">
        <v>0.24365508556366</v>
      </c>
      <c r="AG337" s="2">
        <v>0.71901416778564498</v>
      </c>
      <c r="AH337" s="2">
        <v>-0.80114012956619296</v>
      </c>
      <c r="AI337" s="2">
        <v>-3.8514979678438997E-5</v>
      </c>
      <c r="AJ337" s="2">
        <v>0.62908736182169001</v>
      </c>
      <c r="AK337" s="2">
        <v>0.51951457444220595</v>
      </c>
      <c r="AL337" s="2">
        <v>0.51463086542954395</v>
      </c>
      <c r="AM337" s="2">
        <v>0.57653284072875999</v>
      </c>
      <c r="AN337" s="2">
        <v>0.52565789222717296</v>
      </c>
      <c r="AO337" s="2">
        <v>0.39585542678833002</v>
      </c>
      <c r="AP337" s="2">
        <v>0.51508969068527199</v>
      </c>
    </row>
    <row r="338" spans="1:42" x14ac:dyDescent="0.3">
      <c r="A338" t="s">
        <v>158</v>
      </c>
      <c r="B338" s="3">
        <v>2015</v>
      </c>
      <c r="C338" s="3">
        <v>103.867135</v>
      </c>
      <c r="D338" s="3">
        <v>1563.7</v>
      </c>
      <c r="E338" t="s">
        <v>159</v>
      </c>
      <c r="G338" s="3">
        <v>157931.390625</v>
      </c>
      <c r="H338" s="3">
        <v>214036.828125</v>
      </c>
      <c r="I338" s="3">
        <v>182192.578125</v>
      </c>
      <c r="J338" s="3">
        <v>201396.25</v>
      </c>
      <c r="K338" s="3">
        <v>457843.34375</v>
      </c>
      <c r="L338" s="3"/>
      <c r="M338" s="3"/>
      <c r="N338" s="3"/>
      <c r="O338" s="3">
        <v>213177.859375</v>
      </c>
      <c r="P338" s="3">
        <v>275008.1875</v>
      </c>
      <c r="Q338" s="3"/>
      <c r="R338" s="3"/>
      <c r="S338" s="3">
        <v>0.31178092956543002</v>
      </c>
      <c r="T338" s="3">
        <v>0.34621968865394598</v>
      </c>
      <c r="U338" s="3">
        <v>0.31320673227310197</v>
      </c>
      <c r="W338" t="s">
        <v>50</v>
      </c>
      <c r="X338" t="s">
        <v>51</v>
      </c>
      <c r="Y338" t="s">
        <v>52</v>
      </c>
      <c r="Z338" t="s">
        <v>53</v>
      </c>
      <c r="AC338" s="2">
        <v>0.29033267959494902</v>
      </c>
      <c r="AD338" s="2">
        <v>0.68568980693817105</v>
      </c>
      <c r="AE338" s="2">
        <v>0.278582364320755</v>
      </c>
      <c r="AF338" s="2">
        <v>9.8492622375488295E-2</v>
      </c>
      <c r="AG338" s="2">
        <v>1.8064096570014999E-2</v>
      </c>
      <c r="AH338" s="2">
        <v>-0.15433894097805001</v>
      </c>
      <c r="AI338" s="2">
        <v>7.3510073125362396E-2</v>
      </c>
      <c r="AJ338" s="2">
        <v>0.31539215728398601</v>
      </c>
      <c r="AK338" s="2">
        <v>0.44316144608542801</v>
      </c>
      <c r="AL338" s="2">
        <v>0.28664017916212098</v>
      </c>
      <c r="AM338" s="2">
        <v>0.55622029304504395</v>
      </c>
      <c r="AN338" s="2">
        <v>0.56897395849227905</v>
      </c>
      <c r="AO338" s="2">
        <v>0.25669205188751198</v>
      </c>
      <c r="AP338" s="2"/>
    </row>
    <row r="339" spans="1:42" x14ac:dyDescent="0.3">
      <c r="A339" t="s">
        <v>158</v>
      </c>
      <c r="B339" s="3">
        <v>2016</v>
      </c>
      <c r="C339" s="3">
        <v>106.71816200000001</v>
      </c>
      <c r="D339" s="3">
        <v>1564.91</v>
      </c>
      <c r="E339" t="s">
        <v>159</v>
      </c>
      <c r="G339" s="3">
        <v>183339.015625</v>
      </c>
      <c r="H339" s="3">
        <v>241274.828125</v>
      </c>
      <c r="I339" s="3">
        <v>209895.40625</v>
      </c>
      <c r="J339" s="3">
        <v>228776.78125</v>
      </c>
      <c r="K339" s="3">
        <v>498244.8125</v>
      </c>
      <c r="L339" s="3"/>
      <c r="M339" s="3"/>
      <c r="N339" s="3"/>
      <c r="O339" s="3">
        <v>220993.3125</v>
      </c>
      <c r="P339" s="3">
        <v>291692.84375</v>
      </c>
      <c r="Q339" s="3"/>
      <c r="R339" s="3"/>
      <c r="S339" s="3">
        <v>0.30541917681693997</v>
      </c>
      <c r="T339" s="3">
        <v>0.343779116868973</v>
      </c>
      <c r="U339" s="3">
        <v>0.31540635228156999</v>
      </c>
      <c r="W339" t="s">
        <v>50</v>
      </c>
      <c r="X339" t="s">
        <v>51</v>
      </c>
      <c r="Y339" t="s">
        <v>52</v>
      </c>
      <c r="Z339" t="s">
        <v>53</v>
      </c>
      <c r="AC339" s="2">
        <v>0.28992589791450601</v>
      </c>
      <c r="AD339" s="2">
        <v>0.68189895153045699</v>
      </c>
      <c r="AE339" s="2">
        <v>0.25324165821075401</v>
      </c>
      <c r="AF339" s="2">
        <v>0.119489207863808</v>
      </c>
      <c r="AG339" s="2">
        <v>1.5674570575356501E-2</v>
      </c>
      <c r="AH339" s="2">
        <v>-0.135093808174133</v>
      </c>
      <c r="AI339" s="2">
        <v>6.4789436757564503E-2</v>
      </c>
      <c r="AJ339" s="2">
        <v>0.30743645455297602</v>
      </c>
      <c r="AK339" s="2">
        <v>0.46516983638624498</v>
      </c>
      <c r="AL339" s="2">
        <v>0.29390706694072699</v>
      </c>
      <c r="AM339" s="2">
        <v>0.55452179908752397</v>
      </c>
      <c r="AN339" s="2">
        <v>0.56464636325836204</v>
      </c>
      <c r="AO339" s="2">
        <v>0.27058249711990401</v>
      </c>
      <c r="AP339" s="2"/>
    </row>
    <row r="340" spans="1:42" x14ac:dyDescent="0.3">
      <c r="A340" t="s">
        <v>158</v>
      </c>
      <c r="B340" s="3">
        <v>2017</v>
      </c>
      <c r="C340" s="3">
        <v>109.666481</v>
      </c>
      <c r="D340" s="3">
        <v>1566.4</v>
      </c>
      <c r="E340" t="s">
        <v>159</v>
      </c>
      <c r="G340" s="3">
        <v>198225.515625</v>
      </c>
      <c r="H340" s="3">
        <v>263546.1875</v>
      </c>
      <c r="I340" s="3">
        <v>227030.78125</v>
      </c>
      <c r="J340" s="3">
        <v>243068.421875</v>
      </c>
      <c r="K340" s="3">
        <v>604153</v>
      </c>
      <c r="L340" s="3"/>
      <c r="M340" s="3"/>
      <c r="N340" s="3"/>
      <c r="O340" s="3">
        <v>225356.328125</v>
      </c>
      <c r="P340" s="3">
        <v>301060.4375</v>
      </c>
      <c r="Q340" s="3"/>
      <c r="R340" s="3"/>
      <c r="S340" s="3">
        <v>0.30078563094139099</v>
      </c>
      <c r="T340" s="3">
        <v>0.33825671672821001</v>
      </c>
      <c r="U340" s="3">
        <v>0.31593856215477001</v>
      </c>
      <c r="W340" t="s">
        <v>51</v>
      </c>
      <c r="X340" t="s">
        <v>51</v>
      </c>
      <c r="Y340" t="s">
        <v>52</v>
      </c>
      <c r="Z340" t="s">
        <v>53</v>
      </c>
      <c r="AC340" s="2">
        <v>0.30446998310687601</v>
      </c>
      <c r="AD340" s="2">
        <v>0.694377481937408</v>
      </c>
      <c r="AE340" s="2">
        <v>0.268733620643616</v>
      </c>
      <c r="AF340" s="2">
        <v>0.121135756373405</v>
      </c>
      <c r="AG340" s="2">
        <v>1.6742130741476999E-2</v>
      </c>
      <c r="AH340" s="2">
        <v>-0.115331195294857</v>
      </c>
      <c r="AI340" s="2">
        <v>1.4342206530273001E-2</v>
      </c>
      <c r="AJ340" s="2">
        <v>0.30271212065881598</v>
      </c>
      <c r="AK340" s="2">
        <v>0.45196840706005698</v>
      </c>
      <c r="AL340" s="2">
        <v>0.28974263160745201</v>
      </c>
      <c r="AM340" s="2">
        <v>0.56663233041763295</v>
      </c>
      <c r="AN340" s="2">
        <v>0.56214725971221902</v>
      </c>
      <c r="AO340" s="2">
        <v>0.26645970344543501</v>
      </c>
      <c r="AP340" s="2"/>
    </row>
    <row r="341" spans="1:42" x14ac:dyDescent="0.3">
      <c r="A341" t="s">
        <v>158</v>
      </c>
      <c r="B341" s="3">
        <v>2018</v>
      </c>
      <c r="C341" s="3">
        <v>112.664152</v>
      </c>
      <c r="D341" s="3">
        <v>1567.6</v>
      </c>
      <c r="E341" t="s">
        <v>159</v>
      </c>
      <c r="G341" s="3">
        <v>206121.28125</v>
      </c>
      <c r="H341" s="3">
        <v>264303.875</v>
      </c>
      <c r="I341" s="3">
        <v>240106.890625</v>
      </c>
      <c r="J341" s="3">
        <v>258598.859375</v>
      </c>
      <c r="K341" s="3">
        <v>611142.3125</v>
      </c>
      <c r="L341" s="3"/>
      <c r="M341" s="3"/>
      <c r="N341" s="3"/>
      <c r="O341" s="3">
        <v>247702.4375</v>
      </c>
      <c r="P341" s="3">
        <v>317569.40625</v>
      </c>
      <c r="Q341" s="3"/>
      <c r="R341" s="3"/>
      <c r="S341" s="3">
        <v>0.29541525244712802</v>
      </c>
      <c r="T341" s="3">
        <v>0.33406090736389199</v>
      </c>
      <c r="U341" s="3">
        <v>0.31017279624938998</v>
      </c>
      <c r="W341" t="s">
        <v>50</v>
      </c>
      <c r="X341" t="s">
        <v>51</v>
      </c>
      <c r="Y341" t="s">
        <v>52</v>
      </c>
      <c r="Z341" t="s">
        <v>53</v>
      </c>
      <c r="AC341" s="2">
        <v>0.28141061894292602</v>
      </c>
      <c r="AD341" s="2">
        <v>0.683815658092499</v>
      </c>
      <c r="AE341" s="2">
        <v>0.22499173879623399</v>
      </c>
      <c r="AF341" s="2">
        <v>0.113253928720951</v>
      </c>
      <c r="AG341" s="2">
        <v>1.0333897545933699E-2</v>
      </c>
      <c r="AH341" s="2">
        <v>-9.9141813814640101E-2</v>
      </c>
      <c r="AI341" s="2">
        <v>6.6746614873409299E-2</v>
      </c>
      <c r="AJ341" s="2">
        <v>0.29784680112162798</v>
      </c>
      <c r="AK341" s="2">
        <v>0.47096934188801298</v>
      </c>
      <c r="AL341" s="2">
        <v>0.28073390105167201</v>
      </c>
      <c r="AM341" s="2">
        <v>0.57947641611099199</v>
      </c>
      <c r="AN341" s="2">
        <v>0.58450812101364102</v>
      </c>
      <c r="AO341" s="2">
        <v>0.28412878513336198</v>
      </c>
      <c r="AP341" s="2"/>
    </row>
    <row r="342" spans="1:42" x14ac:dyDescent="0.3">
      <c r="A342" t="s">
        <v>158</v>
      </c>
      <c r="B342" s="3">
        <v>2019</v>
      </c>
      <c r="C342" s="3">
        <v>115.73738299999999</v>
      </c>
      <c r="D342" s="3">
        <v>1569.3</v>
      </c>
      <c r="E342" t="s">
        <v>159</v>
      </c>
      <c r="G342" s="3">
        <v>233153.65625</v>
      </c>
      <c r="H342" s="3">
        <v>295018.78125</v>
      </c>
      <c r="I342" s="3">
        <v>260730.84375</v>
      </c>
      <c r="J342" s="3">
        <v>281848.375</v>
      </c>
      <c r="K342" s="3">
        <v>708653.1875</v>
      </c>
      <c r="L342" s="3"/>
      <c r="M342" s="3"/>
      <c r="N342" s="3"/>
      <c r="O342" s="3">
        <v>255469.671875</v>
      </c>
      <c r="P342" s="3">
        <v>323960.25</v>
      </c>
      <c r="Q342" s="3"/>
      <c r="R342" s="3"/>
      <c r="S342" s="3">
        <v>0.30920994281768799</v>
      </c>
      <c r="T342" s="3">
        <v>0.35500940680503801</v>
      </c>
      <c r="U342" s="3">
        <v>0.32841023802757302</v>
      </c>
      <c r="W342" t="s">
        <v>50</v>
      </c>
      <c r="X342" t="s">
        <v>54</v>
      </c>
      <c r="Y342" t="s">
        <v>52</v>
      </c>
      <c r="Z342" t="s">
        <v>53</v>
      </c>
      <c r="AC342" s="2">
        <v>0.25613367538065202</v>
      </c>
      <c r="AD342" s="2">
        <v>0.72576594352722201</v>
      </c>
      <c r="AE342" s="2">
        <v>0.21949784457683599</v>
      </c>
      <c r="AF342" s="2">
        <v>0.10146487504243901</v>
      </c>
      <c r="AG342" s="2">
        <v>9.6733076497912407E-3</v>
      </c>
      <c r="AH342" s="2">
        <v>-7.7443882822990404E-2</v>
      </c>
      <c r="AI342" s="2">
        <v>2.10419371724129E-2</v>
      </c>
      <c r="AJ342" s="2">
        <v>0.31078854824735502</v>
      </c>
      <c r="AK342" s="2">
        <v>0.52761578321441005</v>
      </c>
      <c r="AL342" s="2">
        <v>0.29791827200309101</v>
      </c>
      <c r="AM342" s="2">
        <v>0.621573746204376</v>
      </c>
      <c r="AN342" s="2">
        <v>0.72454142570495605</v>
      </c>
      <c r="AO342" s="2">
        <v>0.32371202111244202</v>
      </c>
      <c r="AP342" s="2"/>
    </row>
    <row r="343" spans="1:42" x14ac:dyDescent="0.3">
      <c r="A343" t="s">
        <v>158</v>
      </c>
      <c r="B343" s="3">
        <v>2020</v>
      </c>
      <c r="C343" s="3">
        <v>118.917671</v>
      </c>
      <c r="D343" s="3">
        <v>1456.36</v>
      </c>
      <c r="E343" t="s">
        <v>159</v>
      </c>
      <c r="G343" s="3">
        <v>256841.953125</v>
      </c>
      <c r="H343" s="3">
        <v>310337.375</v>
      </c>
      <c r="I343" s="3">
        <v>282763.09375</v>
      </c>
      <c r="J343" s="3">
        <v>299263.625</v>
      </c>
      <c r="K343" s="3">
        <v>676592.375</v>
      </c>
      <c r="L343" s="3"/>
      <c r="M343" s="3"/>
      <c r="N343" s="3"/>
      <c r="O343" s="3">
        <v>276402.71875</v>
      </c>
      <c r="P343" s="3">
        <v>340856.3125</v>
      </c>
      <c r="Q343" s="3"/>
      <c r="R343" s="3"/>
      <c r="S343" s="3">
        <v>0.297843188047409</v>
      </c>
      <c r="T343" s="3">
        <v>0.34170800447464</v>
      </c>
      <c r="U343" s="3">
        <v>0.32286724448204002</v>
      </c>
      <c r="W343" t="s">
        <v>50</v>
      </c>
      <c r="X343" t="s">
        <v>54</v>
      </c>
      <c r="Y343" t="s">
        <v>52</v>
      </c>
      <c r="Z343" t="s">
        <v>53</v>
      </c>
      <c r="AC343" s="2">
        <v>0.227948770184701</v>
      </c>
      <c r="AD343" s="2">
        <v>0.75607895851135298</v>
      </c>
      <c r="AE343" s="2">
        <v>0.17875689268112199</v>
      </c>
      <c r="AF343" s="2">
        <v>0.10216750949621201</v>
      </c>
      <c r="AG343" s="2">
        <v>8.5126049816608394E-3</v>
      </c>
      <c r="AH343" s="2">
        <v>-6.9712683558464106E-2</v>
      </c>
      <c r="AI343" s="2">
        <v>2.41966675966978E-2</v>
      </c>
      <c r="AJ343" s="2">
        <v>0.299104663866745</v>
      </c>
      <c r="AK343" s="2">
        <v>0.552311458658171</v>
      </c>
      <c r="AL343" s="2">
        <v>0.28850767755222301</v>
      </c>
      <c r="AM343" s="2">
        <v>0.62332171201705899</v>
      </c>
      <c r="AN343" s="2">
        <v>0.63981932401657104</v>
      </c>
      <c r="AO343" s="2">
        <v>0.34040996432304399</v>
      </c>
      <c r="AP343" s="2"/>
    </row>
    <row r="344" spans="1:42" x14ac:dyDescent="0.3">
      <c r="A344" t="s">
        <v>160</v>
      </c>
      <c r="B344" s="3">
        <v>2015</v>
      </c>
      <c r="C344" s="3">
        <v>5.4797169999999999</v>
      </c>
      <c r="D344" s="3">
        <v>1554.89</v>
      </c>
      <c r="E344" t="s">
        <v>74</v>
      </c>
      <c r="G344" s="3">
        <v>195459.828125</v>
      </c>
      <c r="H344" s="3">
        <v>258630.6875</v>
      </c>
      <c r="I344" s="3">
        <v>256926.75</v>
      </c>
      <c r="J344" s="3">
        <v>246556.984375</v>
      </c>
      <c r="K344" s="3">
        <v>1347282.375</v>
      </c>
      <c r="L344" s="3">
        <v>1.6318105161190002E-2</v>
      </c>
      <c r="M344" s="3">
        <v>0.82874500751495395</v>
      </c>
      <c r="N344" s="3">
        <v>0.83867949247360196</v>
      </c>
      <c r="O344" s="3">
        <v>206884.3125</v>
      </c>
      <c r="P344" s="3">
        <v>282534.09375</v>
      </c>
      <c r="Q344" s="3">
        <v>1.0006690025329601</v>
      </c>
      <c r="R344" s="3">
        <v>0.59613198041915905</v>
      </c>
      <c r="S344" s="3">
        <v>0.93968659639358498</v>
      </c>
      <c r="T344" s="3">
        <v>0.90769344568252597</v>
      </c>
      <c r="U344" s="3">
        <v>0.94586956501007102</v>
      </c>
      <c r="W344" t="s">
        <v>50</v>
      </c>
      <c r="X344" t="s">
        <v>51</v>
      </c>
      <c r="Y344" t="s">
        <v>52</v>
      </c>
      <c r="Z344" t="s">
        <v>53</v>
      </c>
      <c r="AA344" t="s">
        <v>53</v>
      </c>
      <c r="AC344" s="2">
        <v>0.78633651296851004</v>
      </c>
      <c r="AD344" s="2">
        <v>0.55995112657546997</v>
      </c>
      <c r="AE344" s="2">
        <v>0.25621202588081399</v>
      </c>
      <c r="AF344" s="2">
        <v>0.232806101441383</v>
      </c>
      <c r="AG344" s="2">
        <v>0.40430200099945102</v>
      </c>
      <c r="AH344" s="2">
        <v>-0.44874921441078203</v>
      </c>
      <c r="AI344" s="2">
        <v>-4.5220186002552501E-3</v>
      </c>
      <c r="AJ344" s="2">
        <v>0.91533700050864197</v>
      </c>
      <c r="AK344" s="2">
        <v>0.80870213195500396</v>
      </c>
      <c r="AL344" s="2">
        <v>0.99825283588260505</v>
      </c>
      <c r="AM344" s="2">
        <v>0.59871816635131803</v>
      </c>
      <c r="AN344" s="2">
        <v>0.54386442899704002</v>
      </c>
      <c r="AO344" s="2">
        <v>0.69613033533096302</v>
      </c>
      <c r="AP344" s="2">
        <v>0.77115243673324596</v>
      </c>
    </row>
    <row r="345" spans="1:42" x14ac:dyDescent="0.3">
      <c r="A345" t="s">
        <v>160</v>
      </c>
      <c r="B345" s="3">
        <v>2016</v>
      </c>
      <c r="C345" s="3">
        <v>5.4954689999999999</v>
      </c>
      <c r="D345" s="3">
        <v>1554.67</v>
      </c>
      <c r="E345" t="s">
        <v>74</v>
      </c>
      <c r="G345" s="3">
        <v>199777.015625</v>
      </c>
      <c r="H345" s="3">
        <v>268628.09375</v>
      </c>
      <c r="I345" s="3">
        <v>265052.5625</v>
      </c>
      <c r="J345" s="3">
        <v>254826.328125</v>
      </c>
      <c r="K345" s="3">
        <v>1379193.5</v>
      </c>
      <c r="L345" s="3">
        <v>1.6262428835034402E-2</v>
      </c>
      <c r="M345" s="3">
        <v>0.84352231025695801</v>
      </c>
      <c r="N345" s="3">
        <v>0.85969752073287997</v>
      </c>
      <c r="O345" s="3">
        <v>210047.484375</v>
      </c>
      <c r="P345" s="3">
        <v>291615.625</v>
      </c>
      <c r="Q345" s="3">
        <v>1.01293385028839</v>
      </c>
      <c r="R345" s="3">
        <v>0.59286558628082298</v>
      </c>
      <c r="S345" s="3">
        <v>0.92941248416900601</v>
      </c>
      <c r="T345" s="3">
        <v>0.90086972713470503</v>
      </c>
      <c r="U345" s="3">
        <v>0.93702173233032204</v>
      </c>
      <c r="W345" t="s">
        <v>50</v>
      </c>
      <c r="X345" t="s">
        <v>51</v>
      </c>
      <c r="Y345" t="s">
        <v>52</v>
      </c>
      <c r="Z345" t="s">
        <v>53</v>
      </c>
      <c r="AA345" t="s">
        <v>53</v>
      </c>
      <c r="AC345" s="2">
        <v>0.78654322195563997</v>
      </c>
      <c r="AD345" s="2">
        <v>0.55433255434036299</v>
      </c>
      <c r="AE345" s="2">
        <v>0.27018824219703702</v>
      </c>
      <c r="AF345" s="2">
        <v>0.229640617966652</v>
      </c>
      <c r="AG345" s="2">
        <v>0.38137665390968301</v>
      </c>
      <c r="AH345" s="2">
        <v>-0.43534964323043801</v>
      </c>
      <c r="AI345" s="2">
        <v>-1.8850652850232999E-4</v>
      </c>
      <c r="AJ345" s="2">
        <v>0.91039531838130205</v>
      </c>
      <c r="AK345" s="2">
        <v>0.81805049961887</v>
      </c>
      <c r="AL345" s="2">
        <v>0.97531825878096601</v>
      </c>
      <c r="AM345" s="2">
        <v>0.58986449241638195</v>
      </c>
      <c r="AN345" s="2">
        <v>0.54536455869674705</v>
      </c>
      <c r="AO345" s="2">
        <v>0.70085132122039795</v>
      </c>
      <c r="AP345" s="2">
        <v>0.77376604080200195</v>
      </c>
    </row>
    <row r="346" spans="1:42" x14ac:dyDescent="0.3">
      <c r="A346" t="s">
        <v>160</v>
      </c>
      <c r="B346" s="3">
        <v>2017</v>
      </c>
      <c r="C346" s="3">
        <v>5.5083960000000003</v>
      </c>
      <c r="D346" s="3">
        <v>1548.45</v>
      </c>
      <c r="E346" t="s">
        <v>74</v>
      </c>
      <c r="G346" s="3">
        <v>201881.765625</v>
      </c>
      <c r="H346" s="3">
        <v>274815.1875</v>
      </c>
      <c r="I346" s="3">
        <v>275506.6875</v>
      </c>
      <c r="J346" s="3">
        <v>262326.1875</v>
      </c>
      <c r="K346" s="3">
        <v>1378019</v>
      </c>
      <c r="L346" s="3">
        <v>1.6100505366921401E-2</v>
      </c>
      <c r="M346" s="3">
        <v>0.84276586771011397</v>
      </c>
      <c r="N346" s="3">
        <v>0.85023725032806396</v>
      </c>
      <c r="O346" s="3">
        <v>210804.4375</v>
      </c>
      <c r="P346" s="3">
        <v>296010.28125</v>
      </c>
      <c r="Q346" s="3">
        <v>1.03362023830414</v>
      </c>
      <c r="R346" s="3">
        <v>0.57142704725265503</v>
      </c>
      <c r="S346" s="3">
        <v>0.94857585430145297</v>
      </c>
      <c r="T346" s="3">
        <v>0.92137926816940297</v>
      </c>
      <c r="U346" s="3">
        <v>0.96767371892929099</v>
      </c>
      <c r="W346" t="s">
        <v>51</v>
      </c>
      <c r="X346" t="s">
        <v>51</v>
      </c>
      <c r="Y346" t="s">
        <v>52</v>
      </c>
      <c r="Z346" t="s">
        <v>53</v>
      </c>
      <c r="AA346" t="s">
        <v>53</v>
      </c>
      <c r="AC346" s="2">
        <v>0.78983118963184096</v>
      </c>
      <c r="AD346" s="2">
        <v>0.53888440132141102</v>
      </c>
      <c r="AE346" s="2">
        <v>0.27802565693855302</v>
      </c>
      <c r="AF346" s="2">
        <v>0.23069857060909299</v>
      </c>
      <c r="AG346" s="2">
        <v>0.42329370975494401</v>
      </c>
      <c r="AH346" s="2">
        <v>-0.48452013731002802</v>
      </c>
      <c r="AI346" s="2">
        <v>1.36177763342857E-2</v>
      </c>
      <c r="AJ346" s="2">
        <v>0.94217690159274703</v>
      </c>
      <c r="AK346" s="2">
        <v>0.84609827933739401</v>
      </c>
      <c r="AL346" s="2">
        <v>0.96352303818972795</v>
      </c>
      <c r="AM346" s="2">
        <v>0.60590797662734996</v>
      </c>
      <c r="AN346" s="2">
        <v>0.55152666568756104</v>
      </c>
      <c r="AO346" s="2">
        <v>0.749048411846161</v>
      </c>
      <c r="AP346" s="2">
        <v>0.84304213523864802</v>
      </c>
    </row>
    <row r="347" spans="1:42" x14ac:dyDescent="0.3">
      <c r="A347" t="s">
        <v>160</v>
      </c>
      <c r="B347" s="3">
        <v>2018</v>
      </c>
      <c r="C347" s="3">
        <v>5.5157360000000004</v>
      </c>
      <c r="D347" s="3">
        <v>1546.65</v>
      </c>
      <c r="E347" t="s">
        <v>74</v>
      </c>
      <c r="G347" s="3">
        <v>203493.40625</v>
      </c>
      <c r="H347" s="3">
        <v>283976.8125</v>
      </c>
      <c r="I347" s="3">
        <v>281462.03125</v>
      </c>
      <c r="J347" s="3">
        <v>266681.6875</v>
      </c>
      <c r="K347" s="3">
        <v>1468667.875</v>
      </c>
      <c r="L347" s="3">
        <v>1.6686240211129199E-2</v>
      </c>
      <c r="M347" s="3">
        <v>0.81799936294555697</v>
      </c>
      <c r="N347" s="3">
        <v>0.83847165107727095</v>
      </c>
      <c r="O347" s="3">
        <v>213737.5625</v>
      </c>
      <c r="P347" s="3">
        <v>303791.6875</v>
      </c>
      <c r="Q347" s="3">
        <v>1.0184942483902</v>
      </c>
      <c r="R347" s="3">
        <v>0.57655495405197099</v>
      </c>
      <c r="S347" s="3">
        <v>1.0116668939590501</v>
      </c>
      <c r="T347" s="3">
        <v>0.97302383184432995</v>
      </c>
      <c r="U347" s="3">
        <v>1.0269519090652499</v>
      </c>
      <c r="W347" t="s">
        <v>50</v>
      </c>
      <c r="X347" t="s">
        <v>51</v>
      </c>
      <c r="Y347" t="s">
        <v>52</v>
      </c>
      <c r="Z347" t="s">
        <v>53</v>
      </c>
      <c r="AA347" t="s">
        <v>53</v>
      </c>
      <c r="AC347" s="2">
        <v>0.79075320269360405</v>
      </c>
      <c r="AD347" s="2">
        <v>0.52947109937667902</v>
      </c>
      <c r="AE347" s="2">
        <v>0.30179575085639998</v>
      </c>
      <c r="AF347" s="2">
        <v>0.23358616232872001</v>
      </c>
      <c r="AG347" s="2">
        <v>0.449092626571655</v>
      </c>
      <c r="AH347" s="2">
        <v>-0.51630789041519198</v>
      </c>
      <c r="AI347" s="2">
        <v>2.3621944710612301E-3</v>
      </c>
      <c r="AJ347" s="2">
        <v>1.01022453139841</v>
      </c>
      <c r="AK347" s="2">
        <v>0.87531916521446396</v>
      </c>
      <c r="AL347" s="2">
        <v>1.01493626718052</v>
      </c>
      <c r="AM347" s="2">
        <v>0.62838417291641202</v>
      </c>
      <c r="AN347" s="2">
        <v>0.56904816627502397</v>
      </c>
      <c r="AO347" s="2">
        <v>0.77703815698623702</v>
      </c>
      <c r="AP347" s="2">
        <v>0.82176476716995195</v>
      </c>
    </row>
    <row r="348" spans="1:42" x14ac:dyDescent="0.3">
      <c r="A348" t="s">
        <v>160</v>
      </c>
      <c r="B348" s="3">
        <v>2019</v>
      </c>
      <c r="C348" s="3">
        <v>5.5217590000000003</v>
      </c>
      <c r="D348" s="3">
        <v>1536.44</v>
      </c>
      <c r="E348" t="s">
        <v>74</v>
      </c>
      <c r="G348" s="3">
        <v>212872.046875</v>
      </c>
      <c r="H348" s="3">
        <v>292171.25</v>
      </c>
      <c r="I348" s="3">
        <v>293943.40625</v>
      </c>
      <c r="J348" s="3">
        <v>281572.53125</v>
      </c>
      <c r="K348" s="3">
        <v>1561393</v>
      </c>
      <c r="L348" s="3">
        <v>1.7122501507401501E-2</v>
      </c>
      <c r="M348" s="3">
        <v>0.83323550224304199</v>
      </c>
      <c r="N348" s="3">
        <v>0.83198487758636497</v>
      </c>
      <c r="O348" s="3">
        <v>216051.4375</v>
      </c>
      <c r="P348" s="3">
        <v>302554.90625</v>
      </c>
      <c r="Q348" s="3">
        <v>1.0156228542327901</v>
      </c>
      <c r="R348" s="3">
        <v>0.57841289043426503</v>
      </c>
      <c r="S348" s="3">
        <v>0.93862044811248802</v>
      </c>
      <c r="T348" s="3">
        <v>0.90838861465454102</v>
      </c>
      <c r="U348" s="3">
        <v>0.94829851388931297</v>
      </c>
      <c r="W348" t="s">
        <v>50</v>
      </c>
      <c r="X348" t="s">
        <v>54</v>
      </c>
      <c r="Y348" t="s">
        <v>52</v>
      </c>
      <c r="Z348" t="s">
        <v>53</v>
      </c>
      <c r="AA348" t="s">
        <v>53</v>
      </c>
      <c r="AC348" s="2">
        <v>0.79471686484347503</v>
      </c>
      <c r="AD348" s="2">
        <v>0.52099418640136697</v>
      </c>
      <c r="AE348" s="2">
        <v>0.28162974119186401</v>
      </c>
      <c r="AF348" s="2">
        <v>0.235017195343971</v>
      </c>
      <c r="AG348" s="2">
        <v>0.438705444335938</v>
      </c>
      <c r="AH348" s="2">
        <v>-0.48567375540733299</v>
      </c>
      <c r="AI348" s="2">
        <v>9.3271434307098406E-3</v>
      </c>
      <c r="AJ348" s="2">
        <v>0.93465022543339604</v>
      </c>
      <c r="AK348" s="2">
        <v>0.82723370160868603</v>
      </c>
      <c r="AL348" s="2">
        <v>0.94742168273681104</v>
      </c>
      <c r="AM348" s="2">
        <v>0.58966010808944702</v>
      </c>
      <c r="AN348" s="2">
        <v>0.53907549381256104</v>
      </c>
      <c r="AO348" s="2">
        <v>0.73310768604278598</v>
      </c>
      <c r="AP348" s="2">
        <v>0.74777662754058805</v>
      </c>
    </row>
    <row r="349" spans="1:42" x14ac:dyDescent="0.3">
      <c r="A349" t="s">
        <v>160</v>
      </c>
      <c r="B349" s="3">
        <v>2020</v>
      </c>
      <c r="C349" s="3">
        <v>5.5296120000000002</v>
      </c>
      <c r="D349" s="3">
        <v>1528.76</v>
      </c>
      <c r="E349" t="s">
        <v>74</v>
      </c>
      <c r="G349" s="3">
        <v>211663.296875</v>
      </c>
      <c r="H349" s="3">
        <v>294020.625</v>
      </c>
      <c r="I349" s="3">
        <v>295066.65625</v>
      </c>
      <c r="J349" s="3">
        <v>282593</v>
      </c>
      <c r="K349" s="3">
        <v>1696169.75</v>
      </c>
      <c r="L349" s="3">
        <v>1.7432184889912598E-2</v>
      </c>
      <c r="M349" s="3">
        <v>0.81858360767364502</v>
      </c>
      <c r="N349" s="3">
        <v>0.81703931093215898</v>
      </c>
      <c r="O349" s="3">
        <v>211293.5</v>
      </c>
      <c r="P349" s="3">
        <v>297362.875</v>
      </c>
      <c r="Q349" s="3">
        <v>0.99703556299209595</v>
      </c>
      <c r="R349" s="3">
        <v>0.56911760568618797</v>
      </c>
      <c r="S349" s="3">
        <v>0.95239621400833097</v>
      </c>
      <c r="T349" s="3">
        <v>0.91504859924316395</v>
      </c>
      <c r="U349" s="3">
        <v>0.955438733100891</v>
      </c>
      <c r="W349" t="s">
        <v>50</v>
      </c>
      <c r="X349" t="s">
        <v>54</v>
      </c>
      <c r="Y349" t="s">
        <v>52</v>
      </c>
      <c r="Z349" t="s">
        <v>53</v>
      </c>
      <c r="AA349" t="s">
        <v>53</v>
      </c>
      <c r="AC349" s="2">
        <v>0.79636524464055003</v>
      </c>
      <c r="AD349" s="2">
        <v>0.50503128767013605</v>
      </c>
      <c r="AE349" s="2">
        <v>0.29143440723419201</v>
      </c>
      <c r="AF349" s="2">
        <v>0.243972778320313</v>
      </c>
      <c r="AG349" s="2">
        <v>0.397716045379639</v>
      </c>
      <c r="AH349" s="2">
        <v>-0.44709712266922003</v>
      </c>
      <c r="AI349" s="2">
        <v>8.9426152408122999E-3</v>
      </c>
      <c r="AJ349" s="2">
        <v>0.95015808728893703</v>
      </c>
      <c r="AK349" s="2">
        <v>0.81906278161012402</v>
      </c>
      <c r="AL349" s="2">
        <v>0.95702927811838301</v>
      </c>
      <c r="AM349" s="2">
        <v>0.58427608013153098</v>
      </c>
      <c r="AN349" s="2">
        <v>0.53127843141555797</v>
      </c>
      <c r="AO349" s="2">
        <v>0.71739453077316295</v>
      </c>
      <c r="AP349" s="2">
        <v>0.792494237422943</v>
      </c>
    </row>
    <row r="350" spans="1:42" x14ac:dyDescent="0.3">
      <c r="A350" t="s">
        <v>161</v>
      </c>
      <c r="B350" s="3">
        <v>2015</v>
      </c>
      <c r="C350" s="3">
        <v>0.91857800000000001</v>
      </c>
      <c r="D350" s="3"/>
      <c r="E350" t="s">
        <v>162</v>
      </c>
      <c r="G350" s="3">
        <v>9773.66015625</v>
      </c>
      <c r="H350" s="3">
        <v>12447.826171875</v>
      </c>
      <c r="I350" s="3">
        <v>12025.0927734375</v>
      </c>
      <c r="J350" s="3">
        <v>12473.9736328125</v>
      </c>
      <c r="K350" s="3">
        <v>29942.162109375</v>
      </c>
      <c r="L350" s="3">
        <v>3.79181612515822E-4</v>
      </c>
      <c r="M350" s="3">
        <v>0.76417821645736705</v>
      </c>
      <c r="N350" s="3">
        <v>0.73569190502166804</v>
      </c>
      <c r="O350" s="3">
        <v>8772.5869140625</v>
      </c>
      <c r="P350" s="3">
        <v>11200.9189453125</v>
      </c>
      <c r="Q350" s="3">
        <v>1.2228823900222801</v>
      </c>
      <c r="R350" s="3">
        <v>0.48862648010253901</v>
      </c>
      <c r="S350" s="3">
        <v>0.38852724432945301</v>
      </c>
      <c r="T350" s="3">
        <v>0.38939246535301197</v>
      </c>
      <c r="U350" s="3">
        <v>0.375380039215088</v>
      </c>
      <c r="W350" t="s">
        <v>50</v>
      </c>
      <c r="X350" t="s">
        <v>51</v>
      </c>
      <c r="Y350" t="s">
        <v>52</v>
      </c>
      <c r="Z350" t="s">
        <v>53</v>
      </c>
      <c r="AA350" t="s">
        <v>53</v>
      </c>
      <c r="AC350" s="2">
        <v>0.47107703888107799</v>
      </c>
      <c r="AD350" s="2">
        <v>0.56878429651260398</v>
      </c>
      <c r="AE350" s="2">
        <v>0.214379668235779</v>
      </c>
      <c r="AF350" s="2">
        <v>0.21473993360996199</v>
      </c>
      <c r="AG350" s="2">
        <v>0.127791032195091</v>
      </c>
      <c r="AH350" s="2">
        <v>-0.34376433491706898</v>
      </c>
      <c r="AI350" s="2">
        <v>0.21806938946247101</v>
      </c>
      <c r="AJ350" s="2">
        <v>0.40221239859874602</v>
      </c>
      <c r="AK350" s="2">
        <v>0.392554583980811</v>
      </c>
      <c r="AL350" s="2">
        <v>0.35227925559467999</v>
      </c>
      <c r="AM350" s="2">
        <v>0.56155908107757602</v>
      </c>
      <c r="AN350" s="2">
        <v>0.48526659607887301</v>
      </c>
      <c r="AO350" s="2">
        <v>0.244377836585045</v>
      </c>
      <c r="AP350" s="2">
        <v>0.84370172023773204</v>
      </c>
    </row>
    <row r="351" spans="1:42" x14ac:dyDescent="0.3">
      <c r="A351" t="s">
        <v>161</v>
      </c>
      <c r="B351" s="3">
        <v>2016</v>
      </c>
      <c r="C351" s="3">
        <v>0.91916600000000004</v>
      </c>
      <c r="D351" s="3"/>
      <c r="E351" t="s">
        <v>162</v>
      </c>
      <c r="G351" s="3">
        <v>10081.9384765625</v>
      </c>
      <c r="H351" s="3">
        <v>12527.091796875</v>
      </c>
      <c r="I351" s="3">
        <v>12059.080078125</v>
      </c>
      <c r="J351" s="3">
        <v>12485.0791015625</v>
      </c>
      <c r="K351" s="3">
        <v>29758.38671875</v>
      </c>
      <c r="L351" s="3">
        <v>3.6715847090817999E-4</v>
      </c>
      <c r="M351" s="3">
        <v>0.77831739187240601</v>
      </c>
      <c r="N351" s="3">
        <v>0.755018830299377</v>
      </c>
      <c r="O351" s="3">
        <v>9171.716796875</v>
      </c>
      <c r="P351" s="3">
        <v>11515.380859375</v>
      </c>
      <c r="Q351" s="3">
        <v>1.2425628900528001</v>
      </c>
      <c r="R351" s="3">
        <v>0.48862648010253901</v>
      </c>
      <c r="S351" s="3">
        <v>0.40471914410591098</v>
      </c>
      <c r="T351" s="3">
        <v>0.40883830189704901</v>
      </c>
      <c r="U351" s="3">
        <v>0.39488846063613903</v>
      </c>
      <c r="W351" t="s">
        <v>50</v>
      </c>
      <c r="X351" t="s">
        <v>51</v>
      </c>
      <c r="Y351" t="s">
        <v>52</v>
      </c>
      <c r="Z351" t="s">
        <v>53</v>
      </c>
      <c r="AA351" t="s">
        <v>53</v>
      </c>
      <c r="AC351" s="2">
        <v>0.43399426589197299</v>
      </c>
      <c r="AD351" s="2">
        <v>0.61210554838180498</v>
      </c>
      <c r="AE351" s="2">
        <v>0.19584600627422299</v>
      </c>
      <c r="AF351" s="2">
        <v>0.19541347026825001</v>
      </c>
      <c r="AG351" s="2">
        <v>0.13266250491142301</v>
      </c>
      <c r="AH351" s="2">
        <v>-0.37926048040389998</v>
      </c>
      <c r="AI351" s="2">
        <v>0.24323295056819899</v>
      </c>
      <c r="AJ351" s="2">
        <v>0.41173020040152303</v>
      </c>
      <c r="AK351" s="2">
        <v>0.42582255286264997</v>
      </c>
      <c r="AL351" s="2">
        <v>0.38275799141592898</v>
      </c>
      <c r="AM351" s="2">
        <v>0.55900347232818604</v>
      </c>
      <c r="AN351" s="2">
        <v>0.48920008540153498</v>
      </c>
      <c r="AO351" s="2">
        <v>0.26131129264831499</v>
      </c>
      <c r="AP351" s="2">
        <v>0.88881975412368797</v>
      </c>
    </row>
    <row r="352" spans="1:42" x14ac:dyDescent="0.3">
      <c r="A352" t="s">
        <v>161</v>
      </c>
      <c r="B352" s="3">
        <v>2017</v>
      </c>
      <c r="C352" s="3">
        <v>0.91875899999999999</v>
      </c>
      <c r="D352" s="3"/>
      <c r="E352" t="s">
        <v>162</v>
      </c>
      <c r="G352" s="3">
        <v>10544.1455078125</v>
      </c>
      <c r="H352" s="3">
        <v>13238.873046875</v>
      </c>
      <c r="I352" s="3">
        <v>12608.232421875</v>
      </c>
      <c r="J352" s="3">
        <v>12806.04296875</v>
      </c>
      <c r="K352" s="3">
        <v>31454.1328125</v>
      </c>
      <c r="L352" s="3">
        <v>3.8230494828894702E-4</v>
      </c>
      <c r="M352" s="3">
        <v>0.76996922492981001</v>
      </c>
      <c r="N352" s="3">
        <v>0.76655578613281306</v>
      </c>
      <c r="O352" s="3">
        <v>9757.451171875</v>
      </c>
      <c r="P352" s="3">
        <v>12262.7158203125</v>
      </c>
      <c r="Q352" s="3">
        <v>1.2806396484375</v>
      </c>
      <c r="R352" s="3">
        <v>0.48862648010253901</v>
      </c>
      <c r="S352" s="3">
        <v>0.424320489168167</v>
      </c>
      <c r="T352" s="3">
        <v>0.42460101842880299</v>
      </c>
      <c r="U352" s="3">
        <v>0.418042361736298</v>
      </c>
      <c r="W352" t="s">
        <v>51</v>
      </c>
      <c r="X352" t="s">
        <v>51</v>
      </c>
      <c r="Y352" t="s">
        <v>52</v>
      </c>
      <c r="Z352" t="s">
        <v>53</v>
      </c>
      <c r="AA352" t="s">
        <v>53</v>
      </c>
      <c r="AC352" s="2">
        <v>0.37135040384600798</v>
      </c>
      <c r="AD352" s="2">
        <v>0.61751389503479004</v>
      </c>
      <c r="AE352" s="2">
        <v>0.210426241159439</v>
      </c>
      <c r="AF352" s="2">
        <v>0.20585872232913999</v>
      </c>
      <c r="AG352" s="2">
        <v>0.12951752543449399</v>
      </c>
      <c r="AH352" s="2">
        <v>-0.38682618737220797</v>
      </c>
      <c r="AI352" s="2">
        <v>0.22350978851318401</v>
      </c>
      <c r="AJ352" s="2">
        <v>0.43524911421832402</v>
      </c>
      <c r="AK352" s="2">
        <v>0.42569878958892798</v>
      </c>
      <c r="AL352" s="2">
        <v>0.39153789112103499</v>
      </c>
      <c r="AM352" s="2">
        <v>0.57615429162979104</v>
      </c>
      <c r="AN352" s="2">
        <v>0.48850971460342402</v>
      </c>
      <c r="AO352" s="2">
        <v>0.26429137587547302</v>
      </c>
      <c r="AP352" s="2">
        <v>0.89342272281646695</v>
      </c>
    </row>
    <row r="353" spans="1:42" x14ac:dyDescent="0.3">
      <c r="A353" t="s">
        <v>161</v>
      </c>
      <c r="B353" s="3">
        <v>2018</v>
      </c>
      <c r="C353" s="3">
        <v>0.91718</v>
      </c>
      <c r="D353" s="3"/>
      <c r="E353" t="s">
        <v>162</v>
      </c>
      <c r="G353" s="3">
        <v>11019.09765625</v>
      </c>
      <c r="H353" s="3">
        <v>13705.9892578125</v>
      </c>
      <c r="I353" s="3">
        <v>12721.87109375</v>
      </c>
      <c r="J353" s="3">
        <v>13093.884765625</v>
      </c>
      <c r="K353" s="3">
        <v>31649.771484375</v>
      </c>
      <c r="L353" s="3">
        <v>3.77233722247183E-4</v>
      </c>
      <c r="M353" s="3">
        <v>0.77544587850570701</v>
      </c>
      <c r="N353" s="3">
        <v>0.78133851289749201</v>
      </c>
      <c r="O353" s="3">
        <v>10507.0986328125</v>
      </c>
      <c r="P353" s="3">
        <v>13061.69921875</v>
      </c>
      <c r="Q353" s="3">
        <v>1.29400527477264</v>
      </c>
      <c r="R353" s="3">
        <v>0.48862648010253901</v>
      </c>
      <c r="S353" s="3">
        <v>0.43910187482833901</v>
      </c>
      <c r="T353" s="3">
        <v>0.43872678279876698</v>
      </c>
      <c r="U353" s="3">
        <v>0.42626208066940302</v>
      </c>
      <c r="W353" t="s">
        <v>50</v>
      </c>
      <c r="X353" t="s">
        <v>51</v>
      </c>
      <c r="Y353" t="s">
        <v>52</v>
      </c>
      <c r="Z353" t="s">
        <v>53</v>
      </c>
      <c r="AA353" t="s">
        <v>53</v>
      </c>
      <c r="AC353" s="2">
        <v>0.35103104085799203</v>
      </c>
      <c r="AD353" s="2">
        <v>0.62807083129882801</v>
      </c>
      <c r="AE353" s="2">
        <v>0.20520202815532701</v>
      </c>
      <c r="AF353" s="2">
        <v>0.21347448229789701</v>
      </c>
      <c r="AG353" s="2">
        <v>0.13478457927703899</v>
      </c>
      <c r="AH353" s="2">
        <v>-0.404914200305939</v>
      </c>
      <c r="AI353" s="2">
        <v>0.223382323980331</v>
      </c>
      <c r="AJ353" s="2">
        <v>0.44994938332228002</v>
      </c>
      <c r="AK353" s="2">
        <v>0.43718860256518199</v>
      </c>
      <c r="AL353" s="2">
        <v>0.40718700516342199</v>
      </c>
      <c r="AM353" s="2">
        <v>0.58987349271774303</v>
      </c>
      <c r="AN353" s="2">
        <v>0.51294648647308405</v>
      </c>
      <c r="AO353" s="2">
        <v>0.27284294366836598</v>
      </c>
      <c r="AP353" s="2">
        <v>0.894620060920715</v>
      </c>
    </row>
    <row r="354" spans="1:42" x14ac:dyDescent="0.3">
      <c r="A354" t="s">
        <v>161</v>
      </c>
      <c r="B354" s="3">
        <v>2019</v>
      </c>
      <c r="C354" s="3">
        <v>0.91489900000000002</v>
      </c>
      <c r="D354" s="3"/>
      <c r="E354" t="s">
        <v>162</v>
      </c>
      <c r="G354" s="3">
        <v>11410.826171875</v>
      </c>
      <c r="H354" s="3">
        <v>13844.892578125</v>
      </c>
      <c r="I354" s="3">
        <v>12530.447265625</v>
      </c>
      <c r="J354" s="3">
        <v>12859.1591796875</v>
      </c>
      <c r="K354" s="3">
        <v>31553.775390625</v>
      </c>
      <c r="L354" s="3">
        <v>3.65483487257734E-4</v>
      </c>
      <c r="M354" s="3">
        <v>0.75821590423583995</v>
      </c>
      <c r="N354" s="3">
        <v>0.78554302453994795</v>
      </c>
      <c r="O354" s="3">
        <v>10980.572265625</v>
      </c>
      <c r="P354" s="3">
        <v>13351.580078125</v>
      </c>
      <c r="Q354" s="3">
        <v>1.2643256187439</v>
      </c>
      <c r="R354" s="3">
        <v>0.48862648010253901</v>
      </c>
      <c r="S354" s="3">
        <v>0.43343162536621099</v>
      </c>
      <c r="T354" s="3">
        <v>0.43449419736862199</v>
      </c>
      <c r="U354" s="3">
        <v>0.42338746786117598</v>
      </c>
      <c r="W354" t="s">
        <v>50</v>
      </c>
      <c r="X354" t="s">
        <v>54</v>
      </c>
      <c r="Y354" t="s">
        <v>52</v>
      </c>
      <c r="Z354" t="s">
        <v>53</v>
      </c>
      <c r="AA354" t="s">
        <v>53</v>
      </c>
      <c r="AC354" s="2">
        <v>0.33451202116163598</v>
      </c>
      <c r="AD354" s="2">
        <v>0.67144691944122303</v>
      </c>
      <c r="AE354" s="2">
        <v>0.189286589622498</v>
      </c>
      <c r="AF354" s="2">
        <v>0.21592265367507901</v>
      </c>
      <c r="AG354" s="2">
        <v>0.140160396695137</v>
      </c>
      <c r="AH354" s="2">
        <v>-0.42441886663436901</v>
      </c>
      <c r="AI354" s="2">
        <v>0.20760230720043199</v>
      </c>
      <c r="AJ354" s="2">
        <v>0.43887004344138902</v>
      </c>
      <c r="AK354" s="2">
        <v>0.43947557865543302</v>
      </c>
      <c r="AL354" s="2">
        <v>0.41651993386477099</v>
      </c>
      <c r="AM354" s="2">
        <v>0.57309472560882602</v>
      </c>
      <c r="AN354" s="2">
        <v>0.50100219249725297</v>
      </c>
      <c r="AO354" s="2">
        <v>0.27545291185379001</v>
      </c>
      <c r="AP354" s="2">
        <v>0.86643785238266002</v>
      </c>
    </row>
    <row r="355" spans="1:42" x14ac:dyDescent="0.3">
      <c r="A355" t="s">
        <v>161</v>
      </c>
      <c r="B355" s="3">
        <v>2020</v>
      </c>
      <c r="C355" s="3">
        <v>0.91496299999999997</v>
      </c>
      <c r="D355" s="3"/>
      <c r="E355" t="s">
        <v>162</v>
      </c>
      <c r="G355" s="3">
        <v>10464.408203125</v>
      </c>
      <c r="H355" s="3">
        <v>12155.93359375</v>
      </c>
      <c r="I355" s="3">
        <v>10417.4658203125</v>
      </c>
      <c r="J355" s="3">
        <v>10754.7275390625</v>
      </c>
      <c r="K355" s="3">
        <v>31636.701171875</v>
      </c>
      <c r="L355" s="3">
        <v>3.52980539901182E-4</v>
      </c>
      <c r="M355" s="3">
        <v>0.645086228847504</v>
      </c>
      <c r="N355" s="3">
        <v>0.69947159290313698</v>
      </c>
      <c r="O355" s="3">
        <v>10016.681640625</v>
      </c>
      <c r="P355" s="3">
        <v>11690.2294921875</v>
      </c>
      <c r="Q355" s="3">
        <v>1.06298816204071</v>
      </c>
      <c r="R355" s="3">
        <v>0.48862648010253901</v>
      </c>
      <c r="S355" s="3">
        <v>0.42343202233314498</v>
      </c>
      <c r="T355" s="3">
        <v>0.42548415064811701</v>
      </c>
      <c r="U355" s="3">
        <v>0.412141233682632</v>
      </c>
      <c r="W355" t="s">
        <v>50</v>
      </c>
      <c r="X355" t="s">
        <v>54</v>
      </c>
      <c r="Y355" t="s">
        <v>52</v>
      </c>
      <c r="Z355" t="s">
        <v>53</v>
      </c>
      <c r="AA355" t="s">
        <v>53</v>
      </c>
      <c r="AC355" s="2">
        <v>0.31507381095975001</v>
      </c>
      <c r="AD355" s="2">
        <v>0.74336010217666604</v>
      </c>
      <c r="AE355" s="2">
        <v>0.157282054424286</v>
      </c>
      <c r="AF355" s="2">
        <v>0.22964529693126701</v>
      </c>
      <c r="AG355" s="2">
        <v>7.9839885234832805E-2</v>
      </c>
      <c r="AH355" s="2">
        <v>-0.31351232528686501</v>
      </c>
      <c r="AI355" s="2">
        <v>0.103384956717491</v>
      </c>
      <c r="AJ355" s="2">
        <v>0.42321256096133297</v>
      </c>
      <c r="AK355" s="2">
        <v>0.43817934063060499</v>
      </c>
      <c r="AL355" s="2">
        <v>0.42414246301618203</v>
      </c>
      <c r="AM355" s="2">
        <v>0.56234943866729703</v>
      </c>
      <c r="AN355" s="2">
        <v>0.49849817156791698</v>
      </c>
      <c r="AO355" s="2">
        <v>0.271406620740891</v>
      </c>
      <c r="AP355" s="2">
        <v>0.762531697750092</v>
      </c>
    </row>
    <row r="356" spans="1:42" x14ac:dyDescent="0.3">
      <c r="A356" t="s">
        <v>163</v>
      </c>
      <c r="B356" s="3">
        <v>2015</v>
      </c>
      <c r="C356" s="3">
        <v>67.080971000000005</v>
      </c>
      <c r="D356" s="3">
        <v>1504.33</v>
      </c>
      <c r="E356" t="s">
        <v>74</v>
      </c>
      <c r="G356" s="3">
        <v>2281136.25</v>
      </c>
      <c r="H356" s="3">
        <v>3020967.25</v>
      </c>
      <c r="I356" s="3">
        <v>3017415.75</v>
      </c>
      <c r="J356" s="3">
        <v>2968040</v>
      </c>
      <c r="K356" s="3">
        <v>16516611</v>
      </c>
      <c r="L356" s="3">
        <v>0.192988246679306</v>
      </c>
      <c r="M356" s="3">
        <v>0.96212416887283303</v>
      </c>
      <c r="N356" s="3">
        <v>0.94475668668747004</v>
      </c>
      <c r="O356" s="3">
        <v>2447952</v>
      </c>
      <c r="P356" s="3">
        <v>3310623.5</v>
      </c>
      <c r="Q356" s="3">
        <v>1.0352885723114</v>
      </c>
      <c r="R356" s="3">
        <v>0.63945770263671897</v>
      </c>
      <c r="S356" s="3">
        <v>0.83946549892425504</v>
      </c>
      <c r="T356" s="3">
        <v>0.809462010860443</v>
      </c>
      <c r="U356" s="3">
        <v>0.82292813062667902</v>
      </c>
      <c r="W356" t="s">
        <v>50</v>
      </c>
      <c r="X356" t="s">
        <v>51</v>
      </c>
      <c r="Y356" t="s">
        <v>52</v>
      </c>
      <c r="Z356" t="s">
        <v>53</v>
      </c>
      <c r="AA356" t="s">
        <v>53</v>
      </c>
      <c r="AC356" s="2">
        <v>0.82411148723896099</v>
      </c>
      <c r="AD356" s="2">
        <v>0.557142734527588</v>
      </c>
      <c r="AE356" s="2">
        <v>0.24926583468913999</v>
      </c>
      <c r="AF356" s="2">
        <v>0.21142385900020599</v>
      </c>
      <c r="AG356" s="2">
        <v>0.27765884995460499</v>
      </c>
      <c r="AH356" s="2">
        <v>-0.32275134325027499</v>
      </c>
      <c r="AI356" s="2">
        <v>2.72600594907999E-2</v>
      </c>
      <c r="AJ356" s="2">
        <v>0.80249921212030795</v>
      </c>
      <c r="AK356" s="2">
        <v>0.71695152891499903</v>
      </c>
      <c r="AL356" s="2">
        <v>0.93687885177975305</v>
      </c>
      <c r="AM356" s="2">
        <v>0.59936827421188399</v>
      </c>
      <c r="AN356" s="2">
        <v>0.58813560009002697</v>
      </c>
      <c r="AO356" s="2">
        <v>0.62311857938766502</v>
      </c>
      <c r="AP356" s="2">
        <v>0.60964781045913696</v>
      </c>
    </row>
    <row r="357" spans="1:42" x14ac:dyDescent="0.3">
      <c r="A357" t="s">
        <v>163</v>
      </c>
      <c r="B357" s="3">
        <v>2016</v>
      </c>
      <c r="C357" s="3">
        <v>67.260373000000001</v>
      </c>
      <c r="D357" s="3">
        <v>1507.39</v>
      </c>
      <c r="E357" t="s">
        <v>74</v>
      </c>
      <c r="G357" s="3">
        <v>2340505.5</v>
      </c>
      <c r="H357" s="3">
        <v>3081721.25</v>
      </c>
      <c r="I357" s="3">
        <v>3071085</v>
      </c>
      <c r="J357" s="3">
        <v>3029029.25</v>
      </c>
      <c r="K357" s="3">
        <v>16694901</v>
      </c>
      <c r="L357" s="3">
        <v>0.19308052957058</v>
      </c>
      <c r="M357" s="3">
        <v>0.96906882524490401</v>
      </c>
      <c r="N357" s="3">
        <v>0.953205347061157</v>
      </c>
      <c r="O357" s="3">
        <v>2488665</v>
      </c>
      <c r="P357" s="3">
        <v>3356896.5</v>
      </c>
      <c r="Q357" s="3">
        <v>1.0282586812973</v>
      </c>
      <c r="R357" s="3">
        <v>0.64395534992217995</v>
      </c>
      <c r="S357" s="3">
        <v>0.83119148015975997</v>
      </c>
      <c r="T357" s="3">
        <v>0.80440872907638605</v>
      </c>
      <c r="U357" s="3">
        <v>0.81557732820510898</v>
      </c>
      <c r="W357" t="s">
        <v>50</v>
      </c>
      <c r="X357" t="s">
        <v>51</v>
      </c>
      <c r="Y357" t="s">
        <v>52</v>
      </c>
      <c r="Z357" t="s">
        <v>53</v>
      </c>
      <c r="AA357" t="s">
        <v>53</v>
      </c>
      <c r="AC357" s="2">
        <v>0.82566158456384098</v>
      </c>
      <c r="AD357" s="2">
        <v>0.55746114253997803</v>
      </c>
      <c r="AE357" s="2">
        <v>0.24470408260822299</v>
      </c>
      <c r="AF357" s="2">
        <v>0.21523046493530301</v>
      </c>
      <c r="AG357" s="2">
        <v>0.27287456393241899</v>
      </c>
      <c r="AH357" s="2">
        <v>-0.31581833958625799</v>
      </c>
      <c r="AI357" s="2">
        <v>2.5548046454787299E-2</v>
      </c>
      <c r="AJ357" s="2">
        <v>0.79922653831455504</v>
      </c>
      <c r="AK357" s="2">
        <v>0.71983783842300597</v>
      </c>
      <c r="AL357" s="2">
        <v>0.91398290397618898</v>
      </c>
      <c r="AM357" s="2">
        <v>0.59148019552230802</v>
      </c>
      <c r="AN357" s="2">
        <v>0.58597272634506203</v>
      </c>
      <c r="AO357" s="2">
        <v>0.62443774938583396</v>
      </c>
      <c r="AP357" s="2">
        <v>0.58965480327606201</v>
      </c>
    </row>
    <row r="358" spans="1:42" x14ac:dyDescent="0.3">
      <c r="A358" t="s">
        <v>163</v>
      </c>
      <c r="B358" s="3">
        <v>2017</v>
      </c>
      <c r="C358" s="3">
        <v>67.469031999999999</v>
      </c>
      <c r="D358" s="3">
        <v>1492.04</v>
      </c>
      <c r="E358" t="s">
        <v>74</v>
      </c>
      <c r="G358" s="3">
        <v>2379892.5</v>
      </c>
      <c r="H358" s="3">
        <v>3179649</v>
      </c>
      <c r="I358" s="3">
        <v>3155284.25</v>
      </c>
      <c r="J358" s="3">
        <v>3097570.25</v>
      </c>
      <c r="K358" s="3">
        <v>17490708</v>
      </c>
      <c r="L358" s="3">
        <v>0.20277224481105799</v>
      </c>
      <c r="M358" s="3">
        <v>0.95268696546554599</v>
      </c>
      <c r="N358" s="3">
        <v>0.94176477193832397</v>
      </c>
      <c r="O358" s="3">
        <v>2526580.25</v>
      </c>
      <c r="P358" s="3">
        <v>3427637</v>
      </c>
      <c r="Q358" s="3">
        <v>1.0380622148513801</v>
      </c>
      <c r="R358" s="3">
        <v>0.64794802665710505</v>
      </c>
      <c r="S358" s="3">
        <v>0.85491752624511697</v>
      </c>
      <c r="T358" s="3">
        <v>0.82048648595809903</v>
      </c>
      <c r="U358" s="3">
        <v>0.835773885250092</v>
      </c>
      <c r="W358" t="s">
        <v>51</v>
      </c>
      <c r="X358" t="s">
        <v>51</v>
      </c>
      <c r="Y358" t="s">
        <v>52</v>
      </c>
      <c r="Z358" t="s">
        <v>53</v>
      </c>
      <c r="AA358" t="s">
        <v>53</v>
      </c>
      <c r="AC358" s="2">
        <v>0.82257250771094703</v>
      </c>
      <c r="AD358" s="2">
        <v>0.54842263460159302</v>
      </c>
      <c r="AE358" s="2">
        <v>0.258188307285309</v>
      </c>
      <c r="AF358" s="2">
        <v>0.21988682448864</v>
      </c>
      <c r="AG358" s="2">
        <v>0.27560386061668402</v>
      </c>
      <c r="AH358" s="2">
        <v>-0.32904669642448398</v>
      </c>
      <c r="AI358" s="2">
        <v>2.6945078745484401E-2</v>
      </c>
      <c r="AJ358" s="2">
        <v>0.82901571777605199</v>
      </c>
      <c r="AK358" s="2">
        <v>0.71802767697272996</v>
      </c>
      <c r="AL358" s="2">
        <v>0.91951963664110203</v>
      </c>
      <c r="AM358" s="2">
        <v>0.61307668685913097</v>
      </c>
      <c r="AN358" s="2">
        <v>0.60155588388443004</v>
      </c>
      <c r="AO358" s="2">
        <v>0.62916439771652199</v>
      </c>
      <c r="AP358" s="2">
        <v>0.56079185009002697</v>
      </c>
    </row>
    <row r="359" spans="1:42" x14ac:dyDescent="0.3">
      <c r="A359" t="s">
        <v>163</v>
      </c>
      <c r="B359" s="3">
        <v>2018</v>
      </c>
      <c r="C359" s="3">
        <v>67.706406000000001</v>
      </c>
      <c r="D359" s="3">
        <v>1499.65</v>
      </c>
      <c r="E359" t="s">
        <v>74</v>
      </c>
      <c r="G359" s="3">
        <v>2383186.75</v>
      </c>
      <c r="H359" s="3">
        <v>3248269.75</v>
      </c>
      <c r="I359" s="3">
        <v>3217182.25</v>
      </c>
      <c r="J359" s="3">
        <v>3152702.5</v>
      </c>
      <c r="K359" s="3">
        <v>18573128</v>
      </c>
      <c r="L359" s="3">
        <v>0.21175441145896901</v>
      </c>
      <c r="M359" s="3">
        <v>0.92638850212097201</v>
      </c>
      <c r="N359" s="3">
        <v>0.91877257823944103</v>
      </c>
      <c r="O359" s="3">
        <v>2551560.25</v>
      </c>
      <c r="P359" s="3">
        <v>3477774.5</v>
      </c>
      <c r="Q359" s="3">
        <v>1.0337719917297401</v>
      </c>
      <c r="R359" s="3">
        <v>0.64903211593627896</v>
      </c>
      <c r="S359" s="3">
        <v>0.91453027725219704</v>
      </c>
      <c r="T359" s="3">
        <v>0.86460018157958995</v>
      </c>
      <c r="U359" s="3">
        <v>0.88228321075439498</v>
      </c>
      <c r="W359" t="s">
        <v>50</v>
      </c>
      <c r="X359" t="s">
        <v>51</v>
      </c>
      <c r="Y359" t="s">
        <v>52</v>
      </c>
      <c r="Z359" t="s">
        <v>53</v>
      </c>
      <c r="AA359" t="s">
        <v>53</v>
      </c>
      <c r="AC359" s="2">
        <v>0.82204201484247696</v>
      </c>
      <c r="AD359" s="2">
        <v>0.53946673870086703</v>
      </c>
      <c r="AE359" s="2">
        <v>0.27439412474632302</v>
      </c>
      <c r="AF359" s="2">
        <v>0.21645195782184601</v>
      </c>
      <c r="AG359" s="2">
        <v>0.28531956672668501</v>
      </c>
      <c r="AH359" s="2">
        <v>-0.33862677216529802</v>
      </c>
      <c r="AI359" s="2">
        <v>2.2994419559836402E-2</v>
      </c>
      <c r="AJ359" s="2">
        <v>0.89149759761427005</v>
      </c>
      <c r="AK359" s="2">
        <v>0.72704948798619196</v>
      </c>
      <c r="AL359" s="2">
        <v>0.97193507186356598</v>
      </c>
      <c r="AM359" s="2">
        <v>0.632038354873657</v>
      </c>
      <c r="AN359" s="2">
        <v>0.61762976646423295</v>
      </c>
      <c r="AO359" s="2">
        <v>0.63978946208953902</v>
      </c>
      <c r="AP359" s="2">
        <v>0.54511934518814098</v>
      </c>
    </row>
    <row r="360" spans="1:42" x14ac:dyDescent="0.3">
      <c r="A360" t="s">
        <v>163</v>
      </c>
      <c r="B360" s="3">
        <v>2019</v>
      </c>
      <c r="C360" s="3">
        <v>67.917133000000007</v>
      </c>
      <c r="D360" s="3">
        <v>1504.38</v>
      </c>
      <c r="E360" t="s">
        <v>74</v>
      </c>
      <c r="G360" s="3">
        <v>2546550.75</v>
      </c>
      <c r="H360" s="3">
        <v>3538070.5</v>
      </c>
      <c r="I360" s="3">
        <v>3515226</v>
      </c>
      <c r="J360" s="3">
        <v>3453190.75</v>
      </c>
      <c r="K360" s="3">
        <v>20935254</v>
      </c>
      <c r="L360" s="3">
        <v>0.23217897117137901</v>
      </c>
      <c r="M360" s="3">
        <v>0.94225966930389404</v>
      </c>
      <c r="N360" s="3">
        <v>0.929002285003662</v>
      </c>
      <c r="O360" s="3">
        <v>2589294.25</v>
      </c>
      <c r="P360" s="3">
        <v>3546665.25</v>
      </c>
      <c r="Q360" s="3">
        <v>1.0329049825668299</v>
      </c>
      <c r="R360" s="3">
        <v>0.641715407371521</v>
      </c>
      <c r="S360" s="3">
        <v>0.82997095584869396</v>
      </c>
      <c r="T360" s="3">
        <v>0.77457141876220703</v>
      </c>
      <c r="U360" s="3">
        <v>0.78848624229431197</v>
      </c>
      <c r="W360" t="s">
        <v>50</v>
      </c>
      <c r="X360" t="s">
        <v>54</v>
      </c>
      <c r="Y360" t="s">
        <v>52</v>
      </c>
      <c r="Z360" t="s">
        <v>53</v>
      </c>
      <c r="AA360" t="s">
        <v>53</v>
      </c>
      <c r="AC360" s="2">
        <v>0.82908440323558996</v>
      </c>
      <c r="AD360" s="2">
        <v>0.52271294593811002</v>
      </c>
      <c r="AE360" s="2">
        <v>0.287131488323212</v>
      </c>
      <c r="AF360" s="2">
        <v>0.214735642075539</v>
      </c>
      <c r="AG360" s="2">
        <v>0.26873528957366899</v>
      </c>
      <c r="AH360" s="2">
        <v>-0.318711817264557</v>
      </c>
      <c r="AI360" s="2">
        <v>2.5396440178155899E-2</v>
      </c>
      <c r="AJ360" s="2">
        <v>0.81616843717640697</v>
      </c>
      <c r="AK360" s="2">
        <v>0.63228712095609396</v>
      </c>
      <c r="AL360" s="2">
        <v>0.86356921621709304</v>
      </c>
      <c r="AM360" s="2">
        <v>0.59953391551971402</v>
      </c>
      <c r="AN360" s="2">
        <v>0.58443027734756503</v>
      </c>
      <c r="AO360" s="2">
        <v>0.55643951892852805</v>
      </c>
      <c r="AP360" s="2">
        <v>0.47789919376373302</v>
      </c>
    </row>
    <row r="361" spans="1:42" x14ac:dyDescent="0.3">
      <c r="A361" t="s">
        <v>163</v>
      </c>
      <c r="B361" s="3">
        <v>2020</v>
      </c>
      <c r="C361" s="3">
        <v>68.104157000000001</v>
      </c>
      <c r="D361" s="3">
        <v>1390.85</v>
      </c>
      <c r="E361" t="s">
        <v>74</v>
      </c>
      <c r="G361" s="3">
        <v>2475578.5</v>
      </c>
      <c r="H361" s="3">
        <v>3387887.5</v>
      </c>
      <c r="I361" s="3">
        <v>3330455.75</v>
      </c>
      <c r="J361" s="3">
        <v>3267363.25</v>
      </c>
      <c r="K361" s="3">
        <v>21207194</v>
      </c>
      <c r="L361" s="3">
        <v>0.22617365419864699</v>
      </c>
      <c r="M361" s="3">
        <v>0.91841405630111705</v>
      </c>
      <c r="N361" s="3">
        <v>0.91355276107788097</v>
      </c>
      <c r="O361" s="3">
        <v>2439668</v>
      </c>
      <c r="P361" s="3">
        <v>3332342</v>
      </c>
      <c r="Q361" s="3">
        <v>0.99669426679611195</v>
      </c>
      <c r="R361" s="3">
        <v>0.63888639211654696</v>
      </c>
      <c r="S361" s="3">
        <v>0.84414368867874201</v>
      </c>
      <c r="T361" s="3">
        <v>0.79506415128707897</v>
      </c>
      <c r="U361" s="3">
        <v>0.81041681766509999</v>
      </c>
      <c r="W361" t="s">
        <v>50</v>
      </c>
      <c r="X361" t="s">
        <v>54</v>
      </c>
      <c r="Y361" t="s">
        <v>52</v>
      </c>
      <c r="Z361" t="s">
        <v>53</v>
      </c>
      <c r="AA361" t="s">
        <v>53</v>
      </c>
      <c r="AC361" s="2">
        <v>0.83199953258132298</v>
      </c>
      <c r="AD361" s="2">
        <v>0.524924516677856</v>
      </c>
      <c r="AE361" s="2">
        <v>0.27921873331069902</v>
      </c>
      <c r="AF361" s="2">
        <v>0.23274405300617201</v>
      </c>
      <c r="AG361" s="2">
        <v>0.23571103811263999</v>
      </c>
      <c r="AH361" s="2">
        <v>-0.29121941328048701</v>
      </c>
      <c r="AI361" s="2">
        <v>1.8621031194925301E-2</v>
      </c>
      <c r="AJ361" s="2">
        <v>0.82721008357724202</v>
      </c>
      <c r="AK361" s="2">
        <v>0.66188549730966695</v>
      </c>
      <c r="AL361" s="2">
        <v>0.882335263933407</v>
      </c>
      <c r="AM361" s="2">
        <v>0.61000126600265503</v>
      </c>
      <c r="AN361" s="2">
        <v>0.59353876113891602</v>
      </c>
      <c r="AO361" s="2">
        <v>0.57536768913268999</v>
      </c>
      <c r="AP361" s="2">
        <v>0.50203341245651301</v>
      </c>
    </row>
    <row r="362" spans="1:42" x14ac:dyDescent="0.3">
      <c r="A362" t="s">
        <v>164</v>
      </c>
      <c r="B362" s="3">
        <v>2015</v>
      </c>
      <c r="C362" s="3">
        <v>2.0409890000000002</v>
      </c>
      <c r="D362" s="3">
        <v>2150.3200000000002</v>
      </c>
      <c r="E362" t="s">
        <v>113</v>
      </c>
      <c r="G362" s="3">
        <v>18445.08984375</v>
      </c>
      <c r="H362" s="3">
        <v>26923.291015625</v>
      </c>
      <c r="I362" s="3">
        <v>32879.3515625</v>
      </c>
      <c r="J362" s="3">
        <v>32690.0390625</v>
      </c>
      <c r="K362" s="3">
        <v>154580.234375</v>
      </c>
      <c r="L362" s="3">
        <v>2.75692366994917E-3</v>
      </c>
      <c r="M362" s="3">
        <v>0.46742472052574202</v>
      </c>
      <c r="N362" s="3">
        <v>0.37139579653739901</v>
      </c>
      <c r="O362" s="3">
        <v>22438.876953125</v>
      </c>
      <c r="P362" s="3">
        <v>25034.5859375</v>
      </c>
      <c r="Q362" s="3">
        <v>1.23568880558014</v>
      </c>
      <c r="R362" s="3">
        <v>0.27539545297622697</v>
      </c>
      <c r="S362" s="3">
        <v>0.410593241453171</v>
      </c>
      <c r="T362" s="3">
        <v>0.43745309114456199</v>
      </c>
      <c r="U362" s="3">
        <v>0.43998640775680498</v>
      </c>
      <c r="W362" t="s">
        <v>50</v>
      </c>
      <c r="X362" t="s">
        <v>51</v>
      </c>
      <c r="Y362" t="s">
        <v>52</v>
      </c>
      <c r="Z362" t="s">
        <v>53</v>
      </c>
      <c r="AA362" t="s">
        <v>53</v>
      </c>
      <c r="AC362" s="2">
        <v>0.53977925251501102</v>
      </c>
      <c r="AD362" s="2">
        <v>0.35167402029037498</v>
      </c>
      <c r="AE362" s="2">
        <v>0.25935119390487699</v>
      </c>
      <c r="AF362" s="2">
        <v>0.21256791055202501</v>
      </c>
      <c r="AG362" s="2">
        <v>0.38946548104286199</v>
      </c>
      <c r="AH362" s="2">
        <v>-0.166801527142525</v>
      </c>
      <c r="AI362" s="2">
        <v>-4.6257037669420201E-2</v>
      </c>
      <c r="AJ362" s="2">
        <v>0.47340552580050499</v>
      </c>
      <c r="AK362" s="2">
        <v>0.49588908557122402</v>
      </c>
      <c r="AL362" s="2">
        <v>0.30667609369429599</v>
      </c>
      <c r="AM362" s="2">
        <v>0.47298890352249101</v>
      </c>
      <c r="AN362" s="2">
        <v>0.50453555583953902</v>
      </c>
      <c r="AO362" s="2">
        <v>0.32026752829551702</v>
      </c>
      <c r="AP362" s="2">
        <v>0.50507164001464799</v>
      </c>
    </row>
    <row r="363" spans="1:42" x14ac:dyDescent="0.3">
      <c r="A363" t="s">
        <v>164</v>
      </c>
      <c r="B363" s="3">
        <v>2016</v>
      </c>
      <c r="C363" s="3">
        <v>2.1003059999999998</v>
      </c>
      <c r="D363" s="3">
        <v>2157.67</v>
      </c>
      <c r="E363" t="s">
        <v>113</v>
      </c>
      <c r="G363" s="3">
        <v>19251.978515625</v>
      </c>
      <c r="H363" s="3">
        <v>26656.697265625</v>
      </c>
      <c r="I363" s="3">
        <v>32482.8671875</v>
      </c>
      <c r="J363" s="3">
        <v>32237.4296875</v>
      </c>
      <c r="K363" s="3">
        <v>146676.8125</v>
      </c>
      <c r="L363" s="3">
        <v>2.4224508088082101E-3</v>
      </c>
      <c r="M363" s="3">
        <v>0.48278990387916598</v>
      </c>
      <c r="N363" s="3">
        <v>0.38596311211585999</v>
      </c>
      <c r="O363" s="3">
        <v>22627.205078125</v>
      </c>
      <c r="P363" s="3">
        <v>25059.173828125</v>
      </c>
      <c r="Q363" s="3">
        <v>1.21779668331146</v>
      </c>
      <c r="R363" s="3">
        <v>0.27539545297622697</v>
      </c>
      <c r="S363" s="3">
        <v>0.40123304724693298</v>
      </c>
      <c r="T363" s="3">
        <v>0.43173003196716297</v>
      </c>
      <c r="U363" s="3">
        <v>0.435016959905624</v>
      </c>
      <c r="W363" t="s">
        <v>50</v>
      </c>
      <c r="X363" t="s">
        <v>51</v>
      </c>
      <c r="Y363" t="s">
        <v>52</v>
      </c>
      <c r="Z363" t="s">
        <v>53</v>
      </c>
      <c r="AA363" t="s">
        <v>53</v>
      </c>
      <c r="AC363" s="2">
        <v>0.55720626412983199</v>
      </c>
      <c r="AD363" s="2">
        <v>0.374925017356873</v>
      </c>
      <c r="AE363" s="2">
        <v>0.229693219065666</v>
      </c>
      <c r="AF363" s="2">
        <v>0.22226835787296301</v>
      </c>
      <c r="AG363" s="2">
        <v>0.26125526428222701</v>
      </c>
      <c r="AH363" s="2">
        <v>-0.114930301904678</v>
      </c>
      <c r="AI363" s="2">
        <v>2.6788454502821E-2</v>
      </c>
      <c r="AJ363" s="2">
        <v>0.46921521368167302</v>
      </c>
      <c r="AK363" s="2">
        <v>0.51102100012581697</v>
      </c>
      <c r="AL363" s="2">
        <v>0.286559890905284</v>
      </c>
      <c r="AM363" s="2">
        <v>0.46974197030067399</v>
      </c>
      <c r="AN363" s="2">
        <v>0.49030405282974199</v>
      </c>
      <c r="AO363" s="2">
        <v>0.31712168455123901</v>
      </c>
      <c r="AP363" s="2">
        <v>0.54297018051147505</v>
      </c>
    </row>
    <row r="364" spans="1:42" x14ac:dyDescent="0.3">
      <c r="A364" t="s">
        <v>164</v>
      </c>
      <c r="B364" s="3">
        <v>2017</v>
      </c>
      <c r="C364" s="3">
        <v>2.1568999999999998</v>
      </c>
      <c r="D364" s="3">
        <v>2170.58</v>
      </c>
      <c r="E364" t="s">
        <v>113</v>
      </c>
      <c r="G364" s="3">
        <v>19785.265625</v>
      </c>
      <c r="H364" s="3">
        <v>25351.572265625</v>
      </c>
      <c r="I364" s="3">
        <v>34948.36328125</v>
      </c>
      <c r="J364" s="3">
        <v>34001.2890625</v>
      </c>
      <c r="K364" s="3">
        <v>121693.578125</v>
      </c>
      <c r="L364" s="3">
        <v>1.87826727051288E-3</v>
      </c>
      <c r="M364" s="3">
        <v>0.57448995113372803</v>
      </c>
      <c r="N364" s="3">
        <v>0.41250237822532698</v>
      </c>
      <c r="O364" s="3">
        <v>22222.181640625</v>
      </c>
      <c r="P364" s="3">
        <v>24146.103515625</v>
      </c>
      <c r="Q364" s="3">
        <v>1.19169461727142</v>
      </c>
      <c r="R364" s="3">
        <v>0.27539545297622697</v>
      </c>
      <c r="S364" s="3">
        <v>0.401438027620316</v>
      </c>
      <c r="T364" s="3">
        <v>0.42719158530235302</v>
      </c>
      <c r="U364" s="3">
        <v>0.43909060955047602</v>
      </c>
      <c r="W364" t="s">
        <v>51</v>
      </c>
      <c r="X364" t="s">
        <v>51</v>
      </c>
      <c r="Y364" t="s">
        <v>52</v>
      </c>
      <c r="Z364" t="s">
        <v>53</v>
      </c>
      <c r="AA364" t="s">
        <v>53</v>
      </c>
      <c r="AC364" s="2">
        <v>0.55176863178993296</v>
      </c>
      <c r="AD364" s="2">
        <v>0.359829872846603</v>
      </c>
      <c r="AE364" s="2">
        <v>0.163708716630936</v>
      </c>
      <c r="AF364" s="2">
        <v>0.22206763923168199</v>
      </c>
      <c r="AG364" s="2">
        <v>0.29985558986663802</v>
      </c>
      <c r="AH364" s="2">
        <v>-0.108295455574989</v>
      </c>
      <c r="AI364" s="2">
        <v>6.2833644449710901E-2</v>
      </c>
      <c r="AJ364" s="2">
        <v>0.48772905645756298</v>
      </c>
      <c r="AK364" s="2">
        <v>0.51873172507413601</v>
      </c>
      <c r="AL364" s="2">
        <v>0.26161539122192801</v>
      </c>
      <c r="AM364" s="2">
        <v>0.49064964056014998</v>
      </c>
      <c r="AN364" s="2">
        <v>0.49992680549621599</v>
      </c>
      <c r="AO364" s="2">
        <v>0.325069040060043</v>
      </c>
      <c r="AP364" s="2">
        <v>0.71859902143478405</v>
      </c>
    </row>
    <row r="365" spans="1:42" x14ac:dyDescent="0.3">
      <c r="A365" t="s">
        <v>164</v>
      </c>
      <c r="B365" s="3">
        <v>2018</v>
      </c>
      <c r="C365" s="3">
        <v>2.2123179999999998</v>
      </c>
      <c r="D365" s="3">
        <v>2187.4</v>
      </c>
      <c r="E365" t="s">
        <v>113</v>
      </c>
      <c r="G365" s="3">
        <v>18487.330078125</v>
      </c>
      <c r="H365" s="3">
        <v>24555.015625</v>
      </c>
      <c r="I365" s="3">
        <v>35879.14453125</v>
      </c>
      <c r="J365" s="3">
        <v>35508.5</v>
      </c>
      <c r="K365" s="3">
        <v>79323.84375</v>
      </c>
      <c r="L365" s="3">
        <v>1.1602442245930401E-3</v>
      </c>
      <c r="M365" s="3">
        <v>0.77645015716552701</v>
      </c>
      <c r="N365" s="3">
        <v>0.51685309410095204</v>
      </c>
      <c r="O365" s="3">
        <v>21284.599609375</v>
      </c>
      <c r="P365" s="3">
        <v>27331.908203125</v>
      </c>
      <c r="Q365" s="3">
        <v>1.1266399621963501</v>
      </c>
      <c r="R365" s="3">
        <v>0.27539545297622697</v>
      </c>
      <c r="S365" s="3">
        <v>0.44870236515998801</v>
      </c>
      <c r="T365" s="3">
        <v>0.47011524438857999</v>
      </c>
      <c r="U365" s="3">
        <v>0.47502237558364901</v>
      </c>
      <c r="W365" t="s">
        <v>50</v>
      </c>
      <c r="X365" t="s">
        <v>51</v>
      </c>
      <c r="Y365" t="s">
        <v>52</v>
      </c>
      <c r="Z365" t="s">
        <v>53</v>
      </c>
      <c r="AA365" t="s">
        <v>53</v>
      </c>
      <c r="AC365" s="2">
        <v>0.42889402615352601</v>
      </c>
      <c r="AD365" s="2">
        <v>0.34381005167961098</v>
      </c>
      <c r="AE365" s="2">
        <v>0.170879781246185</v>
      </c>
      <c r="AF365" s="2">
        <v>0.17683516442775701</v>
      </c>
      <c r="AG365" s="2">
        <v>0.33061876893043501</v>
      </c>
      <c r="AH365" s="2">
        <v>-0.102759964764118</v>
      </c>
      <c r="AI365" s="2">
        <v>8.0616205930709797E-2</v>
      </c>
      <c r="AJ365" s="2">
        <v>0.53350619405363198</v>
      </c>
      <c r="AK365" s="2">
        <v>0.53535707524105103</v>
      </c>
      <c r="AL365" s="2">
        <v>0.28382337816145897</v>
      </c>
      <c r="AM365" s="2">
        <v>0.49979716539382901</v>
      </c>
      <c r="AN365" s="2">
        <v>0.52170974016189597</v>
      </c>
      <c r="AO365" s="2">
        <v>0.34923520684242298</v>
      </c>
      <c r="AP365" s="2">
        <v>1.2455573081970199</v>
      </c>
    </row>
    <row r="366" spans="1:42" x14ac:dyDescent="0.3">
      <c r="A366" t="s">
        <v>164</v>
      </c>
      <c r="B366" s="3">
        <v>2019</v>
      </c>
      <c r="C366" s="3">
        <v>2.267706</v>
      </c>
      <c r="D366" s="3">
        <v>2183.02</v>
      </c>
      <c r="E366" t="s">
        <v>113</v>
      </c>
      <c r="G366" s="3">
        <v>19567.84375</v>
      </c>
      <c r="H366" s="3">
        <v>26855.3359375</v>
      </c>
      <c r="I366" s="3">
        <v>38056.9921875</v>
      </c>
      <c r="J366" s="3">
        <v>38287.0234375</v>
      </c>
      <c r="K366" s="3">
        <v>83836.4140625</v>
      </c>
      <c r="L366" s="3">
        <v>1.18219619616866E-3</v>
      </c>
      <c r="M366" s="3">
        <v>0.799632728099823</v>
      </c>
      <c r="N366" s="3">
        <v>0.53972178697586104</v>
      </c>
      <c r="O366" s="3">
        <v>21725.04296875</v>
      </c>
      <c r="P366" s="3">
        <v>29374.228515625</v>
      </c>
      <c r="Q366" s="3">
        <v>1.08821725845337</v>
      </c>
      <c r="R366" s="3">
        <v>0.27539545297622697</v>
      </c>
      <c r="S366" s="3">
        <v>0.41968545317649802</v>
      </c>
      <c r="T366" s="3">
        <v>0.443398296833038</v>
      </c>
      <c r="U366" s="3">
        <v>0.44073429703712502</v>
      </c>
      <c r="W366" t="s">
        <v>50</v>
      </c>
      <c r="X366" t="s">
        <v>54</v>
      </c>
      <c r="Y366" t="s">
        <v>52</v>
      </c>
      <c r="Z366" t="s">
        <v>53</v>
      </c>
      <c r="AA366" t="s">
        <v>53</v>
      </c>
      <c r="AC366" s="2">
        <v>0.39510053591585198</v>
      </c>
      <c r="AD366" s="2">
        <v>0.32858765125274703</v>
      </c>
      <c r="AE366" s="2">
        <v>0.19033846259117099</v>
      </c>
      <c r="AF366" s="2">
        <v>0.18249525129795099</v>
      </c>
      <c r="AG366" s="2">
        <v>0.34465751051902799</v>
      </c>
      <c r="AH366" s="2">
        <v>-0.12011077255010599</v>
      </c>
      <c r="AI366" s="2">
        <v>7.40319117903709E-2</v>
      </c>
      <c r="AJ366" s="2">
        <v>0.50532229250625604</v>
      </c>
      <c r="AK366" s="2">
        <v>0.50707025905863301</v>
      </c>
      <c r="AL366" s="2">
        <v>0.26549402779251902</v>
      </c>
      <c r="AM366" s="2">
        <v>0.42133584618568398</v>
      </c>
      <c r="AN366" s="2">
        <v>0.40062752366066001</v>
      </c>
      <c r="AO366" s="2">
        <v>0.33508116006851202</v>
      </c>
      <c r="AP366" s="2">
        <v>1.17640352249146</v>
      </c>
    </row>
    <row r="367" spans="1:42" x14ac:dyDescent="0.3">
      <c r="A367" t="s">
        <v>164</v>
      </c>
      <c r="B367" s="3">
        <v>2020</v>
      </c>
      <c r="C367" s="3">
        <v>2.3225389999999999</v>
      </c>
      <c r="D367" s="3">
        <v>2121.16</v>
      </c>
      <c r="E367" t="s">
        <v>113</v>
      </c>
      <c r="G367" s="3">
        <v>20206.763671875</v>
      </c>
      <c r="H367" s="3">
        <v>26361.271484375</v>
      </c>
      <c r="I367" s="3">
        <v>35188.2109375</v>
      </c>
      <c r="J367" s="3">
        <v>38014.48828125</v>
      </c>
      <c r="K367" s="3">
        <v>89322.15625</v>
      </c>
      <c r="L367" s="3">
        <v>1.17047189269215E-3</v>
      </c>
      <c r="M367" s="3">
        <v>0.80812168121337902</v>
      </c>
      <c r="N367" s="3">
        <v>0.537597596645355</v>
      </c>
      <c r="O367" s="3">
        <v>21659.5703125</v>
      </c>
      <c r="P367" s="3">
        <v>27815.033203125</v>
      </c>
      <c r="Q367" s="3">
        <v>1.0466883182525599</v>
      </c>
      <c r="R367" s="3">
        <v>0.27539545297622697</v>
      </c>
      <c r="S367" s="3">
        <v>0.41798749566078203</v>
      </c>
      <c r="T367" s="3">
        <v>0.43600618839263899</v>
      </c>
      <c r="U367" s="3">
        <v>0.40359026193618802</v>
      </c>
      <c r="W367" t="s">
        <v>50</v>
      </c>
      <c r="X367" t="s">
        <v>54</v>
      </c>
      <c r="Y367" t="s">
        <v>52</v>
      </c>
      <c r="Z367" t="s">
        <v>53</v>
      </c>
      <c r="AA367" t="s">
        <v>53</v>
      </c>
      <c r="AC367" s="2">
        <v>0.36904671975333397</v>
      </c>
      <c r="AD367" s="2">
        <v>0.334461450576782</v>
      </c>
      <c r="AE367" s="2">
        <v>0.16189901530742601</v>
      </c>
      <c r="AF367" s="2">
        <v>0.197092831134796</v>
      </c>
      <c r="AG367" s="2">
        <v>0.35987073183059698</v>
      </c>
      <c r="AH367" s="2">
        <v>-0.112134344875813</v>
      </c>
      <c r="AI367" s="2">
        <v>5.8810271322727203E-2</v>
      </c>
      <c r="AJ367" s="2">
        <v>0.50565576016093805</v>
      </c>
      <c r="AK367" s="2">
        <v>0.495165939790705</v>
      </c>
      <c r="AL367" s="2">
        <v>0.26921671635260602</v>
      </c>
      <c r="AM367" s="2">
        <v>0.34069511294364901</v>
      </c>
      <c r="AN367" s="2">
        <v>0.40220618247985801</v>
      </c>
      <c r="AO367" s="2">
        <v>0.32612711191177401</v>
      </c>
      <c r="AP367" s="2">
        <v>1.1278589963912999</v>
      </c>
    </row>
    <row r="368" spans="1:42" x14ac:dyDescent="0.3">
      <c r="A368" t="s">
        <v>165</v>
      </c>
      <c r="B368" s="3">
        <v>2015</v>
      </c>
      <c r="C368" s="3">
        <v>65.382109999999997</v>
      </c>
      <c r="D368" s="3">
        <v>1543.13</v>
      </c>
      <c r="E368" t="s">
        <v>166</v>
      </c>
      <c r="G368" s="3">
        <v>2416420.25</v>
      </c>
      <c r="H368" s="3">
        <v>3203876.75</v>
      </c>
      <c r="I368" s="3">
        <v>3156166.5</v>
      </c>
      <c r="J368" s="3">
        <v>3029734.75</v>
      </c>
      <c r="K368" s="3">
        <v>15256743</v>
      </c>
      <c r="L368" s="3">
        <v>0.17855122685432401</v>
      </c>
      <c r="M368" s="3">
        <v>0.83012908697128296</v>
      </c>
      <c r="N368" s="3">
        <v>0.84689432382583596</v>
      </c>
      <c r="O368" s="3">
        <v>2559695.75</v>
      </c>
      <c r="P368" s="3">
        <v>3345025</v>
      </c>
      <c r="Q368" s="3">
        <v>1.0162837505340601</v>
      </c>
      <c r="R368" s="3">
        <v>0.595930576324463</v>
      </c>
      <c r="S368" s="3">
        <v>1.0134707689285301</v>
      </c>
      <c r="T368" s="3">
        <v>0.92767947912216198</v>
      </c>
      <c r="U368" s="3">
        <v>0.966391921043396</v>
      </c>
      <c r="W368" t="s">
        <v>50</v>
      </c>
      <c r="X368" t="s">
        <v>51</v>
      </c>
      <c r="Y368" t="s">
        <v>52</v>
      </c>
      <c r="Z368" t="s">
        <v>53</v>
      </c>
      <c r="AA368" t="s">
        <v>53</v>
      </c>
      <c r="AC368" s="2">
        <v>0.79965444261227103</v>
      </c>
      <c r="AD368" s="2">
        <v>0.60579651594161998</v>
      </c>
      <c r="AE368" s="2">
        <v>0.25990939140319802</v>
      </c>
      <c r="AF368" s="2">
        <v>0.191771700978279</v>
      </c>
      <c r="AG368" s="2">
        <v>0.25832256674766502</v>
      </c>
      <c r="AH368" s="2">
        <v>-0.35668095946312001</v>
      </c>
      <c r="AI368" s="2">
        <v>4.0880773216485998E-2</v>
      </c>
      <c r="AJ368" s="2">
        <v>1.0224499837550201</v>
      </c>
      <c r="AK368" s="2">
        <v>0.66441729099420899</v>
      </c>
      <c r="AL368" s="2">
        <v>0.98510575474769502</v>
      </c>
      <c r="AM368" s="2">
        <v>0.59579205513000499</v>
      </c>
      <c r="AN368" s="2">
        <v>0.58321541547775302</v>
      </c>
      <c r="AO368" s="2">
        <v>0.56346940994262695</v>
      </c>
      <c r="AP368" s="2">
        <v>0.88526445627212502</v>
      </c>
    </row>
    <row r="369" spans="1:42" x14ac:dyDescent="0.3">
      <c r="A369" t="s">
        <v>165</v>
      </c>
      <c r="B369" s="3">
        <v>2016</v>
      </c>
      <c r="C369" s="3">
        <v>65.893358000000006</v>
      </c>
      <c r="D369" s="3">
        <v>1541.27</v>
      </c>
      <c r="E369" t="s">
        <v>166</v>
      </c>
      <c r="G369" s="3">
        <v>2513311.75</v>
      </c>
      <c r="H369" s="3">
        <v>3284695.5</v>
      </c>
      <c r="I369" s="3">
        <v>3223585.5</v>
      </c>
      <c r="J369" s="3">
        <v>3071975.25</v>
      </c>
      <c r="K369" s="3">
        <v>14612051</v>
      </c>
      <c r="L369" s="3">
        <v>0.16908660531044001</v>
      </c>
      <c r="M369" s="3">
        <v>0.847811579704285</v>
      </c>
      <c r="N369" s="3">
        <v>0.87643241882324197</v>
      </c>
      <c r="O369" s="3">
        <v>2636239</v>
      </c>
      <c r="P369" s="3">
        <v>3421151.5</v>
      </c>
      <c r="Q369" s="3">
        <v>1.0157872438430799</v>
      </c>
      <c r="R369" s="3">
        <v>0.59576588869094904</v>
      </c>
      <c r="S369" s="3">
        <v>0.89833688735961903</v>
      </c>
      <c r="T369" s="3">
        <v>0.83419740200042702</v>
      </c>
      <c r="U369" s="3">
        <v>0.87536722421646096</v>
      </c>
      <c r="W369" t="s">
        <v>50</v>
      </c>
      <c r="X369" t="s">
        <v>51</v>
      </c>
      <c r="Y369" t="s">
        <v>52</v>
      </c>
      <c r="Z369" t="s">
        <v>53</v>
      </c>
      <c r="AA369" t="s">
        <v>53</v>
      </c>
      <c r="AC369" s="2">
        <v>0.80893724074442397</v>
      </c>
      <c r="AD369" s="2">
        <v>0.62401896715164196</v>
      </c>
      <c r="AE369" s="2">
        <v>0.25110349059104897</v>
      </c>
      <c r="AF369" s="2">
        <v>0.194122970104218</v>
      </c>
      <c r="AG369" s="2">
        <v>0.22733359038829801</v>
      </c>
      <c r="AH369" s="2">
        <v>-0.361257404088974</v>
      </c>
      <c r="AI369" s="2">
        <v>6.4678385853767395E-2</v>
      </c>
      <c r="AJ369" s="2">
        <v>0.90820394650382996</v>
      </c>
      <c r="AK369" s="2">
        <v>0.62521905724578697</v>
      </c>
      <c r="AL369" s="2">
        <v>0.86661858073755904</v>
      </c>
      <c r="AM369" s="2">
        <v>0.58918201923370395</v>
      </c>
      <c r="AN369" s="2">
        <v>0.57342135906219505</v>
      </c>
      <c r="AO369" s="2">
        <v>0.54043406248092696</v>
      </c>
      <c r="AP369" s="2">
        <v>0.83213740587234497</v>
      </c>
    </row>
    <row r="370" spans="1:42" x14ac:dyDescent="0.3">
      <c r="A370" t="s">
        <v>165</v>
      </c>
      <c r="B370" s="3">
        <v>2017</v>
      </c>
      <c r="C370" s="3">
        <v>66.354471000000004</v>
      </c>
      <c r="D370" s="3">
        <v>1542.26</v>
      </c>
      <c r="E370" t="s">
        <v>166</v>
      </c>
      <c r="G370" s="3">
        <v>2559005.5</v>
      </c>
      <c r="H370" s="3">
        <v>3377784.5</v>
      </c>
      <c r="I370" s="3">
        <v>3333089.5</v>
      </c>
      <c r="J370" s="3">
        <v>3226314.5</v>
      </c>
      <c r="K370" s="3">
        <v>15222311</v>
      </c>
      <c r="L370" s="3">
        <v>0.17475625872612</v>
      </c>
      <c r="M370" s="3">
        <v>0.85735207796096802</v>
      </c>
      <c r="N370" s="3">
        <v>0.86440771818161</v>
      </c>
      <c r="O370" s="3">
        <v>2677330.75</v>
      </c>
      <c r="P370" s="3">
        <v>3477416</v>
      </c>
      <c r="Q370" s="3">
        <v>1.02354860305786</v>
      </c>
      <c r="R370" s="3">
        <v>0.59865856170654297</v>
      </c>
      <c r="S370" s="3">
        <v>0.867831170558929</v>
      </c>
      <c r="T370" s="3">
        <v>0.80413001775741599</v>
      </c>
      <c r="U370" s="3">
        <v>0.83074277639389005</v>
      </c>
      <c r="W370" t="s">
        <v>51</v>
      </c>
      <c r="X370" t="s">
        <v>51</v>
      </c>
      <c r="Y370" t="s">
        <v>52</v>
      </c>
      <c r="Z370" t="s">
        <v>53</v>
      </c>
      <c r="AA370" t="s">
        <v>53</v>
      </c>
      <c r="AC370" s="2">
        <v>0.81216669484704096</v>
      </c>
      <c r="AD370" s="2">
        <v>0.60236167907714799</v>
      </c>
      <c r="AE370" s="2">
        <v>0.25378152728080799</v>
      </c>
      <c r="AF370" s="2">
        <v>0.19080513715743999</v>
      </c>
      <c r="AG370" s="2">
        <v>0.225592061877251</v>
      </c>
      <c r="AH370" s="2">
        <v>-0.33340084552764898</v>
      </c>
      <c r="AI370" s="2">
        <v>6.0860432684421498E-2</v>
      </c>
      <c r="AJ370" s="2">
        <v>0.88538819932023805</v>
      </c>
      <c r="AK370" s="2">
        <v>0.60503898360891994</v>
      </c>
      <c r="AL370" s="2">
        <v>0.81240453421957504</v>
      </c>
      <c r="AM370" s="2">
        <v>0.60707366466522195</v>
      </c>
      <c r="AN370" s="2">
        <v>0.59582990407943703</v>
      </c>
      <c r="AO370" s="2">
        <v>0.52423769235610995</v>
      </c>
      <c r="AP370" s="2">
        <v>0.76797658205032404</v>
      </c>
    </row>
    <row r="371" spans="1:42" x14ac:dyDescent="0.3">
      <c r="A371" t="s">
        <v>165</v>
      </c>
      <c r="B371" s="3">
        <v>2018</v>
      </c>
      <c r="C371" s="3">
        <v>66.752475000000004</v>
      </c>
      <c r="D371" s="3">
        <v>1537.13</v>
      </c>
      <c r="E371" t="s">
        <v>166</v>
      </c>
      <c r="G371" s="3">
        <v>2558641.75</v>
      </c>
      <c r="H371" s="3">
        <v>3364562.75</v>
      </c>
      <c r="I371" s="3">
        <v>3318684.5</v>
      </c>
      <c r="J371" s="3">
        <v>3200535.5</v>
      </c>
      <c r="K371" s="3">
        <v>15548045</v>
      </c>
      <c r="L371" s="3">
        <v>0.17477740347385401</v>
      </c>
      <c r="M371" s="3">
        <v>0.83299344778060902</v>
      </c>
      <c r="N371" s="3">
        <v>0.84293305873870905</v>
      </c>
      <c r="O371" s="3">
        <v>2721948</v>
      </c>
      <c r="P371" s="3">
        <v>3527187.5</v>
      </c>
      <c r="Q371" s="3">
        <v>1.0219645500183101</v>
      </c>
      <c r="R371" s="3">
        <v>0.60160940885543801</v>
      </c>
      <c r="S371" s="3">
        <v>0.93375438451767001</v>
      </c>
      <c r="T371" s="3">
        <v>0.865262150764465</v>
      </c>
      <c r="U371" s="3">
        <v>0.89720374345779397</v>
      </c>
      <c r="W371" t="s">
        <v>50</v>
      </c>
      <c r="X371" t="s">
        <v>51</v>
      </c>
      <c r="Y371" t="s">
        <v>52</v>
      </c>
      <c r="Z371" t="s">
        <v>53</v>
      </c>
      <c r="AA371" t="s">
        <v>53</v>
      </c>
      <c r="AC371" s="2">
        <v>0.82190430130880798</v>
      </c>
      <c r="AD371" s="2">
        <v>0.61246591806411699</v>
      </c>
      <c r="AE371" s="2">
        <v>0.25180819630622903</v>
      </c>
      <c r="AF371" s="2">
        <v>0.18697585165500599</v>
      </c>
      <c r="AG371" s="2">
        <v>0.24634249508380901</v>
      </c>
      <c r="AH371" s="2">
        <v>-0.34674993157386802</v>
      </c>
      <c r="AI371" s="2">
        <v>4.9157448112964602E-2</v>
      </c>
      <c r="AJ371" s="2">
        <v>0.94720221121826698</v>
      </c>
      <c r="AK371" s="2">
        <v>0.64781293990838595</v>
      </c>
      <c r="AL371" s="2">
        <v>0.88970404174563</v>
      </c>
      <c r="AM371" s="2">
        <v>0.62255531549453702</v>
      </c>
      <c r="AN371" s="2">
        <v>0.605246722698212</v>
      </c>
      <c r="AO371" s="2">
        <v>0.56054413318634</v>
      </c>
      <c r="AP371" s="2">
        <v>0.77393269538879395</v>
      </c>
    </row>
    <row r="372" spans="1:42" x14ac:dyDescent="0.3">
      <c r="A372" t="s">
        <v>165</v>
      </c>
      <c r="B372" s="3">
        <v>2019</v>
      </c>
      <c r="C372" s="3">
        <v>67.110957999999997</v>
      </c>
      <c r="D372" s="3">
        <v>1544.63</v>
      </c>
      <c r="E372" t="s">
        <v>166</v>
      </c>
      <c r="G372" s="3">
        <v>2684784.5</v>
      </c>
      <c r="H372" s="3">
        <v>3522487.5</v>
      </c>
      <c r="I372" s="3">
        <v>3474005.25</v>
      </c>
      <c r="J372" s="3">
        <v>3327963</v>
      </c>
      <c r="K372" s="3">
        <v>16212461</v>
      </c>
      <c r="L372" s="3">
        <v>0.17608137428760501</v>
      </c>
      <c r="M372" s="3">
        <v>0.84204989671707198</v>
      </c>
      <c r="N372" s="3">
        <v>0.85764878988266002</v>
      </c>
      <c r="O372" s="3">
        <v>2768796.75</v>
      </c>
      <c r="P372" s="3">
        <v>3593024.75</v>
      </c>
      <c r="Q372" s="3">
        <v>1.0181630849838299</v>
      </c>
      <c r="R372" s="3">
        <v>0.60789304971695002</v>
      </c>
      <c r="S372" s="3">
        <v>0.88169085979461703</v>
      </c>
      <c r="T372" s="3">
        <v>0.82078385353088401</v>
      </c>
      <c r="U372" s="3">
        <v>0.85680252313613903</v>
      </c>
      <c r="W372" t="s">
        <v>50</v>
      </c>
      <c r="X372" t="s">
        <v>54</v>
      </c>
      <c r="Y372" t="s">
        <v>52</v>
      </c>
      <c r="Z372" t="s">
        <v>53</v>
      </c>
      <c r="AA372" t="s">
        <v>53</v>
      </c>
      <c r="AC372" s="2">
        <v>0.82855612530955602</v>
      </c>
      <c r="AD372" s="2">
        <v>0.61845856904983498</v>
      </c>
      <c r="AE372" s="2">
        <v>0.25171646475791898</v>
      </c>
      <c r="AF372" s="2">
        <v>0.18827645480632799</v>
      </c>
      <c r="AG372" s="2">
        <v>0.23338484764099099</v>
      </c>
      <c r="AH372" s="2">
        <v>-0.35649868845939597</v>
      </c>
      <c r="AI372" s="2">
        <v>6.4662300050258595E-2</v>
      </c>
      <c r="AJ372" s="2">
        <v>0.885548324244398</v>
      </c>
      <c r="AK372" s="2">
        <v>0.62558055855430095</v>
      </c>
      <c r="AL372" s="2">
        <v>0.86901969257128497</v>
      </c>
      <c r="AM372" s="2">
        <v>0.60296684503555298</v>
      </c>
      <c r="AN372" s="2">
        <v>0.58368641138076804</v>
      </c>
      <c r="AO372" s="2">
        <v>0.53961592912673995</v>
      </c>
      <c r="AP372" s="2">
        <v>0.72221535444259599</v>
      </c>
    </row>
    <row r="373" spans="1:42" x14ac:dyDescent="0.3">
      <c r="A373" t="s">
        <v>165</v>
      </c>
      <c r="B373" s="3">
        <v>2020</v>
      </c>
      <c r="C373" s="3">
        <v>67.351861</v>
      </c>
      <c r="D373" s="3">
        <v>1391.63</v>
      </c>
      <c r="E373" t="s">
        <v>166</v>
      </c>
      <c r="G373" s="3">
        <v>2523303.75</v>
      </c>
      <c r="H373" s="3">
        <v>3266122.5</v>
      </c>
      <c r="I373" s="3">
        <v>3284464.75</v>
      </c>
      <c r="J373" s="3">
        <v>3168285.75</v>
      </c>
      <c r="K373" s="3">
        <v>16350884</v>
      </c>
      <c r="L373" s="3">
        <v>0.168939054012299</v>
      </c>
      <c r="M373" s="3">
        <v>0.84792160987854004</v>
      </c>
      <c r="N373" s="3">
        <v>0.83854669332504295</v>
      </c>
      <c r="O373" s="3">
        <v>2448336.75</v>
      </c>
      <c r="P373" s="3">
        <v>3177489.25</v>
      </c>
      <c r="Q373" s="3">
        <v>0.97271287441253695</v>
      </c>
      <c r="R373" s="3">
        <v>0.60125106573104903</v>
      </c>
      <c r="S373" s="3">
        <v>0.87488216161727905</v>
      </c>
      <c r="T373" s="3">
        <v>0.82107084989547696</v>
      </c>
      <c r="U373" s="3">
        <v>0.85117900371551503</v>
      </c>
      <c r="W373" t="s">
        <v>50</v>
      </c>
      <c r="X373" t="s">
        <v>54</v>
      </c>
      <c r="Y373" t="s">
        <v>52</v>
      </c>
      <c r="Z373" t="s">
        <v>53</v>
      </c>
      <c r="AA373" t="s">
        <v>53</v>
      </c>
      <c r="AC373" s="2">
        <v>0.83129923220152302</v>
      </c>
      <c r="AD373" s="2">
        <v>0.56525158882141102</v>
      </c>
      <c r="AE373" s="2">
        <v>0.23445443809032401</v>
      </c>
      <c r="AF373" s="2">
        <v>0.23117397725582101</v>
      </c>
      <c r="AG373" s="2">
        <v>0.21379803121089899</v>
      </c>
      <c r="AH373" s="2">
        <v>-0.31026735901832603</v>
      </c>
      <c r="AI373" s="2">
        <v>6.5589338541030898E-2</v>
      </c>
      <c r="AJ373" s="2">
        <v>0.89216963951500505</v>
      </c>
      <c r="AK373" s="2">
        <v>0.63827772992651799</v>
      </c>
      <c r="AL373" s="2">
        <v>0.83261194875372602</v>
      </c>
      <c r="AM373" s="2">
        <v>0.61327081918716397</v>
      </c>
      <c r="AN373" s="2">
        <v>0.58720618486404397</v>
      </c>
      <c r="AO373" s="2">
        <v>0.54290896654128995</v>
      </c>
      <c r="AP373" s="2">
        <v>0.75585711002349898</v>
      </c>
    </row>
    <row r="374" spans="1:42" x14ac:dyDescent="0.3">
      <c r="A374" t="s">
        <v>167</v>
      </c>
      <c r="B374" s="3">
        <v>2015</v>
      </c>
      <c r="C374" s="3">
        <v>3.7915730000000001</v>
      </c>
      <c r="D374" s="3">
        <v>1831.16</v>
      </c>
      <c r="E374" t="s">
        <v>168</v>
      </c>
      <c r="G374" s="3">
        <v>46571.7421875</v>
      </c>
      <c r="H374" s="3">
        <v>56567.78515625</v>
      </c>
      <c r="I374" s="3">
        <v>48455.5</v>
      </c>
      <c r="J374" s="3">
        <v>54231.6875</v>
      </c>
      <c r="K374" s="3">
        <v>193743.34375</v>
      </c>
      <c r="L374" s="3">
        <v>1.9680336117744398E-3</v>
      </c>
      <c r="M374" s="3"/>
      <c r="N374" s="3"/>
      <c r="O374" s="3">
        <v>45791.19921875</v>
      </c>
      <c r="P374" s="3">
        <v>61384.62109375</v>
      </c>
      <c r="Q374" s="3"/>
      <c r="R374" s="3">
        <v>0.39365288615226701</v>
      </c>
      <c r="S374" s="3">
        <v>0.293759346008301</v>
      </c>
      <c r="T374" s="3">
        <v>0.31418251991272</v>
      </c>
      <c r="U374" s="3">
        <v>0.28071910142898598</v>
      </c>
      <c r="W374" t="s">
        <v>50</v>
      </c>
      <c r="X374" t="s">
        <v>51</v>
      </c>
      <c r="Y374" t="s">
        <v>52</v>
      </c>
      <c r="Z374" t="s">
        <v>53</v>
      </c>
      <c r="AA374" t="s">
        <v>53</v>
      </c>
      <c r="AC374" s="2">
        <v>0.60469553786730601</v>
      </c>
      <c r="AD374" s="2">
        <v>0.64081388711929299</v>
      </c>
      <c r="AE374" s="2">
        <v>0.18432109057903301</v>
      </c>
      <c r="AF374" s="2">
        <v>0.217941343784332</v>
      </c>
      <c r="AG374" s="2">
        <v>7.2720296680927304E-2</v>
      </c>
      <c r="AH374" s="2">
        <v>-0.28184118866920499</v>
      </c>
      <c r="AI374" s="2">
        <v>0.16604463756084401</v>
      </c>
      <c r="AJ374" s="2">
        <v>0.3296674353056</v>
      </c>
      <c r="AK374" s="2">
        <v>0.40933439537510002</v>
      </c>
      <c r="AL374" s="2">
        <v>0.18817864665379599</v>
      </c>
      <c r="AM374" s="2">
        <v>0.55903124809265103</v>
      </c>
      <c r="AN374" s="2">
        <v>0.47637483477592502</v>
      </c>
      <c r="AO374" s="2">
        <v>0.28782740235328702</v>
      </c>
      <c r="AP374" s="2">
        <v>0.62666571140289296</v>
      </c>
    </row>
    <row r="375" spans="1:42" x14ac:dyDescent="0.3">
      <c r="A375" t="s">
        <v>167</v>
      </c>
      <c r="B375" s="3">
        <v>2016</v>
      </c>
      <c r="C375" s="3">
        <v>3.7920569999999998</v>
      </c>
      <c r="D375" s="3">
        <v>1834.11</v>
      </c>
      <c r="E375" t="s">
        <v>168</v>
      </c>
      <c r="G375" s="3">
        <v>46915.21875</v>
      </c>
      <c r="H375" s="3">
        <v>58848.90625</v>
      </c>
      <c r="I375" s="3">
        <v>51205.21875</v>
      </c>
      <c r="J375" s="3">
        <v>57736.171875</v>
      </c>
      <c r="K375" s="3">
        <v>241737.28125</v>
      </c>
      <c r="L375" s="3">
        <v>2.3645609617233298E-3</v>
      </c>
      <c r="M375" s="3"/>
      <c r="N375" s="3"/>
      <c r="O375" s="3">
        <v>46198.78125</v>
      </c>
      <c r="P375" s="3">
        <v>62689.58984375</v>
      </c>
      <c r="Q375" s="3"/>
      <c r="R375" s="3">
        <v>0.42290678620338401</v>
      </c>
      <c r="S375" s="3">
        <v>0.28319662809371998</v>
      </c>
      <c r="T375" s="3">
        <v>0.30162304639816301</v>
      </c>
      <c r="U375" s="3">
        <v>0.26750430464744601</v>
      </c>
      <c r="W375" t="s">
        <v>50</v>
      </c>
      <c r="X375" t="s">
        <v>51</v>
      </c>
      <c r="Y375" t="s">
        <v>52</v>
      </c>
      <c r="Z375" t="s">
        <v>53</v>
      </c>
      <c r="AA375" t="s">
        <v>53</v>
      </c>
      <c r="AC375" s="2">
        <v>0.67592064818012498</v>
      </c>
      <c r="AD375" s="2">
        <v>0.58185148239135698</v>
      </c>
      <c r="AE375" s="2">
        <v>0.206693410873413</v>
      </c>
      <c r="AF375" s="2">
        <v>0.23072780668735501</v>
      </c>
      <c r="AG375" s="2">
        <v>6.5710827708244296E-2</v>
      </c>
      <c r="AH375" s="2">
        <v>-0.26734569668769798</v>
      </c>
      <c r="AI375" s="2">
        <v>0.18236216902732899</v>
      </c>
      <c r="AJ375" s="2">
        <v>0.32568009921247998</v>
      </c>
      <c r="AK375" s="2">
        <v>0.37406334167004701</v>
      </c>
      <c r="AL375" s="2">
        <v>0.17606138297326801</v>
      </c>
      <c r="AM375" s="2">
        <v>0.55714136362075795</v>
      </c>
      <c r="AN375" s="2">
        <v>0.46877402067184498</v>
      </c>
      <c r="AO375" s="2">
        <v>0.24450226128101399</v>
      </c>
      <c r="AP375" s="2">
        <v>0.48790749907493602</v>
      </c>
    </row>
    <row r="376" spans="1:42" x14ac:dyDescent="0.3">
      <c r="A376" t="s">
        <v>167</v>
      </c>
      <c r="B376" s="3">
        <v>2017</v>
      </c>
      <c r="C376" s="3">
        <v>3.792859</v>
      </c>
      <c r="D376" s="3">
        <v>1838.8</v>
      </c>
      <c r="E376" t="s">
        <v>168</v>
      </c>
      <c r="G376" s="3">
        <v>50270.90234375</v>
      </c>
      <c r="H376" s="3">
        <v>62310.91796875</v>
      </c>
      <c r="I376" s="3">
        <v>56221.44140625</v>
      </c>
      <c r="J376" s="3">
        <v>63733.58984375</v>
      </c>
      <c r="K376" s="3">
        <v>285515.21875</v>
      </c>
      <c r="L376" s="3">
        <v>2.7064867317676501E-3</v>
      </c>
      <c r="M376" s="3"/>
      <c r="N376" s="3"/>
      <c r="O376" s="3">
        <v>49465.171875</v>
      </c>
      <c r="P376" s="3">
        <v>64826.48828125</v>
      </c>
      <c r="Q376" s="3"/>
      <c r="R376" s="3">
        <v>0.42657101154327398</v>
      </c>
      <c r="S376" s="3">
        <v>0.28084686398506198</v>
      </c>
      <c r="T376" s="3">
        <v>0.29300269484519997</v>
      </c>
      <c r="U376" s="3">
        <v>0.25846707820892301</v>
      </c>
      <c r="W376" t="s">
        <v>51</v>
      </c>
      <c r="X376" t="s">
        <v>51</v>
      </c>
      <c r="Y376" t="s">
        <v>52</v>
      </c>
      <c r="Z376" t="s">
        <v>53</v>
      </c>
      <c r="AA376" t="s">
        <v>53</v>
      </c>
      <c r="AC376" s="2">
        <v>0.74688506028482105</v>
      </c>
      <c r="AD376" s="2">
        <v>0.56822961568832397</v>
      </c>
      <c r="AE376" s="2">
        <v>0.18891163170337699</v>
      </c>
      <c r="AF376" s="2">
        <v>0.220536604523659</v>
      </c>
      <c r="AG376" s="2">
        <v>7.4811451137065901E-2</v>
      </c>
      <c r="AH376" s="2">
        <v>-0.26030147075653098</v>
      </c>
      <c r="AI376" s="2">
        <v>0.207812190055847</v>
      </c>
      <c r="AJ376" s="2">
        <v>0.326660268310694</v>
      </c>
      <c r="AK376" s="2">
        <v>0.34375727757505398</v>
      </c>
      <c r="AL376" s="2">
        <v>0.16280503487821599</v>
      </c>
      <c r="AM376" s="2">
        <v>0.57377713918685902</v>
      </c>
      <c r="AN376" s="2">
        <v>0.47880208492279103</v>
      </c>
      <c r="AO376" s="2">
        <v>0.21276535093784299</v>
      </c>
      <c r="AP376" s="2">
        <v>0.435452520847321</v>
      </c>
    </row>
    <row r="377" spans="1:42" x14ac:dyDescent="0.3">
      <c r="A377" t="s">
        <v>167</v>
      </c>
      <c r="B377" s="3">
        <v>2018</v>
      </c>
      <c r="C377" s="3">
        <v>3.7948770000000001</v>
      </c>
      <c r="D377" s="3">
        <v>1954.57</v>
      </c>
      <c r="E377" t="s">
        <v>168</v>
      </c>
      <c r="G377" s="3">
        <v>50915.203125</v>
      </c>
      <c r="H377" s="3">
        <v>65158.2421875</v>
      </c>
      <c r="I377" s="3">
        <v>58989.91796875</v>
      </c>
      <c r="J377" s="3">
        <v>66706.6328125</v>
      </c>
      <c r="K377" s="3">
        <v>311516.28125</v>
      </c>
      <c r="L377" s="3">
        <v>2.8523828368633999E-3</v>
      </c>
      <c r="M377" s="3"/>
      <c r="N377" s="3"/>
      <c r="O377" s="3">
        <v>50761.828125</v>
      </c>
      <c r="P377" s="3">
        <v>68407</v>
      </c>
      <c r="Q377" s="3"/>
      <c r="R377" s="3">
        <v>0.43255540728568997</v>
      </c>
      <c r="S377" s="3">
        <v>0.29023641347885099</v>
      </c>
      <c r="T377" s="3">
        <v>0.30353382229804998</v>
      </c>
      <c r="U377" s="3">
        <v>0.26842063665389998</v>
      </c>
      <c r="W377" t="s">
        <v>50</v>
      </c>
      <c r="X377" t="s">
        <v>51</v>
      </c>
      <c r="Y377" t="s">
        <v>52</v>
      </c>
      <c r="Z377" t="s">
        <v>53</v>
      </c>
      <c r="AA377" t="s">
        <v>53</v>
      </c>
      <c r="AC377" s="2">
        <v>0.69776575789104001</v>
      </c>
      <c r="AD377" s="2">
        <v>0.55114060640335105</v>
      </c>
      <c r="AE377" s="2">
        <v>0.213517591357231</v>
      </c>
      <c r="AF377" s="2">
        <v>0.212129846215248</v>
      </c>
      <c r="AG377" s="2">
        <v>8.3960771560669001E-2</v>
      </c>
      <c r="AH377" s="2">
        <v>-0.27903288602829002</v>
      </c>
      <c r="AI377" s="2">
        <v>0.218284040689468</v>
      </c>
      <c r="AJ377" s="2">
        <v>0.33722712714481901</v>
      </c>
      <c r="AK377" s="2">
        <v>0.35106869408309699</v>
      </c>
      <c r="AL377" s="2">
        <v>0.168148471367213</v>
      </c>
      <c r="AM377" s="2">
        <v>0.59915375709533703</v>
      </c>
      <c r="AN377" s="2">
        <v>0.490855932235718</v>
      </c>
      <c r="AO377" s="2">
        <v>0.21008105576038399</v>
      </c>
      <c r="AP377" s="2">
        <v>0.421178549528122</v>
      </c>
    </row>
    <row r="378" spans="1:42" x14ac:dyDescent="0.3">
      <c r="A378" t="s">
        <v>167</v>
      </c>
      <c r="B378" s="3">
        <v>2019</v>
      </c>
      <c r="C378" s="3">
        <v>3.7967219999999999</v>
      </c>
      <c r="D378" s="3">
        <v>1963.02</v>
      </c>
      <c r="E378" t="s">
        <v>168</v>
      </c>
      <c r="G378" s="3">
        <v>54440.4140625</v>
      </c>
      <c r="H378" s="3">
        <v>69871.953125</v>
      </c>
      <c r="I378" s="3">
        <v>63984.4765625</v>
      </c>
      <c r="J378" s="3">
        <v>73538.8046875</v>
      </c>
      <c r="K378" s="3">
        <v>376275.3125</v>
      </c>
      <c r="L378" s="3">
        <v>3.3115530386567098E-3</v>
      </c>
      <c r="M378" s="3"/>
      <c r="N378" s="3"/>
      <c r="O378" s="3">
        <v>53166.94921875</v>
      </c>
      <c r="P378" s="3">
        <v>70906.8515625</v>
      </c>
      <c r="Q378" s="3"/>
      <c r="R378" s="3">
        <v>0.448765248060226</v>
      </c>
      <c r="S378" s="3">
        <v>0.26588365435600297</v>
      </c>
      <c r="T378" s="3">
        <v>0.275770634412766</v>
      </c>
      <c r="U378" s="3">
        <v>0.23994189500808699</v>
      </c>
      <c r="W378" t="s">
        <v>50</v>
      </c>
      <c r="X378" t="s">
        <v>54</v>
      </c>
      <c r="Y378" t="s">
        <v>52</v>
      </c>
      <c r="Z378" t="s">
        <v>53</v>
      </c>
      <c r="AA378" t="s">
        <v>53</v>
      </c>
      <c r="AC378" s="2">
        <v>0.15563434668308099</v>
      </c>
      <c r="AD378" s="2">
        <v>0.533372402191162</v>
      </c>
      <c r="AE378" s="2">
        <v>0.20984208583831801</v>
      </c>
      <c r="AF378" s="2">
        <v>0.20692269504070299</v>
      </c>
      <c r="AG378" s="2">
        <v>8.9718006551265703E-2</v>
      </c>
      <c r="AH378" s="2">
        <v>-0.27192792296409601</v>
      </c>
      <c r="AI378" s="2">
        <v>0.23207271099090601</v>
      </c>
      <c r="AJ378" s="2">
        <v>0.30990335286308102</v>
      </c>
      <c r="AK378" s="2">
        <v>0.31065070399267503</v>
      </c>
      <c r="AL378" s="2">
        <v>0.15241665423353301</v>
      </c>
      <c r="AM378" s="2">
        <v>0.57570874691009499</v>
      </c>
      <c r="AN378" s="2">
        <v>0.47591087222099299</v>
      </c>
      <c r="AO378" s="2">
        <v>0.16970036923885301</v>
      </c>
      <c r="AP378" s="2">
        <v>0.33407491445541398</v>
      </c>
    </row>
    <row r="379" spans="1:42" x14ac:dyDescent="0.3">
      <c r="A379" t="s">
        <v>167</v>
      </c>
      <c r="B379" s="3">
        <v>2020</v>
      </c>
      <c r="C379" s="3">
        <v>3.7956780000000001</v>
      </c>
      <c r="D379" s="3">
        <v>1821.22</v>
      </c>
      <c r="E379" t="s">
        <v>168</v>
      </c>
      <c r="G379" s="3">
        <v>59115.0546875</v>
      </c>
      <c r="H379" s="3">
        <v>73857.5859375</v>
      </c>
      <c r="I379" s="3">
        <v>62017.9765625</v>
      </c>
      <c r="J379" s="3">
        <v>71413.453125</v>
      </c>
      <c r="K379" s="3">
        <v>399646.25</v>
      </c>
      <c r="L379" s="3">
        <v>3.2907216809689999E-3</v>
      </c>
      <c r="M379" s="3"/>
      <c r="N379" s="3"/>
      <c r="O379" s="3">
        <v>58256.703125</v>
      </c>
      <c r="P379" s="3">
        <v>73159.1484375</v>
      </c>
      <c r="Q379" s="3"/>
      <c r="R379" s="3">
        <v>0.44257542490959201</v>
      </c>
      <c r="S379" s="3">
        <v>0.25595858693122903</v>
      </c>
      <c r="T379" s="3">
        <v>0.25821933150291398</v>
      </c>
      <c r="U379" s="3">
        <v>0.22424682974815399</v>
      </c>
      <c r="W379" t="s">
        <v>50</v>
      </c>
      <c r="X379" t="s">
        <v>54</v>
      </c>
      <c r="Y379" t="s">
        <v>52</v>
      </c>
      <c r="Z379" t="s">
        <v>53</v>
      </c>
      <c r="AA379" t="s">
        <v>53</v>
      </c>
      <c r="AC379" s="2">
        <v>0.61673068553585397</v>
      </c>
      <c r="AD379" s="2">
        <v>0.60237926244735696</v>
      </c>
      <c r="AE379" s="2">
        <v>0.20643918216228499</v>
      </c>
      <c r="AF379" s="2">
        <v>0.22540666162967701</v>
      </c>
      <c r="AG379" s="2">
        <v>5.7445812970399898E-2</v>
      </c>
      <c r="AH379" s="2">
        <v>-0.23002246022224401</v>
      </c>
      <c r="AI379" s="2">
        <v>0.13835147023201</v>
      </c>
      <c r="AJ379" s="2">
        <v>0.29734234794339998</v>
      </c>
      <c r="AK379" s="2">
        <v>0.26728443720725498</v>
      </c>
      <c r="AL379" s="2">
        <v>0.145364202140295</v>
      </c>
      <c r="AM379" s="2">
        <v>0.57101386785507202</v>
      </c>
      <c r="AN379" s="2">
        <v>0.463595300912857</v>
      </c>
      <c r="AO379" s="2">
        <v>0.15656574070453599</v>
      </c>
      <c r="AP379" s="2">
        <v>0.32212632894516002</v>
      </c>
    </row>
    <row r="380" spans="1:42" x14ac:dyDescent="0.3">
      <c r="A380" t="s">
        <v>169</v>
      </c>
      <c r="B380" s="3">
        <v>2015</v>
      </c>
      <c r="C380" s="3">
        <v>28.696068</v>
      </c>
      <c r="D380" s="3">
        <v>1716.71</v>
      </c>
      <c r="E380" t="s">
        <v>170</v>
      </c>
      <c r="G380" s="3">
        <v>142986.71875</v>
      </c>
      <c r="H380" s="3">
        <v>176936.875</v>
      </c>
      <c r="I380" s="3">
        <v>162539.359375</v>
      </c>
      <c r="J380" s="3">
        <v>163192.890625</v>
      </c>
      <c r="K380" s="3">
        <v>738734.875</v>
      </c>
      <c r="L380" s="3"/>
      <c r="M380" s="3"/>
      <c r="N380" s="3"/>
      <c r="O380" s="3">
        <v>133617.125</v>
      </c>
      <c r="P380" s="3">
        <v>158807.765625</v>
      </c>
      <c r="Q380" s="3"/>
      <c r="R380" s="3"/>
      <c r="S380" s="3">
        <v>0.28039038181304898</v>
      </c>
      <c r="T380" s="3">
        <v>0.303963392972946</v>
      </c>
      <c r="U380" s="3">
        <v>0.30274611711502097</v>
      </c>
      <c r="W380" t="s">
        <v>50</v>
      </c>
      <c r="X380" t="s">
        <v>51</v>
      </c>
      <c r="Y380" t="s">
        <v>52</v>
      </c>
      <c r="Z380" t="s">
        <v>53</v>
      </c>
      <c r="AC380" s="2">
        <v>0.29137160217707597</v>
      </c>
      <c r="AD380" s="2">
        <v>0.77834510803222701</v>
      </c>
      <c r="AE380" s="2">
        <v>0.208037003874779</v>
      </c>
      <c r="AF380" s="2">
        <v>9.7837157547473894E-2</v>
      </c>
      <c r="AG380" s="2">
        <v>0.15664832293987299</v>
      </c>
      <c r="AH380" s="2">
        <v>-0.17115131020546001</v>
      </c>
      <c r="AI380" s="2">
        <v>-6.9716304540634197E-2</v>
      </c>
      <c r="AJ380" s="2">
        <v>0.28576102568774803</v>
      </c>
      <c r="AK380" s="2">
        <v>0.40324490616069097</v>
      </c>
      <c r="AL380" s="2">
        <v>0.23766417517491101</v>
      </c>
      <c r="AM380" s="2">
        <v>0.53808563947677601</v>
      </c>
      <c r="AN380" s="2">
        <v>0.52585464715957597</v>
      </c>
      <c r="AO380" s="2">
        <v>0.23387666046619399</v>
      </c>
      <c r="AP380" s="2"/>
    </row>
    <row r="381" spans="1:42" x14ac:dyDescent="0.3">
      <c r="A381" t="s">
        <v>169</v>
      </c>
      <c r="B381" s="3">
        <v>2016</v>
      </c>
      <c r="C381" s="3">
        <v>29.356742000000001</v>
      </c>
      <c r="D381" s="3">
        <v>1706.99</v>
      </c>
      <c r="E381" t="s">
        <v>170</v>
      </c>
      <c r="G381" s="3">
        <v>143112.5</v>
      </c>
      <c r="H381" s="3">
        <v>171744.921875</v>
      </c>
      <c r="I381" s="3">
        <v>162806.015625</v>
      </c>
      <c r="J381" s="3">
        <v>161630.484375</v>
      </c>
      <c r="K381" s="3">
        <v>556610.8125</v>
      </c>
      <c r="L381" s="3"/>
      <c r="M381" s="3"/>
      <c r="N381" s="3"/>
      <c r="O381" s="3">
        <v>132330.78125</v>
      </c>
      <c r="P381" s="3">
        <v>162192.8125</v>
      </c>
      <c r="Q381" s="3"/>
      <c r="R381" s="3"/>
      <c r="S381" s="3">
        <v>0.31409925222396901</v>
      </c>
      <c r="T381" s="3">
        <v>0.34498068690299999</v>
      </c>
      <c r="U381" s="3">
        <v>0.347489714622498</v>
      </c>
      <c r="W381" t="s">
        <v>50</v>
      </c>
      <c r="X381" t="s">
        <v>51</v>
      </c>
      <c r="Y381" t="s">
        <v>52</v>
      </c>
      <c r="Z381" t="s">
        <v>53</v>
      </c>
      <c r="AC381" s="2">
        <v>0.29979650204390701</v>
      </c>
      <c r="AD381" s="2">
        <v>0.78723907470703103</v>
      </c>
      <c r="AE381" s="2">
        <v>0.17714738845825201</v>
      </c>
      <c r="AF381" s="2">
        <v>9.81910675764084E-2</v>
      </c>
      <c r="AG381" s="2">
        <v>0.12225320190191299</v>
      </c>
      <c r="AH381" s="2">
        <v>-0.14248153567314101</v>
      </c>
      <c r="AI381" s="2">
        <v>-4.2349204421043403E-2</v>
      </c>
      <c r="AJ381" s="2">
        <v>0.31846318069719798</v>
      </c>
      <c r="AK381" s="2">
        <v>0.49933443591663901</v>
      </c>
      <c r="AL381" s="2">
        <v>0.279111708739188</v>
      </c>
      <c r="AM381" s="2">
        <v>0.53926521539688099</v>
      </c>
      <c r="AN381" s="2">
        <v>0.49332702159881597</v>
      </c>
      <c r="AO381" s="2">
        <v>0.30020907521247903</v>
      </c>
      <c r="AP381" s="2"/>
    </row>
    <row r="382" spans="1:42" x14ac:dyDescent="0.3">
      <c r="A382" t="s">
        <v>169</v>
      </c>
      <c r="B382" s="3">
        <v>2017</v>
      </c>
      <c r="C382" s="3">
        <v>30.008354000000001</v>
      </c>
      <c r="D382" s="3">
        <v>1700.14</v>
      </c>
      <c r="E382" t="s">
        <v>170</v>
      </c>
      <c r="G382" s="3">
        <v>154659.171875</v>
      </c>
      <c r="H382" s="3">
        <v>177508.8125</v>
      </c>
      <c r="I382" s="3">
        <v>172682.984375</v>
      </c>
      <c r="J382" s="3">
        <v>170338.046875</v>
      </c>
      <c r="K382" s="3">
        <v>453961.5</v>
      </c>
      <c r="L382" s="3"/>
      <c r="M382" s="3"/>
      <c r="N382" s="3"/>
      <c r="O382" s="3">
        <v>138479.015625</v>
      </c>
      <c r="P382" s="3">
        <v>168615.8125</v>
      </c>
      <c r="Q382" s="3"/>
      <c r="R382" s="3"/>
      <c r="S382" s="3">
        <v>0.32507160305976901</v>
      </c>
      <c r="T382" s="3">
        <v>0.34980818629264798</v>
      </c>
      <c r="U382" s="3">
        <v>0.35462376475334201</v>
      </c>
      <c r="W382" t="s">
        <v>51</v>
      </c>
      <c r="X382" t="s">
        <v>51</v>
      </c>
      <c r="Y382" t="s">
        <v>52</v>
      </c>
      <c r="Z382" t="s">
        <v>53</v>
      </c>
      <c r="AC382" s="2">
        <v>0.241527640120688</v>
      </c>
      <c r="AD382" s="2">
        <v>0.82347625494003296</v>
      </c>
      <c r="AE382" s="2">
        <v>0.134142890572548</v>
      </c>
      <c r="AF382" s="2">
        <v>8.4478072822094005E-2</v>
      </c>
      <c r="AG382" s="2">
        <v>0.15975184738636</v>
      </c>
      <c r="AH382" s="2">
        <v>-0.146747142076492</v>
      </c>
      <c r="AI382" s="2">
        <v>-5.5101901292800903E-2</v>
      </c>
      <c r="AJ382" s="2">
        <v>0.32845974153111801</v>
      </c>
      <c r="AK382" s="2">
        <v>0.51723938480352705</v>
      </c>
      <c r="AL382" s="2">
        <v>0.292044537839587</v>
      </c>
      <c r="AM382" s="2">
        <v>0.527657151222229</v>
      </c>
      <c r="AN382" s="2">
        <v>0.50879442691803001</v>
      </c>
      <c r="AO382" s="2">
        <v>0.30982315540313698</v>
      </c>
      <c r="AP382" s="2"/>
    </row>
    <row r="383" spans="1:42" x14ac:dyDescent="0.3">
      <c r="A383" t="s">
        <v>169</v>
      </c>
      <c r="B383" s="3">
        <v>2018</v>
      </c>
      <c r="C383" s="3">
        <v>30.637585000000001</v>
      </c>
      <c r="D383" s="3">
        <v>1690.53</v>
      </c>
      <c r="E383" t="s">
        <v>170</v>
      </c>
      <c r="G383" s="3">
        <v>155090.765625</v>
      </c>
      <c r="H383" s="3">
        <v>183895.296875</v>
      </c>
      <c r="I383" s="3">
        <v>181986.765625</v>
      </c>
      <c r="J383" s="3">
        <v>176606.515625</v>
      </c>
      <c r="K383" s="3">
        <v>511168.59375</v>
      </c>
      <c r="L383" s="3"/>
      <c r="M383" s="3"/>
      <c r="N383" s="3"/>
      <c r="O383" s="3">
        <v>143509.5625</v>
      </c>
      <c r="P383" s="3">
        <v>177465.3125</v>
      </c>
      <c r="Q383" s="3"/>
      <c r="R383" s="3"/>
      <c r="S383" s="3">
        <v>0.34427934885025002</v>
      </c>
      <c r="T383" s="3">
        <v>0.36980116367340099</v>
      </c>
      <c r="U383" s="3">
        <v>0.38106700778007502</v>
      </c>
      <c r="W383" t="s">
        <v>50</v>
      </c>
      <c r="X383" t="s">
        <v>51</v>
      </c>
      <c r="Y383" t="s">
        <v>52</v>
      </c>
      <c r="Z383" t="s">
        <v>53</v>
      </c>
      <c r="AC383" s="2">
        <v>0.23929314445876099</v>
      </c>
      <c r="AD383" s="2">
        <v>0.78061968088150002</v>
      </c>
      <c r="AE383" s="2">
        <v>0.16310009360313399</v>
      </c>
      <c r="AF383" s="2">
        <v>9.7551546990871402E-2</v>
      </c>
      <c r="AG383" s="2">
        <v>0.17640364170074499</v>
      </c>
      <c r="AH383" s="2">
        <v>-0.12963640689849901</v>
      </c>
      <c r="AI383" s="2">
        <v>-8.8038541376590701E-2</v>
      </c>
      <c r="AJ383" s="2">
        <v>0.35262018371648701</v>
      </c>
      <c r="AK383" s="2">
        <v>0.50721683287778496</v>
      </c>
      <c r="AL383" s="2">
        <v>0.27753504473225399</v>
      </c>
      <c r="AM383" s="2">
        <v>0.54887235164642301</v>
      </c>
      <c r="AN383" s="2">
        <v>0.51891946792602495</v>
      </c>
      <c r="AO383" s="2">
        <v>0.31625324487686202</v>
      </c>
      <c r="AP383" s="2"/>
    </row>
    <row r="384" spans="1:42" x14ac:dyDescent="0.3">
      <c r="A384" t="s">
        <v>169</v>
      </c>
      <c r="B384" s="3">
        <v>2019</v>
      </c>
      <c r="C384" s="3">
        <v>31.258945000000001</v>
      </c>
      <c r="D384" s="3">
        <v>1680.87</v>
      </c>
      <c r="E384" t="s">
        <v>170</v>
      </c>
      <c r="G384" s="3">
        <v>172952.328125</v>
      </c>
      <c r="H384" s="3">
        <v>201198.203125</v>
      </c>
      <c r="I384" s="3">
        <v>197397.125</v>
      </c>
      <c r="J384" s="3">
        <v>189985.125</v>
      </c>
      <c r="K384" s="3">
        <v>546803.4375</v>
      </c>
      <c r="L384" s="3"/>
      <c r="M384" s="3"/>
      <c r="N384" s="3"/>
      <c r="O384" s="3">
        <v>162604.34375</v>
      </c>
      <c r="P384" s="3">
        <v>192363.3125</v>
      </c>
      <c r="Q384" s="3"/>
      <c r="R384" s="3"/>
      <c r="S384" s="3">
        <v>0.329054355621338</v>
      </c>
      <c r="T384" s="3">
        <v>0.34619536995887801</v>
      </c>
      <c r="U384" s="3">
        <v>0.35970166325569197</v>
      </c>
      <c r="W384" t="s">
        <v>50</v>
      </c>
      <c r="X384" t="s">
        <v>54</v>
      </c>
      <c r="Y384" t="s">
        <v>52</v>
      </c>
      <c r="Z384" t="s">
        <v>53</v>
      </c>
      <c r="AC384" s="2">
        <v>0.243064274472401</v>
      </c>
      <c r="AD384" s="2">
        <v>0.80655360221862804</v>
      </c>
      <c r="AE384" s="2">
        <v>0.14867414534091999</v>
      </c>
      <c r="AF384" s="2">
        <v>0.103793106973171</v>
      </c>
      <c r="AG384" s="2">
        <v>0.159224659204483</v>
      </c>
      <c r="AH384" s="2">
        <v>-0.106383889913559</v>
      </c>
      <c r="AI384" s="2">
        <v>-0.11186164617538499</v>
      </c>
      <c r="AJ384" s="2">
        <v>0.33998860888897398</v>
      </c>
      <c r="AK384" s="2">
        <v>0.45115152485292798</v>
      </c>
      <c r="AL384" s="2">
        <v>0.244086767858507</v>
      </c>
      <c r="AM384" s="2">
        <v>0.55431735515594505</v>
      </c>
      <c r="AN384" s="2">
        <v>0.51653116941452004</v>
      </c>
      <c r="AO384" s="2">
        <v>0.29238986968994102</v>
      </c>
      <c r="AP384" s="2"/>
    </row>
    <row r="385" spans="1:42" x14ac:dyDescent="0.3">
      <c r="A385" t="s">
        <v>169</v>
      </c>
      <c r="B385" s="3">
        <v>2020</v>
      </c>
      <c r="C385" s="3">
        <v>31.887809000000001</v>
      </c>
      <c r="D385" s="3">
        <v>1629.93</v>
      </c>
      <c r="E385" t="s">
        <v>170</v>
      </c>
      <c r="G385" s="3">
        <v>173353.953125</v>
      </c>
      <c r="H385" s="3">
        <v>202532.203125</v>
      </c>
      <c r="I385" s="3">
        <v>195636.671875</v>
      </c>
      <c r="J385" s="3">
        <v>189935.234375</v>
      </c>
      <c r="K385" s="3">
        <v>558655.9375</v>
      </c>
      <c r="L385" s="3"/>
      <c r="M385" s="3"/>
      <c r="N385" s="3"/>
      <c r="O385" s="3">
        <v>166485.8125</v>
      </c>
      <c r="P385" s="3">
        <v>196548.90625</v>
      </c>
      <c r="Q385" s="3"/>
      <c r="R385" s="3"/>
      <c r="S385" s="3">
        <v>0.344655871391296</v>
      </c>
      <c r="T385" s="3">
        <v>0.35802641510963401</v>
      </c>
      <c r="U385" s="3">
        <v>0.36877357959747298</v>
      </c>
      <c r="W385" t="s">
        <v>50</v>
      </c>
      <c r="X385" t="s">
        <v>54</v>
      </c>
      <c r="Y385" t="s">
        <v>52</v>
      </c>
      <c r="Z385" t="s">
        <v>53</v>
      </c>
      <c r="AC385" s="2">
        <v>0.245914650827424</v>
      </c>
      <c r="AD385" s="2">
        <v>0.79066109657287598</v>
      </c>
      <c r="AE385" s="2">
        <v>0.153622075915337</v>
      </c>
      <c r="AF385" s="2">
        <v>0.12203923612832999</v>
      </c>
      <c r="AG385" s="2">
        <v>0.13522227108478499</v>
      </c>
      <c r="AH385" s="2">
        <v>-9.5727637410163893E-2</v>
      </c>
      <c r="AI385" s="2">
        <v>-0.105817019939423</v>
      </c>
      <c r="AJ385" s="2">
        <v>0.36131785457037002</v>
      </c>
      <c r="AK385" s="2">
        <v>0.43746360902633502</v>
      </c>
      <c r="AL385" s="2">
        <v>0.23670704788142399</v>
      </c>
      <c r="AM385" s="2">
        <v>0.56331533193588301</v>
      </c>
      <c r="AN385" s="2">
        <v>0.52386397123336803</v>
      </c>
      <c r="AO385" s="2">
        <v>0.291034996509552</v>
      </c>
      <c r="AP385" s="2"/>
    </row>
    <row r="386" spans="1:42" x14ac:dyDescent="0.3">
      <c r="A386" t="s">
        <v>171</v>
      </c>
      <c r="B386" s="3">
        <v>2015</v>
      </c>
      <c r="C386" s="3">
        <v>11.76707</v>
      </c>
      <c r="D386" s="3"/>
      <c r="E386" t="s">
        <v>172</v>
      </c>
      <c r="G386" s="3">
        <v>29362.5234375</v>
      </c>
      <c r="H386" s="3">
        <v>32913.87890625</v>
      </c>
      <c r="I386" s="3">
        <v>25426.140625</v>
      </c>
      <c r="J386" s="3">
        <v>25703.484375</v>
      </c>
      <c r="K386" s="3">
        <v>43712.69140625</v>
      </c>
      <c r="L386" s="3">
        <v>6.24329666607082E-4</v>
      </c>
      <c r="M386" s="3"/>
      <c r="N386" s="3"/>
      <c r="O386" s="3">
        <v>37473.0078125</v>
      </c>
      <c r="P386" s="3">
        <v>41658.99609375</v>
      </c>
      <c r="Q386" s="3"/>
      <c r="R386" s="3">
        <v>0.38948076963424699</v>
      </c>
      <c r="S386" s="3">
        <v>0.31533497571945202</v>
      </c>
      <c r="T386" s="3">
        <v>0.34587249159812899</v>
      </c>
      <c r="U386" s="3">
        <v>0.34214052557945301</v>
      </c>
      <c r="W386" t="s">
        <v>50</v>
      </c>
      <c r="X386" t="s">
        <v>51</v>
      </c>
      <c r="Y386" t="s">
        <v>52</v>
      </c>
      <c r="Z386" t="s">
        <v>53</v>
      </c>
      <c r="AA386" t="s">
        <v>53</v>
      </c>
      <c r="AC386" s="2">
        <v>0.40565932112803099</v>
      </c>
      <c r="AD386" s="2">
        <v>0.88924247026443504</v>
      </c>
      <c r="AE386" s="2">
        <v>0.13816636800766</v>
      </c>
      <c r="AF386" s="2">
        <v>0.25311326980590798</v>
      </c>
      <c r="AG386" s="2">
        <v>0.11028216034174</v>
      </c>
      <c r="AH386" s="2">
        <v>-0.16055826842784901</v>
      </c>
      <c r="AI386" s="2">
        <v>-0.230246052145958</v>
      </c>
      <c r="AJ386" s="2">
        <v>0.33005715373010602</v>
      </c>
      <c r="AK386" s="2">
        <v>0.59835585173587302</v>
      </c>
      <c r="AL386" s="2">
        <v>0.26361269773374202</v>
      </c>
      <c r="AM386" s="2">
        <v>0.55515956878662098</v>
      </c>
      <c r="AN386" s="2">
        <v>0.51822048425674405</v>
      </c>
      <c r="AO386" s="2">
        <v>0.36292091012000999</v>
      </c>
      <c r="AP386" s="2">
        <v>1.1489572525024401</v>
      </c>
    </row>
    <row r="387" spans="1:42" x14ac:dyDescent="0.3">
      <c r="A387" t="s">
        <v>171</v>
      </c>
      <c r="B387" s="3">
        <v>2016</v>
      </c>
      <c r="C387" s="3">
        <v>12.073029999999999</v>
      </c>
      <c r="D387" s="3"/>
      <c r="E387" t="s">
        <v>172</v>
      </c>
      <c r="G387" s="3">
        <v>32525.43359375</v>
      </c>
      <c r="H387" s="3">
        <v>41215.70703125</v>
      </c>
      <c r="I387" s="3">
        <v>26921.400390625</v>
      </c>
      <c r="J387" s="3">
        <v>27546.49609375</v>
      </c>
      <c r="K387" s="3">
        <v>56528.63671875</v>
      </c>
      <c r="L387" s="3">
        <v>7.7500229235738505E-4</v>
      </c>
      <c r="M387" s="3"/>
      <c r="N387" s="3"/>
      <c r="O387" s="3">
        <v>39697.17578125</v>
      </c>
      <c r="P387" s="3">
        <v>54284.80859375</v>
      </c>
      <c r="Q387" s="3"/>
      <c r="R387" s="3">
        <v>0.33271253108978299</v>
      </c>
      <c r="S387" s="3">
        <v>0.26541155576705899</v>
      </c>
      <c r="T387" s="3">
        <v>0.31929820775985701</v>
      </c>
      <c r="U387" s="3">
        <v>0.31205257773399397</v>
      </c>
      <c r="W387" t="s">
        <v>50</v>
      </c>
      <c r="X387" t="s">
        <v>51</v>
      </c>
      <c r="Y387" t="s">
        <v>52</v>
      </c>
      <c r="Z387" t="s">
        <v>53</v>
      </c>
      <c r="AA387" t="s">
        <v>53</v>
      </c>
      <c r="AC387" s="2">
        <v>0.382552224827234</v>
      </c>
      <c r="AD387" s="2">
        <v>0.94453531503677401</v>
      </c>
      <c r="AE387" s="2">
        <v>0.31547647714614901</v>
      </c>
      <c r="AF387" s="2">
        <v>0.23621138930320701</v>
      </c>
      <c r="AG387" s="2">
        <v>0.15830397605895999</v>
      </c>
      <c r="AH387" s="2">
        <v>-0.247867986559868</v>
      </c>
      <c r="AI387" s="2">
        <v>-0.406659126281738</v>
      </c>
      <c r="AJ387" s="2">
        <v>0.27600690385028798</v>
      </c>
      <c r="AK387" s="2">
        <v>0.52098212307596403</v>
      </c>
      <c r="AL387" s="2">
        <v>0.22304402367656301</v>
      </c>
      <c r="AM387" s="2">
        <v>0.54911315441131603</v>
      </c>
      <c r="AN387" s="2">
        <v>0.50719165802001998</v>
      </c>
      <c r="AO387" s="2">
        <v>0.31612911820411699</v>
      </c>
      <c r="AP387" s="2">
        <v>0.95800429582595803</v>
      </c>
    </row>
    <row r="388" spans="1:42" x14ac:dyDescent="0.3">
      <c r="A388" t="s">
        <v>171</v>
      </c>
      <c r="B388" s="3">
        <v>2017</v>
      </c>
      <c r="C388" s="3">
        <v>12.385659</v>
      </c>
      <c r="D388" s="3"/>
      <c r="E388" t="s">
        <v>172</v>
      </c>
      <c r="G388" s="3">
        <v>34921.88671875</v>
      </c>
      <c r="H388" s="3">
        <v>39404.48828125</v>
      </c>
      <c r="I388" s="3">
        <v>35204.2578125</v>
      </c>
      <c r="J388" s="3">
        <v>32753.115234375</v>
      </c>
      <c r="K388" s="3">
        <v>64439.37890625</v>
      </c>
      <c r="L388" s="3">
        <v>8.6172140436247002E-4</v>
      </c>
      <c r="M388" s="3"/>
      <c r="N388" s="3"/>
      <c r="O388" s="3">
        <v>40149.234375</v>
      </c>
      <c r="P388" s="3">
        <v>44425.95703125</v>
      </c>
      <c r="Q388" s="3"/>
      <c r="R388" s="3">
        <v>0.37544688582420399</v>
      </c>
      <c r="S388" s="3">
        <v>0.26508194208145103</v>
      </c>
      <c r="T388" s="3">
        <v>0.29327896237373402</v>
      </c>
      <c r="U388" s="3">
        <v>0.315227061510086</v>
      </c>
      <c r="W388" t="s">
        <v>51</v>
      </c>
      <c r="X388" t="s">
        <v>51</v>
      </c>
      <c r="Y388" t="s">
        <v>52</v>
      </c>
      <c r="Z388" t="s">
        <v>53</v>
      </c>
      <c r="AA388" t="s">
        <v>53</v>
      </c>
      <c r="AC388" s="2">
        <v>0.348317421784756</v>
      </c>
      <c r="AD388" s="2">
        <v>0.85588330030441295</v>
      </c>
      <c r="AE388" s="2">
        <v>0.136860355734825</v>
      </c>
      <c r="AF388" s="2">
        <v>0.21033245325088501</v>
      </c>
      <c r="AG388" s="2">
        <v>0.23439145088195801</v>
      </c>
      <c r="AH388" s="2">
        <v>-0.17104931175708801</v>
      </c>
      <c r="AI388" s="2">
        <v>-0.26641827821731601</v>
      </c>
      <c r="AJ388" s="2">
        <v>0.27396302602422601</v>
      </c>
      <c r="AK388" s="2">
        <v>0.51294898532022504</v>
      </c>
      <c r="AL388" s="2">
        <v>0.228943045204138</v>
      </c>
      <c r="AM388" s="2">
        <v>0.56964319944381703</v>
      </c>
      <c r="AN388" s="2">
        <v>0.50948524475097701</v>
      </c>
      <c r="AO388" s="2">
        <v>0.31180152297019997</v>
      </c>
      <c r="AP388" s="2">
        <v>0.93362408876419101</v>
      </c>
    </row>
    <row r="389" spans="1:42" x14ac:dyDescent="0.3">
      <c r="A389" t="s">
        <v>171</v>
      </c>
      <c r="B389" s="3">
        <v>2018</v>
      </c>
      <c r="C389" s="3">
        <v>12.704774</v>
      </c>
      <c r="D389" s="3"/>
      <c r="E389" t="s">
        <v>172</v>
      </c>
      <c r="G389" s="3">
        <v>37637.19140625</v>
      </c>
      <c r="H389" s="3">
        <v>42017.8671875</v>
      </c>
      <c r="I389" s="3">
        <v>38701.203125</v>
      </c>
      <c r="J389" s="3">
        <v>35944.75</v>
      </c>
      <c r="K389" s="3">
        <v>66453.5625</v>
      </c>
      <c r="L389" s="3">
        <v>8.3287997404113401E-4</v>
      </c>
      <c r="M389" s="3"/>
      <c r="N389" s="3"/>
      <c r="O389" s="3">
        <v>41908.58984375</v>
      </c>
      <c r="P389" s="3">
        <v>45753.1875</v>
      </c>
      <c r="Q389" s="3"/>
      <c r="R389" s="3">
        <v>0.37352436780929599</v>
      </c>
      <c r="S389" s="3">
        <v>0.280452311038971</v>
      </c>
      <c r="T389" s="3">
        <v>0.30637365579605103</v>
      </c>
      <c r="U389" s="3">
        <v>0.32986822724342302</v>
      </c>
      <c r="W389" t="s">
        <v>50</v>
      </c>
      <c r="X389" t="s">
        <v>51</v>
      </c>
      <c r="Y389" t="s">
        <v>52</v>
      </c>
      <c r="Z389" t="s">
        <v>53</v>
      </c>
      <c r="AA389" t="s">
        <v>53</v>
      </c>
      <c r="AC389" s="2">
        <v>0.37852153706505698</v>
      </c>
      <c r="AD389" s="2">
        <v>0.82749581336975098</v>
      </c>
      <c r="AE389" s="2">
        <v>0.12187243998050699</v>
      </c>
      <c r="AF389" s="2">
        <v>0.21958875656127899</v>
      </c>
      <c r="AG389" s="2">
        <v>0.21232001483440399</v>
      </c>
      <c r="AH389" s="2">
        <v>-0.15253059566020999</v>
      </c>
      <c r="AI389" s="2">
        <v>-0.22874641418457001</v>
      </c>
      <c r="AJ389" s="2">
        <v>0.29315845776448501</v>
      </c>
      <c r="AK389" s="2">
        <v>0.52908087949099503</v>
      </c>
      <c r="AL389" s="2">
        <v>0.232570570187729</v>
      </c>
      <c r="AM389" s="2">
        <v>0.59245008230209395</v>
      </c>
      <c r="AN389" s="2">
        <v>0.51532149314880404</v>
      </c>
      <c r="AO389" s="2">
        <v>0.32774540781974798</v>
      </c>
      <c r="AP389" s="2">
        <v>1.0545409917831401</v>
      </c>
    </row>
    <row r="390" spans="1:42" x14ac:dyDescent="0.3">
      <c r="A390" t="s">
        <v>171</v>
      </c>
      <c r="B390" s="3">
        <v>2019</v>
      </c>
      <c r="C390" s="3">
        <v>13.034345999999999</v>
      </c>
      <c r="D390" s="3"/>
      <c r="E390" t="s">
        <v>172</v>
      </c>
      <c r="G390" s="3">
        <v>41395.296875</v>
      </c>
      <c r="H390" s="3">
        <v>46310.31640625</v>
      </c>
      <c r="I390" s="3">
        <v>42748.96875</v>
      </c>
      <c r="J390" s="3">
        <v>40234.64453125</v>
      </c>
      <c r="K390" s="3">
        <v>72458.7578125</v>
      </c>
      <c r="L390" s="3">
        <v>8.7431160500273098E-4</v>
      </c>
      <c r="M390" s="3"/>
      <c r="N390" s="3"/>
      <c r="O390" s="3">
        <v>43993.27734375</v>
      </c>
      <c r="P390" s="3">
        <v>48101.6171875</v>
      </c>
      <c r="Q390" s="3"/>
      <c r="R390" s="3">
        <v>0.42157411575317399</v>
      </c>
      <c r="S390" s="3">
        <v>0.28773155808448803</v>
      </c>
      <c r="T390" s="3">
        <v>0.31446158885955799</v>
      </c>
      <c r="U390" s="3">
        <v>0.33411273360252403</v>
      </c>
      <c r="W390" t="s">
        <v>50</v>
      </c>
      <c r="X390" t="s">
        <v>54</v>
      </c>
      <c r="Y390" t="s">
        <v>52</v>
      </c>
      <c r="Z390" t="s">
        <v>53</v>
      </c>
      <c r="AA390" t="s">
        <v>53</v>
      </c>
      <c r="AC390" s="2">
        <v>0.37275375747700901</v>
      </c>
      <c r="AD390" s="2">
        <v>0.81331324577331499</v>
      </c>
      <c r="AE390" s="2">
        <v>0.12215893715620001</v>
      </c>
      <c r="AF390" s="2">
        <v>0.215533778071404</v>
      </c>
      <c r="AG390" s="2">
        <v>0.18740618228912401</v>
      </c>
      <c r="AH390" s="2">
        <v>-0.134645015001297</v>
      </c>
      <c r="AI390" s="2">
        <v>-0.203767210245132</v>
      </c>
      <c r="AJ390" s="2">
        <v>0.30070922228143299</v>
      </c>
      <c r="AK390" s="2">
        <v>0.53958720454806697</v>
      </c>
      <c r="AL390" s="2">
        <v>0.23876051040347299</v>
      </c>
      <c r="AM390" s="2">
        <v>0.59251129627227805</v>
      </c>
      <c r="AN390" s="2">
        <v>0.52577859163284302</v>
      </c>
      <c r="AO390" s="2">
        <v>0.330316781997681</v>
      </c>
      <c r="AP390" s="2">
        <v>1.01155865192413</v>
      </c>
    </row>
    <row r="391" spans="1:42" x14ac:dyDescent="0.3">
      <c r="A391" t="s">
        <v>171</v>
      </c>
      <c r="B391" s="3">
        <v>2020</v>
      </c>
      <c r="C391" s="3">
        <v>13.371183</v>
      </c>
      <c r="D391" s="3"/>
      <c r="E391" t="s">
        <v>172</v>
      </c>
      <c r="G391" s="3">
        <v>44451.35546875</v>
      </c>
      <c r="H391" s="3">
        <v>52591.03515625</v>
      </c>
      <c r="I391" s="3">
        <v>43169.109375</v>
      </c>
      <c r="J391" s="3">
        <v>41908.2734375</v>
      </c>
      <c r="K391" s="3">
        <v>74070.5078125</v>
      </c>
      <c r="L391" s="3">
        <v>8.3729124162346103E-4</v>
      </c>
      <c r="M391" s="3"/>
      <c r="N391" s="3"/>
      <c r="O391" s="3">
        <v>45098.61328125</v>
      </c>
      <c r="P391" s="3">
        <v>55773.1484375</v>
      </c>
      <c r="Q391" s="3"/>
      <c r="R391" s="3">
        <v>0.42157411575317399</v>
      </c>
      <c r="S391" s="3">
        <v>0.28623175621032698</v>
      </c>
      <c r="T391" s="3">
        <v>0.326360523700714</v>
      </c>
      <c r="U391" s="3">
        <v>0.33617928624153098</v>
      </c>
      <c r="W391" t="s">
        <v>50</v>
      </c>
      <c r="X391" t="s">
        <v>54</v>
      </c>
      <c r="Y391" t="s">
        <v>52</v>
      </c>
      <c r="Z391" t="s">
        <v>53</v>
      </c>
      <c r="AA391" t="s">
        <v>53</v>
      </c>
      <c r="AC391" s="2">
        <v>0.37130692489292</v>
      </c>
      <c r="AD391" s="2">
        <v>0.81671214103698697</v>
      </c>
      <c r="AE391" s="2">
        <v>0.19422611594200101</v>
      </c>
      <c r="AF391" s="2">
        <v>0.243969947099686</v>
      </c>
      <c r="AG391" s="2">
        <v>0.27351453900337203</v>
      </c>
      <c r="AH391" s="2">
        <v>-0.20077383518219</v>
      </c>
      <c r="AI391" s="2">
        <v>-0.32764890789985701</v>
      </c>
      <c r="AJ391" s="2">
        <v>0.30005829639093901</v>
      </c>
      <c r="AK391" s="2">
        <v>0.54550653087896706</v>
      </c>
      <c r="AL391" s="2">
        <v>0.23994616600591201</v>
      </c>
      <c r="AM391" s="2">
        <v>0.54753130674362205</v>
      </c>
      <c r="AN391" s="2">
        <v>0.56273376941680897</v>
      </c>
      <c r="AO391" s="2">
        <v>0.32697436213493303</v>
      </c>
      <c r="AP391" s="2">
        <v>1.1557577848434399</v>
      </c>
    </row>
    <row r="392" spans="1:42" x14ac:dyDescent="0.3">
      <c r="A392" t="s">
        <v>173</v>
      </c>
      <c r="B392" s="3">
        <v>2015</v>
      </c>
      <c r="C392" s="3">
        <v>2.224529</v>
      </c>
      <c r="D392" s="3"/>
      <c r="E392" t="s">
        <v>174</v>
      </c>
      <c r="G392" s="3">
        <v>4676.8193359375</v>
      </c>
      <c r="H392" s="3">
        <v>5321.193359375</v>
      </c>
      <c r="I392" s="3">
        <v>4822.6494140625</v>
      </c>
      <c r="J392" s="3">
        <v>5347.4638671875</v>
      </c>
      <c r="K392" s="3">
        <v>14206.5654296875</v>
      </c>
      <c r="L392" s="3"/>
      <c r="M392" s="3"/>
      <c r="N392" s="3"/>
      <c r="O392" s="3">
        <v>5333.20947265625</v>
      </c>
      <c r="P392" s="3">
        <v>5650.9150390625</v>
      </c>
      <c r="Q392" s="3"/>
      <c r="R392" s="3"/>
      <c r="S392" s="3">
        <v>0.26517847180366499</v>
      </c>
      <c r="T392" s="3">
        <v>0.28577187657356301</v>
      </c>
      <c r="U392" s="3">
        <v>0.25772547721862799</v>
      </c>
      <c r="W392" t="s">
        <v>50</v>
      </c>
      <c r="X392" t="s">
        <v>51</v>
      </c>
      <c r="Y392" t="s">
        <v>52</v>
      </c>
      <c r="Z392" t="s">
        <v>53</v>
      </c>
      <c r="AC392" s="2">
        <v>0.365516823710345</v>
      </c>
      <c r="AD392" s="2">
        <v>0.77355331182479903</v>
      </c>
      <c r="AE392" s="2">
        <v>0.120500832796097</v>
      </c>
      <c r="AF392" s="2">
        <v>0.10103309154510499</v>
      </c>
      <c r="AG392" s="2">
        <v>2.7877721935510601E-2</v>
      </c>
      <c r="AH392" s="2">
        <v>-0.143183648586273</v>
      </c>
      <c r="AI392" s="2">
        <v>0.12021862715482701</v>
      </c>
      <c r="AJ392" s="2">
        <v>0.272071457397562</v>
      </c>
      <c r="AK392" s="2">
        <v>0.435237241884184</v>
      </c>
      <c r="AL392" s="2">
        <v>0.21240274717420499</v>
      </c>
      <c r="AM392" s="2">
        <v>0.55893981456756603</v>
      </c>
      <c r="AN392" s="2">
        <v>0.51128649711608898</v>
      </c>
      <c r="AO392" s="2">
        <v>0.26460468769073497</v>
      </c>
      <c r="AP392" s="2"/>
    </row>
    <row r="393" spans="1:42" x14ac:dyDescent="0.3">
      <c r="A393" t="s">
        <v>173</v>
      </c>
      <c r="B393" s="3">
        <v>2016</v>
      </c>
      <c r="C393" s="3">
        <v>2.2837689999999999</v>
      </c>
      <c r="D393" s="3"/>
      <c r="E393" t="s">
        <v>174</v>
      </c>
      <c r="G393" s="3">
        <v>4699.98681640625</v>
      </c>
      <c r="H393" s="3">
        <v>5503.00732421875</v>
      </c>
      <c r="I393" s="3">
        <v>4898.1083984375</v>
      </c>
      <c r="J393" s="3">
        <v>5353.71533203125</v>
      </c>
      <c r="K393" s="3">
        <v>13706.2578125</v>
      </c>
      <c r="L393" s="3"/>
      <c r="M393" s="3"/>
      <c r="N393" s="3"/>
      <c r="O393" s="3">
        <v>5379.8251953125</v>
      </c>
      <c r="P393" s="3">
        <v>6033.546875</v>
      </c>
      <c r="Q393" s="3"/>
      <c r="R393" s="3"/>
      <c r="S393" s="3">
        <v>0.27616304159164401</v>
      </c>
      <c r="T393" s="3">
        <v>0.30309209227562001</v>
      </c>
      <c r="U393" s="3">
        <v>0.27729865908622697</v>
      </c>
      <c r="W393" t="s">
        <v>50</v>
      </c>
      <c r="X393" t="s">
        <v>51</v>
      </c>
      <c r="Y393" t="s">
        <v>52</v>
      </c>
      <c r="Z393" t="s">
        <v>53</v>
      </c>
      <c r="AC393" s="2">
        <v>0.37123040954322201</v>
      </c>
      <c r="AD393" s="2">
        <v>0.77218651771545399</v>
      </c>
      <c r="AE393" s="2">
        <v>0.149993121623993</v>
      </c>
      <c r="AF393" s="2">
        <v>0.105705969035625</v>
      </c>
      <c r="AG393" s="2">
        <v>1.1287269182503199E-2</v>
      </c>
      <c r="AH393" s="2">
        <v>-0.13938507437705999</v>
      </c>
      <c r="AI393" s="2">
        <v>0.100212149322033</v>
      </c>
      <c r="AJ393" s="2">
        <v>0.28363497417828698</v>
      </c>
      <c r="AK393" s="2">
        <v>0.46070480570508499</v>
      </c>
      <c r="AL393" s="2">
        <v>0.22158031547527099</v>
      </c>
      <c r="AM393" s="2">
        <v>0.56745994091033902</v>
      </c>
      <c r="AN393" s="2">
        <v>0.49100771546363797</v>
      </c>
      <c r="AO393" s="2">
        <v>0.28439363837242099</v>
      </c>
      <c r="AP393" s="2"/>
    </row>
    <row r="394" spans="1:42" x14ac:dyDescent="0.3">
      <c r="A394" t="s">
        <v>173</v>
      </c>
      <c r="B394" s="3">
        <v>2017</v>
      </c>
      <c r="C394" s="3">
        <v>2.3421889999999999</v>
      </c>
      <c r="D394" s="3"/>
      <c r="E394" t="s">
        <v>174</v>
      </c>
      <c r="G394" s="3">
        <v>4944.9951171875</v>
      </c>
      <c r="H394" s="3">
        <v>5698.16455078125</v>
      </c>
      <c r="I394" s="3">
        <v>4876.4765625</v>
      </c>
      <c r="J394" s="3">
        <v>5510.96435546875</v>
      </c>
      <c r="K394" s="3">
        <v>13305.259765625</v>
      </c>
      <c r="L394" s="3"/>
      <c r="M394" s="3"/>
      <c r="N394" s="3"/>
      <c r="O394" s="3">
        <v>5811.37841796875</v>
      </c>
      <c r="P394" s="3">
        <v>6396.47021484375</v>
      </c>
      <c r="Q394" s="3"/>
      <c r="R394" s="3"/>
      <c r="S394" s="3">
        <v>0.285736054182053</v>
      </c>
      <c r="T394" s="3">
        <v>0.30860593914985701</v>
      </c>
      <c r="U394" s="3">
        <v>0.27307558059692399</v>
      </c>
      <c r="W394" t="s">
        <v>51</v>
      </c>
      <c r="X394" t="s">
        <v>51</v>
      </c>
      <c r="Y394" t="s">
        <v>52</v>
      </c>
      <c r="Z394" t="s">
        <v>53</v>
      </c>
      <c r="AC394" s="2">
        <v>0.349033640110194</v>
      </c>
      <c r="AD394" s="2">
        <v>0.80073434114456199</v>
      </c>
      <c r="AE394" s="2">
        <v>0.136667430400848</v>
      </c>
      <c r="AF394" s="2">
        <v>9.6566900610923795E-2</v>
      </c>
      <c r="AG394" s="2">
        <v>4.4109583832323603E-3</v>
      </c>
      <c r="AH394" s="2">
        <v>-0.16683933138847401</v>
      </c>
      <c r="AI394" s="2">
        <v>0.128459692001343</v>
      </c>
      <c r="AJ394" s="2">
        <v>0.29336680109684099</v>
      </c>
      <c r="AK394" s="2">
        <v>0.45876012339085198</v>
      </c>
      <c r="AL394" s="2">
        <v>0.22246172072512599</v>
      </c>
      <c r="AM394" s="2">
        <v>0.56802332401275601</v>
      </c>
      <c r="AN394" s="2">
        <v>0.50106912851333596</v>
      </c>
      <c r="AO394" s="2">
        <v>0.28834408521652199</v>
      </c>
      <c r="AP394" s="2"/>
    </row>
    <row r="395" spans="1:42" x14ac:dyDescent="0.3">
      <c r="A395" t="s">
        <v>173</v>
      </c>
      <c r="B395" s="3">
        <v>2018</v>
      </c>
      <c r="C395" s="3">
        <v>2.399632</v>
      </c>
      <c r="D395" s="3"/>
      <c r="E395" t="s">
        <v>174</v>
      </c>
      <c r="G395" s="3">
        <v>5652.65380859375</v>
      </c>
      <c r="H395" s="3">
        <v>6401.193359375</v>
      </c>
      <c r="I395" s="3">
        <v>5498.82080078125</v>
      </c>
      <c r="J395" s="3">
        <v>6145.75146484375</v>
      </c>
      <c r="K395" s="3">
        <v>13135.9697265625</v>
      </c>
      <c r="L395" s="3"/>
      <c r="M395" s="3"/>
      <c r="N395" s="3"/>
      <c r="O395" s="3">
        <v>6347.2470703125</v>
      </c>
      <c r="P395" s="3">
        <v>6896.96435546875</v>
      </c>
      <c r="Q395" s="3"/>
      <c r="R395" s="3"/>
      <c r="S395" s="3">
        <v>0.28173360228538502</v>
      </c>
      <c r="T395" s="3">
        <v>0.30327969789504999</v>
      </c>
      <c r="U395" s="3">
        <v>0.27135509252548201</v>
      </c>
      <c r="W395" t="s">
        <v>50</v>
      </c>
      <c r="X395" t="s">
        <v>51</v>
      </c>
      <c r="Y395" t="s">
        <v>52</v>
      </c>
      <c r="Z395" t="s">
        <v>53</v>
      </c>
      <c r="AC395" s="2">
        <v>0.34337947061978302</v>
      </c>
      <c r="AD395" s="2">
        <v>0.83232104778289795</v>
      </c>
      <c r="AE395" s="2">
        <v>0.12179785966873199</v>
      </c>
      <c r="AF395" s="2">
        <v>8.7445057928562206E-2</v>
      </c>
      <c r="AG395" s="2">
        <v>3.2578909303993E-3</v>
      </c>
      <c r="AH395" s="2">
        <v>-0.15343974530696899</v>
      </c>
      <c r="AI395" s="2">
        <v>0.10861786454916</v>
      </c>
      <c r="AJ395" s="2">
        <v>0.28904281273606702</v>
      </c>
      <c r="AK395" s="2">
        <v>0.46598689259177201</v>
      </c>
      <c r="AL395" s="2">
        <v>0.212162936681422</v>
      </c>
      <c r="AM395" s="2">
        <v>0.57078999280929599</v>
      </c>
      <c r="AN395" s="2">
        <v>0.49442037940025302</v>
      </c>
      <c r="AO395" s="2">
        <v>0.29978168010711698</v>
      </c>
      <c r="AP395" s="2"/>
    </row>
    <row r="396" spans="1:42" x14ac:dyDescent="0.3">
      <c r="A396" t="s">
        <v>173</v>
      </c>
      <c r="B396" s="3">
        <v>2019</v>
      </c>
      <c r="C396" s="3">
        <v>2.4568439999999998</v>
      </c>
      <c r="D396" s="3"/>
      <c r="E396" t="s">
        <v>174</v>
      </c>
      <c r="G396" s="3">
        <v>6175.11865234375</v>
      </c>
      <c r="H396" s="3">
        <v>7142.205078125</v>
      </c>
      <c r="I396" s="3">
        <v>5986.58544921875</v>
      </c>
      <c r="J396" s="3">
        <v>6517.6015625</v>
      </c>
      <c r="K396" s="3">
        <v>13202.0712890625</v>
      </c>
      <c r="L396" s="3"/>
      <c r="M396" s="3"/>
      <c r="N396" s="3"/>
      <c r="O396" s="3">
        <v>6654.02734375</v>
      </c>
      <c r="P396" s="3">
        <v>7521.66015625</v>
      </c>
      <c r="Q396" s="3"/>
      <c r="R396" s="3"/>
      <c r="S396" s="3">
        <v>0.27798250317573597</v>
      </c>
      <c r="T396" s="3">
        <v>0.30294573307037398</v>
      </c>
      <c r="U396" s="3">
        <v>0.278263449668884</v>
      </c>
      <c r="W396" t="s">
        <v>50</v>
      </c>
      <c r="X396" t="s">
        <v>54</v>
      </c>
      <c r="Y396" t="s">
        <v>52</v>
      </c>
      <c r="Z396" t="s">
        <v>53</v>
      </c>
      <c r="AC396" s="2">
        <v>0.13539820901819299</v>
      </c>
      <c r="AD396" s="2">
        <v>0.84180283546447798</v>
      </c>
      <c r="AE396" s="2">
        <v>0.148380696773529</v>
      </c>
      <c r="AF396" s="2">
        <v>0.105649814009666</v>
      </c>
      <c r="AG396" s="2">
        <v>6.3542327843606498E-3</v>
      </c>
      <c r="AH396" s="2">
        <v>-0.16798976063728299</v>
      </c>
      <c r="AI396" s="2">
        <v>6.5802216529846205E-2</v>
      </c>
      <c r="AJ396" s="2">
        <v>0.28562312354798097</v>
      </c>
      <c r="AK396" s="2">
        <v>0.46234284953853799</v>
      </c>
      <c r="AL396" s="2">
        <v>0.217103183470088</v>
      </c>
      <c r="AM396" s="2">
        <v>0.59405171871185303</v>
      </c>
      <c r="AN396" s="2">
        <v>0.45121589303016701</v>
      </c>
      <c r="AO396" s="2">
        <v>0.31374779343605003</v>
      </c>
      <c r="AP396" s="2"/>
    </row>
    <row r="397" spans="1:42" x14ac:dyDescent="0.3">
      <c r="A397" t="s">
        <v>173</v>
      </c>
      <c r="B397" s="3">
        <v>2020</v>
      </c>
      <c r="C397" s="3">
        <v>2.515733</v>
      </c>
      <c r="D397" s="3"/>
      <c r="E397" t="s">
        <v>174</v>
      </c>
      <c r="G397" s="3">
        <v>6544.95849609375</v>
      </c>
      <c r="H397" s="3">
        <v>7711.9931640625</v>
      </c>
      <c r="I397" s="3">
        <v>5974.79541015625</v>
      </c>
      <c r="J397" s="3">
        <v>6457.396484375</v>
      </c>
      <c r="K397" s="3">
        <v>12928.04296875</v>
      </c>
      <c r="L397" s="3"/>
      <c r="M397" s="3"/>
      <c r="N397" s="3"/>
      <c r="O397" s="3">
        <v>6743.37841796875</v>
      </c>
      <c r="P397" s="3">
        <v>8259.8330078125</v>
      </c>
      <c r="Q397" s="3"/>
      <c r="R397" s="3"/>
      <c r="S397" s="3">
        <v>0.26783567667007402</v>
      </c>
      <c r="T397" s="3">
        <v>0.30330255627632102</v>
      </c>
      <c r="U397" s="3">
        <v>0.28063490986824002</v>
      </c>
      <c r="W397" t="s">
        <v>50</v>
      </c>
      <c r="X397" t="s">
        <v>54</v>
      </c>
      <c r="Y397" t="s">
        <v>52</v>
      </c>
      <c r="Z397" t="s">
        <v>53</v>
      </c>
      <c r="AC397" s="2">
        <v>0.35126435691051</v>
      </c>
      <c r="AD397" s="2">
        <v>0.87771636247634899</v>
      </c>
      <c r="AE397" s="2">
        <v>0.18072834610939001</v>
      </c>
      <c r="AF397" s="2">
        <v>0.13584361970424699</v>
      </c>
      <c r="AG397" s="2">
        <v>3.2015880569815601E-3</v>
      </c>
      <c r="AH397" s="2">
        <v>-0.18754479289054901</v>
      </c>
      <c r="AI397" s="2">
        <v>-9.94508154690266E-3</v>
      </c>
      <c r="AJ397" s="2">
        <v>0.28053772580528802</v>
      </c>
      <c r="AK397" s="2">
        <v>0.50220769480872096</v>
      </c>
      <c r="AL397" s="2">
        <v>0.185764873291419</v>
      </c>
      <c r="AM397" s="2">
        <v>0.56650871038436901</v>
      </c>
      <c r="AN397" s="2">
        <v>0.42986309528350802</v>
      </c>
      <c r="AO397" s="2">
        <v>0.31847754120826699</v>
      </c>
      <c r="AP397" s="2"/>
    </row>
    <row r="398" spans="1:42" x14ac:dyDescent="0.3">
      <c r="A398" t="s">
        <v>175</v>
      </c>
      <c r="B398" s="3">
        <v>2015</v>
      </c>
      <c r="C398" s="3">
        <v>1.786457</v>
      </c>
      <c r="D398" s="3"/>
      <c r="E398" t="s">
        <v>82</v>
      </c>
      <c r="G398" s="3">
        <v>3327.00561523438</v>
      </c>
      <c r="H398" s="3">
        <v>3420.19311523438</v>
      </c>
      <c r="I398" s="3">
        <v>3257.86401367188</v>
      </c>
      <c r="J398" s="3">
        <v>3277.39770507813</v>
      </c>
      <c r="K398" s="3">
        <v>6792.1552734375</v>
      </c>
      <c r="L398" s="3"/>
      <c r="M398" s="3"/>
      <c r="N398" s="3"/>
      <c r="O398" s="3">
        <v>3822.90576171875</v>
      </c>
      <c r="P398" s="3">
        <v>3902.12133789063</v>
      </c>
      <c r="Q398" s="3"/>
      <c r="R398" s="3"/>
      <c r="S398" s="3">
        <v>0.317681163549423</v>
      </c>
      <c r="T398" s="3">
        <v>0.321753710508347</v>
      </c>
      <c r="U398" s="3">
        <v>0.31983602046966603</v>
      </c>
      <c r="W398" t="s">
        <v>50</v>
      </c>
      <c r="X398" t="s">
        <v>51</v>
      </c>
      <c r="Y398" t="s">
        <v>52</v>
      </c>
      <c r="Z398" t="s">
        <v>53</v>
      </c>
      <c r="AC398" s="2">
        <v>0.146271787867852</v>
      </c>
      <c r="AD398" s="2">
        <v>0.81135523319244396</v>
      </c>
      <c r="AE398" s="2">
        <v>2.8433388099074398E-2</v>
      </c>
      <c r="AF398" s="2">
        <v>0.203781113028526</v>
      </c>
      <c r="AG398" s="2">
        <v>0.16946846246719399</v>
      </c>
      <c r="AH398" s="2">
        <v>-0.21303817629814101</v>
      </c>
      <c r="AI398" s="2">
        <v>1.61382560960599E-12</v>
      </c>
      <c r="AJ398" s="2">
        <v>0.33627392625333502</v>
      </c>
      <c r="AK398" s="2">
        <v>0.46715260211498499</v>
      </c>
      <c r="AL398" s="2">
        <v>0.24365405422122599</v>
      </c>
      <c r="AM398" s="2">
        <v>0.51967030763626099</v>
      </c>
      <c r="AN398" s="2">
        <v>0.48819491267204301</v>
      </c>
      <c r="AO398" s="2">
        <v>0.25408536195754999</v>
      </c>
      <c r="AP398" s="2"/>
    </row>
    <row r="399" spans="1:42" x14ac:dyDescent="0.3">
      <c r="A399" t="s">
        <v>175</v>
      </c>
      <c r="B399" s="3">
        <v>2016</v>
      </c>
      <c r="C399" s="3">
        <v>1.831893</v>
      </c>
      <c r="D399" s="3"/>
      <c r="E399" t="s">
        <v>82</v>
      </c>
      <c r="G399" s="3">
        <v>3642.47314453125</v>
      </c>
      <c r="H399" s="3">
        <v>3761.84033203125</v>
      </c>
      <c r="I399" s="3">
        <v>3580.59643554688</v>
      </c>
      <c r="J399" s="3">
        <v>3591.0556640625</v>
      </c>
      <c r="K399" s="3">
        <v>6904.0322265625</v>
      </c>
      <c r="L399" s="3"/>
      <c r="M399" s="3"/>
      <c r="N399" s="3"/>
      <c r="O399" s="3">
        <v>4282.95556640625</v>
      </c>
      <c r="P399" s="3">
        <v>4373.74658203125</v>
      </c>
      <c r="Q399" s="3"/>
      <c r="R399" s="3"/>
      <c r="S399" s="3">
        <v>0.32422444224357599</v>
      </c>
      <c r="T399" s="3">
        <v>0.32927593588829002</v>
      </c>
      <c r="U399" s="3">
        <v>0.32831686735153198</v>
      </c>
      <c r="W399" t="s">
        <v>50</v>
      </c>
      <c r="X399" t="s">
        <v>51</v>
      </c>
      <c r="Y399" t="s">
        <v>52</v>
      </c>
      <c r="Z399" t="s">
        <v>53</v>
      </c>
      <c r="AC399" s="2">
        <v>0.153461175396684</v>
      </c>
      <c r="AD399" s="2">
        <v>0.83815336227417003</v>
      </c>
      <c r="AE399" s="2">
        <v>3.3240146934986101E-2</v>
      </c>
      <c r="AF399" s="2">
        <v>0.176164850592613</v>
      </c>
      <c r="AG399" s="2">
        <v>0.16248683631420099</v>
      </c>
      <c r="AH399" s="2">
        <v>-0.21004514396190599</v>
      </c>
      <c r="AI399" s="2">
        <v>-1.43134983032756E-12</v>
      </c>
      <c r="AJ399" s="2">
        <v>0.34018629025034303</v>
      </c>
      <c r="AK399" s="2">
        <v>0.48342098902899899</v>
      </c>
      <c r="AL399" s="2">
        <v>0.248281501538584</v>
      </c>
      <c r="AM399" s="2">
        <v>0.53557723760604903</v>
      </c>
      <c r="AN399" s="2">
        <v>0.49343252182006803</v>
      </c>
      <c r="AO399" s="2">
        <v>0.25587779283523598</v>
      </c>
      <c r="AP399" s="2"/>
    </row>
    <row r="400" spans="1:42" x14ac:dyDescent="0.3">
      <c r="A400" t="s">
        <v>175</v>
      </c>
      <c r="B400" s="3">
        <v>2017</v>
      </c>
      <c r="C400" s="3">
        <v>1.8770720000000001</v>
      </c>
      <c r="D400" s="3"/>
      <c r="E400" t="s">
        <v>82</v>
      </c>
      <c r="G400" s="3">
        <v>3919.89501953125</v>
      </c>
      <c r="H400" s="3">
        <v>4092.76489257813</v>
      </c>
      <c r="I400" s="3">
        <v>3915.57153320313</v>
      </c>
      <c r="J400" s="3">
        <v>3933.10083007813</v>
      </c>
      <c r="K400" s="3">
        <v>7332.443359375</v>
      </c>
      <c r="L400" s="3"/>
      <c r="M400" s="3"/>
      <c r="N400" s="3"/>
      <c r="O400" s="3">
        <v>4618.15087890625</v>
      </c>
      <c r="P400" s="3">
        <v>4778.69873046875</v>
      </c>
      <c r="Q400" s="3"/>
      <c r="R400" s="3"/>
      <c r="S400" s="3">
        <v>0.33864572644233698</v>
      </c>
      <c r="T400" s="3">
        <v>0.34482246637344399</v>
      </c>
      <c r="U400" s="3">
        <v>0.34328562021255499</v>
      </c>
      <c r="W400" t="s">
        <v>51</v>
      </c>
      <c r="X400" t="s">
        <v>51</v>
      </c>
      <c r="Y400" t="s">
        <v>52</v>
      </c>
      <c r="Z400" t="s">
        <v>53</v>
      </c>
      <c r="AC400" s="2">
        <v>0.16045255502745001</v>
      </c>
      <c r="AD400" s="2">
        <v>0.80440801382064797</v>
      </c>
      <c r="AE400" s="2">
        <v>4.39525619149208E-2</v>
      </c>
      <c r="AF400" s="2">
        <v>0.192234382033348</v>
      </c>
      <c r="AG400" s="2">
        <v>0.16921339929103901</v>
      </c>
      <c r="AH400" s="2">
        <v>-0.209808319807053</v>
      </c>
      <c r="AI400" s="2">
        <v>0</v>
      </c>
      <c r="AJ400" s="2">
        <v>0.35871238088851698</v>
      </c>
      <c r="AK400" s="2">
        <v>0.484882462165452</v>
      </c>
      <c r="AL400" s="2">
        <v>0.25467647724153503</v>
      </c>
      <c r="AM400" s="2">
        <v>0.53799873590469405</v>
      </c>
      <c r="AN400" s="2">
        <v>0.50794684886932395</v>
      </c>
      <c r="AO400" s="2">
        <v>0.258673965930939</v>
      </c>
      <c r="AP400" s="2"/>
    </row>
    <row r="401" spans="1:42" x14ac:dyDescent="0.3">
      <c r="A401" t="s">
        <v>175</v>
      </c>
      <c r="B401" s="3">
        <v>2018</v>
      </c>
      <c r="C401" s="3">
        <v>1.9221680000000001</v>
      </c>
      <c r="D401" s="3"/>
      <c r="E401" t="s">
        <v>82</v>
      </c>
      <c r="G401" s="3">
        <v>3809.904296875</v>
      </c>
      <c r="H401" s="3">
        <v>3994.01782226563</v>
      </c>
      <c r="I401" s="3">
        <v>3842.72485351563</v>
      </c>
      <c r="J401" s="3">
        <v>3848.94604492188</v>
      </c>
      <c r="K401" s="3">
        <v>7218.86669921875</v>
      </c>
      <c r="L401" s="3"/>
      <c r="M401" s="3"/>
      <c r="N401" s="3"/>
      <c r="O401" s="3">
        <v>4982.30126953125</v>
      </c>
      <c r="P401" s="3">
        <v>5156.84130859375</v>
      </c>
      <c r="Q401" s="3"/>
      <c r="R401" s="3"/>
      <c r="S401" s="3">
        <v>0.36482220888137801</v>
      </c>
      <c r="T401" s="3">
        <v>0.37147426605224598</v>
      </c>
      <c r="U401" s="3">
        <v>0.37087389826774603</v>
      </c>
      <c r="W401" t="s">
        <v>50</v>
      </c>
      <c r="X401" t="s">
        <v>51</v>
      </c>
      <c r="Y401" t="s">
        <v>52</v>
      </c>
      <c r="Z401" t="s">
        <v>53</v>
      </c>
      <c r="AC401" s="2">
        <v>0.15682671267677301</v>
      </c>
      <c r="AD401" s="2">
        <v>0.79451435804367099</v>
      </c>
      <c r="AE401" s="2">
        <v>4.7834813594818101E-2</v>
      </c>
      <c r="AF401" s="2">
        <v>0.19534213840961501</v>
      </c>
      <c r="AG401" s="2">
        <v>0.17352661490440399</v>
      </c>
      <c r="AH401" s="2">
        <v>-0.219119563698769</v>
      </c>
      <c r="AI401" s="2">
        <v>7.9016294330358505E-3</v>
      </c>
      <c r="AJ401" s="2">
        <v>0.38906525207397402</v>
      </c>
      <c r="AK401" s="2">
        <v>0.50912703230607503</v>
      </c>
      <c r="AL401" s="2">
        <v>0.26621858839108797</v>
      </c>
      <c r="AM401" s="2">
        <v>0.54419881105422996</v>
      </c>
      <c r="AN401" s="2">
        <v>0.510977983474731</v>
      </c>
      <c r="AO401" s="2">
        <v>0.27619305253028897</v>
      </c>
      <c r="AP401" s="2"/>
    </row>
    <row r="402" spans="1:42" x14ac:dyDescent="0.3">
      <c r="A402" t="s">
        <v>175</v>
      </c>
      <c r="B402" s="3">
        <v>2019</v>
      </c>
      <c r="C402" s="3">
        <v>1.9676959999999999</v>
      </c>
      <c r="D402" s="3"/>
      <c r="E402" t="s">
        <v>82</v>
      </c>
      <c r="G402" s="3">
        <v>4471.2841796875</v>
      </c>
      <c r="H402" s="3">
        <v>4629.59619140625</v>
      </c>
      <c r="I402" s="3">
        <v>3941.06323242188</v>
      </c>
      <c r="J402" s="3">
        <v>4304.92919921875</v>
      </c>
      <c r="K402" s="3">
        <v>7766.1162109375</v>
      </c>
      <c r="L402" s="3"/>
      <c r="M402" s="3"/>
      <c r="N402" s="3"/>
      <c r="O402" s="3">
        <v>4749.67724609375</v>
      </c>
      <c r="P402" s="3">
        <v>4866.5185546875</v>
      </c>
      <c r="Q402" s="3"/>
      <c r="R402" s="3"/>
      <c r="S402" s="3">
        <v>0.341791331768036</v>
      </c>
      <c r="T402" s="3">
        <v>0.34643691778183</v>
      </c>
      <c r="U402" s="3">
        <v>0.31715497374534601</v>
      </c>
      <c r="W402" t="s">
        <v>50</v>
      </c>
      <c r="X402" t="s">
        <v>54</v>
      </c>
      <c r="Y402" t="s">
        <v>52</v>
      </c>
      <c r="Z402" t="s">
        <v>53</v>
      </c>
      <c r="AC402" s="2">
        <v>0.16131935715207901</v>
      </c>
      <c r="AD402" s="2">
        <v>0.84205752611160301</v>
      </c>
      <c r="AE402" s="2">
        <v>3.6774545907974202E-2</v>
      </c>
      <c r="AF402" s="2">
        <v>0.19658538699150099</v>
      </c>
      <c r="AG402" s="2">
        <v>0.17764157056808499</v>
      </c>
      <c r="AH402" s="2">
        <v>-0.223524734377861</v>
      </c>
      <c r="AI402" s="2">
        <v>-2.9534289613366099E-2</v>
      </c>
      <c r="AJ402" s="2">
        <v>0.36227404247197798</v>
      </c>
      <c r="AK402" s="2">
        <v>0.47764413067623501</v>
      </c>
      <c r="AL402" s="2">
        <v>0.25405537654258298</v>
      </c>
      <c r="AM402" s="2">
        <v>0.36122438311576799</v>
      </c>
      <c r="AN402" s="2">
        <v>0.49305880069732699</v>
      </c>
      <c r="AO402" s="2">
        <v>0.26270207762718201</v>
      </c>
      <c r="AP402" s="2"/>
    </row>
    <row r="403" spans="1:42" x14ac:dyDescent="0.3">
      <c r="A403" t="s">
        <v>175</v>
      </c>
      <c r="B403" s="3">
        <v>2020</v>
      </c>
      <c r="C403" s="3">
        <v>2.013255</v>
      </c>
      <c r="D403" s="3"/>
      <c r="E403" t="s">
        <v>82</v>
      </c>
      <c r="G403" s="3">
        <v>4410.90283203125</v>
      </c>
      <c r="H403" s="3">
        <v>4582.62060546875</v>
      </c>
      <c r="I403" s="3">
        <v>3917.724609375</v>
      </c>
      <c r="J403" s="3">
        <v>4263.06787109375</v>
      </c>
      <c r="K403" s="3">
        <v>6884.7607421875</v>
      </c>
      <c r="L403" s="3"/>
      <c r="M403" s="3"/>
      <c r="N403" s="3"/>
      <c r="O403" s="3">
        <v>4762.77197265625</v>
      </c>
      <c r="P403" s="3">
        <v>4932.85986328125</v>
      </c>
      <c r="Q403" s="3"/>
      <c r="R403" s="3"/>
      <c r="S403" s="3">
        <v>0.35131815075874301</v>
      </c>
      <c r="T403" s="3">
        <v>0.35647276043891901</v>
      </c>
      <c r="U403" s="3">
        <v>0.32759556174278298</v>
      </c>
      <c r="W403" t="s">
        <v>50</v>
      </c>
      <c r="X403" t="s">
        <v>54</v>
      </c>
      <c r="Y403" t="s">
        <v>52</v>
      </c>
      <c r="Z403" t="s">
        <v>53</v>
      </c>
      <c r="AC403" s="2">
        <v>0.16683216901456699</v>
      </c>
      <c r="AD403" s="2">
        <v>0.83700972795486495</v>
      </c>
      <c r="AE403" s="2">
        <v>4.0280368179082898E-2</v>
      </c>
      <c r="AF403" s="2">
        <v>0.19766831398010301</v>
      </c>
      <c r="AG403" s="2">
        <v>0.155066028237343</v>
      </c>
      <c r="AH403" s="2">
        <v>-0.20981749892234799</v>
      </c>
      <c r="AI403" s="2">
        <v>-2.0206931978464099E-2</v>
      </c>
      <c r="AJ403" s="2">
        <v>0.372074349615236</v>
      </c>
      <c r="AK403" s="2">
        <v>0.48887831029006301</v>
      </c>
      <c r="AL403" s="2">
        <v>0.26342783971002698</v>
      </c>
      <c r="AM403" s="2">
        <v>0.32348003983497597</v>
      </c>
      <c r="AN403" s="2">
        <v>0.47250065207481401</v>
      </c>
      <c r="AO403" s="2">
        <v>0.269045680761337</v>
      </c>
      <c r="AP403" s="2"/>
    </row>
    <row r="404" spans="1:42" x14ac:dyDescent="0.3">
      <c r="A404" t="s">
        <v>176</v>
      </c>
      <c r="B404" s="3">
        <v>2015</v>
      </c>
      <c r="C404" s="3">
        <v>1.4539230000000001</v>
      </c>
      <c r="D404" s="3"/>
      <c r="E404" t="s">
        <v>113</v>
      </c>
      <c r="G404" s="3">
        <v>22111.611328125</v>
      </c>
      <c r="H404" s="3">
        <v>28999.423828125</v>
      </c>
      <c r="I404" s="3">
        <v>33893.26953125</v>
      </c>
      <c r="J404" s="3">
        <v>34649.421875</v>
      </c>
      <c r="K404" s="3">
        <v>158336.140625</v>
      </c>
      <c r="L404" s="3"/>
      <c r="M404" s="3"/>
      <c r="N404" s="3"/>
      <c r="O404" s="3">
        <v>26901.689453125</v>
      </c>
      <c r="P404" s="3">
        <v>36596.4921875</v>
      </c>
      <c r="Q404" s="3"/>
      <c r="R404" s="3"/>
      <c r="S404" s="3">
        <v>0.362915128469467</v>
      </c>
      <c r="T404" s="3">
        <v>0.38902994990348799</v>
      </c>
      <c r="U404" s="3">
        <v>0.38054022192955</v>
      </c>
      <c r="W404" t="s">
        <v>50</v>
      </c>
      <c r="X404" t="s">
        <v>51</v>
      </c>
      <c r="Y404" t="s">
        <v>52</v>
      </c>
      <c r="Z404" t="s">
        <v>53</v>
      </c>
      <c r="AC404" s="2">
        <v>0.51399267312556596</v>
      </c>
      <c r="AD404" s="2">
        <v>0.344850063323975</v>
      </c>
      <c r="AE404" s="2">
        <v>0.19878578186035201</v>
      </c>
      <c r="AF404" s="2">
        <v>0.29330232739448597</v>
      </c>
      <c r="AG404" s="2">
        <v>0.47659307718277</v>
      </c>
      <c r="AH404" s="2">
        <v>-0.31353127956390398</v>
      </c>
      <c r="AI404" s="2">
        <v>-1.3795378119491499E-16</v>
      </c>
      <c r="AJ404" s="2">
        <v>0.42968004163921503</v>
      </c>
      <c r="AK404" s="2">
        <v>0.47286507998681099</v>
      </c>
      <c r="AL404" s="2">
        <v>0.28441631001391299</v>
      </c>
      <c r="AM404" s="2">
        <v>0.452395260334015</v>
      </c>
      <c r="AN404" s="2">
        <v>0.51242828369140603</v>
      </c>
      <c r="AO404" s="2">
        <v>0.28200688958168002</v>
      </c>
      <c r="AP404" s="2"/>
    </row>
    <row r="405" spans="1:42" x14ac:dyDescent="0.3">
      <c r="A405" t="s">
        <v>176</v>
      </c>
      <c r="B405" s="3">
        <v>2016</v>
      </c>
      <c r="C405" s="3">
        <v>1.508186</v>
      </c>
      <c r="D405" s="3"/>
      <c r="E405" t="s">
        <v>113</v>
      </c>
      <c r="G405" s="3">
        <v>23964.103515625</v>
      </c>
      <c r="H405" s="3">
        <v>27668.1796875</v>
      </c>
      <c r="I405" s="3">
        <v>30819.443359375</v>
      </c>
      <c r="J405" s="3">
        <v>31113.947265625</v>
      </c>
      <c r="K405" s="3">
        <v>143748.609375</v>
      </c>
      <c r="L405" s="3"/>
      <c r="M405" s="3"/>
      <c r="N405" s="3"/>
      <c r="O405" s="3">
        <v>26857.634765625</v>
      </c>
      <c r="P405" s="3">
        <v>31969.162109375</v>
      </c>
      <c r="Q405" s="3"/>
      <c r="R405" s="3"/>
      <c r="S405" s="3">
        <v>0.34277868270874001</v>
      </c>
      <c r="T405" s="3">
        <v>0.36473128199577298</v>
      </c>
      <c r="U405" s="3">
        <v>0.36127898097038302</v>
      </c>
      <c r="W405" t="s">
        <v>50</v>
      </c>
      <c r="X405" t="s">
        <v>51</v>
      </c>
      <c r="Y405" t="s">
        <v>52</v>
      </c>
      <c r="Z405" t="s">
        <v>53</v>
      </c>
      <c r="AC405" s="2">
        <v>0.48633301259046102</v>
      </c>
      <c r="AD405" s="2">
        <v>0.393585115671158</v>
      </c>
      <c r="AE405" s="2">
        <v>0.119048722088337</v>
      </c>
      <c r="AF405" s="2">
        <v>0.37661942839622498</v>
      </c>
      <c r="AG405" s="2">
        <v>0.411490589380264</v>
      </c>
      <c r="AH405" s="2">
        <v>-0.300743877887726</v>
      </c>
      <c r="AI405" s="2">
        <v>0</v>
      </c>
      <c r="AJ405" s="2">
        <v>0.43829711847897401</v>
      </c>
      <c r="AK405" s="2">
        <v>0.50675698957978899</v>
      </c>
      <c r="AL405" s="2">
        <v>0.242957389202174</v>
      </c>
      <c r="AM405" s="2">
        <v>0.45139259099960299</v>
      </c>
      <c r="AN405" s="2">
        <v>0.49478417634964</v>
      </c>
      <c r="AO405" s="2">
        <v>0.30430433154106101</v>
      </c>
      <c r="AP405" s="2"/>
    </row>
    <row r="406" spans="1:42" x14ac:dyDescent="0.3">
      <c r="A406" t="s">
        <v>176</v>
      </c>
      <c r="B406" s="3">
        <v>2017</v>
      </c>
      <c r="C406" s="3">
        <v>1.5623959999999999</v>
      </c>
      <c r="D406" s="3"/>
      <c r="E406" t="s">
        <v>113</v>
      </c>
      <c r="G406" s="3">
        <v>27323.865234375</v>
      </c>
      <c r="H406" s="3">
        <v>30718.44921875</v>
      </c>
      <c r="I406" s="3">
        <v>36266.4609375</v>
      </c>
      <c r="J406" s="3">
        <v>35749.91796875</v>
      </c>
      <c r="K406" s="3">
        <v>142061.40625</v>
      </c>
      <c r="L406" s="3"/>
      <c r="M406" s="3"/>
      <c r="N406" s="3"/>
      <c r="O406" s="3">
        <v>27497.392578125</v>
      </c>
      <c r="P406" s="3">
        <v>31893.443359375</v>
      </c>
      <c r="Q406" s="3"/>
      <c r="R406" s="3"/>
      <c r="S406" s="3">
        <v>0.31556394696235701</v>
      </c>
      <c r="T406" s="3">
        <v>0.33642402291297901</v>
      </c>
      <c r="U406" s="3">
        <v>0.341284930706024</v>
      </c>
      <c r="W406" t="s">
        <v>51</v>
      </c>
      <c r="X406" t="s">
        <v>51</v>
      </c>
      <c r="Y406" t="s">
        <v>52</v>
      </c>
      <c r="Z406" t="s">
        <v>53</v>
      </c>
      <c r="AC406" s="2">
        <v>0.47072103882014399</v>
      </c>
      <c r="AD406" s="2">
        <v>0.36237421631813099</v>
      </c>
      <c r="AE406" s="2">
        <v>9.4953604042530101E-2</v>
      </c>
      <c r="AF406" s="2">
        <v>0.40193143486976601</v>
      </c>
      <c r="AG406" s="2">
        <v>0.43861782550811801</v>
      </c>
      <c r="AH406" s="2">
        <v>-0.297876596450806</v>
      </c>
      <c r="AI406" s="2">
        <v>-4.2345729411863399E-7</v>
      </c>
      <c r="AJ406" s="2">
        <v>0.44241534851864101</v>
      </c>
      <c r="AK406" s="2">
        <v>0.50433215071106696</v>
      </c>
      <c r="AL406" s="2">
        <v>0.20119696286765501</v>
      </c>
      <c r="AM406" s="2">
        <v>0.45800900459289601</v>
      </c>
      <c r="AN406" s="2">
        <v>0.499137133359909</v>
      </c>
      <c r="AO406" s="2">
        <v>0.30588412284851102</v>
      </c>
      <c r="AP406" s="2"/>
    </row>
    <row r="407" spans="1:42" x14ac:dyDescent="0.3">
      <c r="A407" t="s">
        <v>176</v>
      </c>
      <c r="B407" s="3">
        <v>2018</v>
      </c>
      <c r="C407" s="3">
        <v>1.616422</v>
      </c>
      <c r="D407" s="3"/>
      <c r="E407" t="s">
        <v>113</v>
      </c>
      <c r="G407" s="3">
        <v>27949.30078125</v>
      </c>
      <c r="H407" s="3">
        <v>31024.13671875</v>
      </c>
      <c r="I407" s="3">
        <v>36751.23046875</v>
      </c>
      <c r="J407" s="3">
        <v>36557.8046875</v>
      </c>
      <c r="K407" s="3">
        <v>136532.359375</v>
      </c>
      <c r="L407" s="3"/>
      <c r="M407" s="3"/>
      <c r="N407" s="3"/>
      <c r="O407" s="3">
        <v>28264.44140625</v>
      </c>
      <c r="P407" s="3">
        <v>32026.138671875</v>
      </c>
      <c r="Q407" s="3"/>
      <c r="R407" s="3"/>
      <c r="S407" s="3">
        <v>0.33699339628219599</v>
      </c>
      <c r="T407" s="3">
        <v>0.35636937618255599</v>
      </c>
      <c r="U407" s="3">
        <v>0.35825496912002602</v>
      </c>
      <c r="W407" t="s">
        <v>50</v>
      </c>
      <c r="X407" t="s">
        <v>51</v>
      </c>
      <c r="Y407" t="s">
        <v>52</v>
      </c>
      <c r="Z407" t="s">
        <v>53</v>
      </c>
      <c r="AC407" s="2">
        <v>0.44466029994141398</v>
      </c>
      <c r="AD407" s="2">
        <v>0.36844688653945901</v>
      </c>
      <c r="AE407" s="2">
        <v>8.4108859300613403E-2</v>
      </c>
      <c r="AF407" s="2">
        <v>0.396076619625092</v>
      </c>
      <c r="AG407" s="2">
        <v>0.45009219646453902</v>
      </c>
      <c r="AH407" s="2">
        <v>-0.29872527718544001</v>
      </c>
      <c r="AI407" s="2">
        <v>6.8731441160707597E-7</v>
      </c>
      <c r="AJ407" s="2">
        <v>0.47048732630585399</v>
      </c>
      <c r="AK407" s="2">
        <v>0.53249113287734795</v>
      </c>
      <c r="AL407" s="2">
        <v>0.21281179603127401</v>
      </c>
      <c r="AM407" s="2">
        <v>0.47450694441795399</v>
      </c>
      <c r="AN407" s="2">
        <v>0.52805632352829002</v>
      </c>
      <c r="AO407" s="2">
        <v>0.332373887300491</v>
      </c>
      <c r="AP407" s="2"/>
    </row>
    <row r="408" spans="1:42" x14ac:dyDescent="0.3">
      <c r="A408" t="s">
        <v>176</v>
      </c>
      <c r="B408" s="3">
        <v>2019</v>
      </c>
      <c r="C408" s="3">
        <v>1.670177</v>
      </c>
      <c r="D408" s="3"/>
      <c r="E408" t="s">
        <v>113</v>
      </c>
      <c r="G408" s="3">
        <v>28460.9296875</v>
      </c>
      <c r="H408" s="3">
        <v>30910.046875</v>
      </c>
      <c r="I408" s="3">
        <v>33373.90234375</v>
      </c>
      <c r="J408" s="3">
        <v>35150.99609375</v>
      </c>
      <c r="K408" s="3">
        <v>127861.6953125</v>
      </c>
      <c r="L408" s="3"/>
      <c r="M408" s="3"/>
      <c r="N408" s="3"/>
      <c r="O408" s="3">
        <v>28966.353515625</v>
      </c>
      <c r="P408" s="3">
        <v>31761.04296875</v>
      </c>
      <c r="Q408" s="3"/>
      <c r="R408" s="3"/>
      <c r="S408" s="3">
        <v>0.326321631669998</v>
      </c>
      <c r="T408" s="3">
        <v>0.340509533882141</v>
      </c>
      <c r="U408" s="3">
        <v>0.32329469919204701</v>
      </c>
      <c r="W408" t="s">
        <v>50</v>
      </c>
      <c r="X408" t="s">
        <v>54</v>
      </c>
      <c r="Y408" t="s">
        <v>52</v>
      </c>
      <c r="Z408" t="s">
        <v>53</v>
      </c>
      <c r="AC408" s="2">
        <v>0.42916989122822102</v>
      </c>
      <c r="AD408" s="2">
        <v>0.40763995051384</v>
      </c>
      <c r="AE408" s="2">
        <v>6.9674178957939203E-2</v>
      </c>
      <c r="AF408" s="2">
        <v>0.40203636884689298</v>
      </c>
      <c r="AG408" s="2">
        <v>0.39763218164443997</v>
      </c>
      <c r="AH408" s="2">
        <v>-0.27698114514350902</v>
      </c>
      <c r="AI408" s="2">
        <v>-1.50186917835526E-6</v>
      </c>
      <c r="AJ408" s="2">
        <v>0.44623126502886901</v>
      </c>
      <c r="AK408" s="2">
        <v>0.50538532965695904</v>
      </c>
      <c r="AL408" s="2">
        <v>0.20474072364338</v>
      </c>
      <c r="AM408" s="2">
        <v>0.41571909189224199</v>
      </c>
      <c r="AN408" s="2">
        <v>0.51063144207000699</v>
      </c>
      <c r="AO408" s="2">
        <v>0.32524317502975503</v>
      </c>
      <c r="AP408" s="2"/>
    </row>
    <row r="409" spans="1:42" x14ac:dyDescent="0.3">
      <c r="A409" t="s">
        <v>176</v>
      </c>
      <c r="B409" s="3">
        <v>2020</v>
      </c>
      <c r="C409" s="3">
        <v>1.7164680000000001</v>
      </c>
      <c r="D409" s="3"/>
      <c r="E409" t="s">
        <v>113</v>
      </c>
      <c r="G409" s="3">
        <v>25571.591796875</v>
      </c>
      <c r="H409" s="3">
        <v>26884.8828125</v>
      </c>
      <c r="I409" s="3">
        <v>27936.123046875</v>
      </c>
      <c r="J409" s="3">
        <v>31381.771484375</v>
      </c>
      <c r="K409" s="3">
        <v>104552.9375</v>
      </c>
      <c r="L409" s="3"/>
      <c r="M409" s="3"/>
      <c r="N409" s="3"/>
      <c r="O409" s="3">
        <v>26713.87890625</v>
      </c>
      <c r="P409" s="3">
        <v>28217.55859375</v>
      </c>
      <c r="Q409" s="3"/>
      <c r="R409" s="3"/>
      <c r="S409" s="3">
        <v>0.34530836343765298</v>
      </c>
      <c r="T409" s="3">
        <v>0.35415849089622498</v>
      </c>
      <c r="U409" s="3">
        <v>0.31527271866798401</v>
      </c>
      <c r="W409" t="s">
        <v>50</v>
      </c>
      <c r="X409" t="s">
        <v>54</v>
      </c>
      <c r="Y409" t="s">
        <v>52</v>
      </c>
      <c r="Z409" t="s">
        <v>53</v>
      </c>
      <c r="AC409" s="2">
        <v>0.41643727846821799</v>
      </c>
      <c r="AD409" s="2">
        <v>0.40865415334701499</v>
      </c>
      <c r="AE409" s="2">
        <v>4.1848860681056997E-2</v>
      </c>
      <c r="AF409" s="2">
        <v>0.40620079636573803</v>
      </c>
      <c r="AG409" s="2">
        <v>0.38179272413253801</v>
      </c>
      <c r="AH409" s="2">
        <v>-0.23849654197692899</v>
      </c>
      <c r="AI409" s="2">
        <v>0</v>
      </c>
      <c r="AJ409" s="2">
        <v>0.46917092331906401</v>
      </c>
      <c r="AK409" s="2">
        <v>0.52648312643811701</v>
      </c>
      <c r="AL409" s="2">
        <v>0.22069768849343899</v>
      </c>
      <c r="AM409" s="2">
        <v>0.33728918433189398</v>
      </c>
      <c r="AN409" s="2">
        <v>0.49019911885261502</v>
      </c>
      <c r="AO409" s="2">
        <v>0.345220416784287</v>
      </c>
      <c r="AP409" s="2"/>
    </row>
    <row r="410" spans="1:42" x14ac:dyDescent="0.3">
      <c r="A410" t="s">
        <v>177</v>
      </c>
      <c r="B410" s="3">
        <v>2015</v>
      </c>
      <c r="C410" s="3">
        <v>10.820902999999999</v>
      </c>
      <c r="D410" s="3">
        <v>1934.99</v>
      </c>
      <c r="E410" t="s">
        <v>74</v>
      </c>
      <c r="G410" s="3">
        <v>268611.40625</v>
      </c>
      <c r="H410" s="3">
        <v>317408.1875</v>
      </c>
      <c r="I410" s="3">
        <v>314579.96875</v>
      </c>
      <c r="J410" s="3">
        <v>297872.4375</v>
      </c>
      <c r="K410" s="3">
        <v>2812120.75</v>
      </c>
      <c r="L410" s="3">
        <v>2.72213499993086E-2</v>
      </c>
      <c r="M410" s="3">
        <v>0.54373341798782404</v>
      </c>
      <c r="N410" s="3">
        <v>0.55896723270416304</v>
      </c>
      <c r="O410" s="3">
        <v>273749.03125</v>
      </c>
      <c r="P410" s="3">
        <v>331737.84375</v>
      </c>
      <c r="Q410" s="3">
        <v>1.0105729103088399</v>
      </c>
      <c r="R410" s="3">
        <v>0.55182695388794001</v>
      </c>
      <c r="S410" s="3">
        <v>0.64387500286102295</v>
      </c>
      <c r="T410" s="3">
        <v>0.61849892139434803</v>
      </c>
      <c r="U410" s="3">
        <v>0.65319025516509999</v>
      </c>
      <c r="W410" t="s">
        <v>50</v>
      </c>
      <c r="X410" t="s">
        <v>51</v>
      </c>
      <c r="Y410" t="s">
        <v>52</v>
      </c>
      <c r="Z410" t="s">
        <v>53</v>
      </c>
      <c r="AA410" t="s">
        <v>53</v>
      </c>
      <c r="AC410" s="2">
        <v>0.67569474220960302</v>
      </c>
      <c r="AD410" s="2">
        <v>0.67612761259079002</v>
      </c>
      <c r="AE410" s="2">
        <v>0.163817718625069</v>
      </c>
      <c r="AF410" s="2">
        <v>0.22563898563384999</v>
      </c>
      <c r="AG410" s="2">
        <v>0.16730968654155701</v>
      </c>
      <c r="AH410" s="2">
        <v>-0.32142624258995101</v>
      </c>
      <c r="AI410" s="2">
        <v>8.8532269001007094E-2</v>
      </c>
      <c r="AJ410" s="2">
        <v>0.65775933060367198</v>
      </c>
      <c r="AK410" s="2">
        <v>0.47881120989078901</v>
      </c>
      <c r="AL410" s="2">
        <v>0.60227065819628101</v>
      </c>
      <c r="AM410" s="2">
        <v>0.56763583421707198</v>
      </c>
      <c r="AN410" s="2">
        <v>0.49364942312240601</v>
      </c>
      <c r="AO410" s="2">
        <v>0.35953575372695901</v>
      </c>
      <c r="AP410" s="2">
        <v>0.42798450589179998</v>
      </c>
    </row>
    <row r="411" spans="1:42" x14ac:dyDescent="0.3">
      <c r="A411" t="s">
        <v>177</v>
      </c>
      <c r="B411" s="3">
        <v>2016</v>
      </c>
      <c r="C411" s="3">
        <v>10.775504</v>
      </c>
      <c r="D411" s="3">
        <v>1942.73</v>
      </c>
      <c r="E411" t="s">
        <v>74</v>
      </c>
      <c r="G411" s="3">
        <v>269133</v>
      </c>
      <c r="H411" s="3">
        <v>316835.6875</v>
      </c>
      <c r="I411" s="3">
        <v>312773.09375</v>
      </c>
      <c r="J411" s="3">
        <v>296074.28125</v>
      </c>
      <c r="K411" s="3">
        <v>2622658.75</v>
      </c>
      <c r="L411" s="3">
        <v>2.4971781298518202E-2</v>
      </c>
      <c r="M411" s="3">
        <v>0.54923129081726096</v>
      </c>
      <c r="N411" s="3">
        <v>0.56823837757110596</v>
      </c>
      <c r="O411" s="3">
        <v>274652</v>
      </c>
      <c r="P411" s="3">
        <v>334371.125</v>
      </c>
      <c r="Q411" s="3">
        <v>0.99009990692138705</v>
      </c>
      <c r="R411" s="3">
        <v>0.56919491291046098</v>
      </c>
      <c r="S411" s="3">
        <v>0.63734227418899503</v>
      </c>
      <c r="T411" s="3">
        <v>0.61737161874771096</v>
      </c>
      <c r="U411" s="3">
        <v>0.65219187736511197</v>
      </c>
      <c r="W411" t="s">
        <v>50</v>
      </c>
      <c r="X411" t="s">
        <v>51</v>
      </c>
      <c r="Y411" t="s">
        <v>52</v>
      </c>
      <c r="Z411" t="s">
        <v>53</v>
      </c>
      <c r="AA411" t="s">
        <v>53</v>
      </c>
      <c r="AC411" s="2">
        <v>0.67136014795203902</v>
      </c>
      <c r="AD411" s="2">
        <v>0.68111938238143899</v>
      </c>
      <c r="AE411" s="2">
        <v>0.16111727058887501</v>
      </c>
      <c r="AF411" s="2">
        <v>0.22788560390472401</v>
      </c>
      <c r="AG411" s="2">
        <v>0.167524233460426</v>
      </c>
      <c r="AH411" s="2">
        <v>-0.32711422443389898</v>
      </c>
      <c r="AI411" s="2">
        <v>8.9467816054821001E-2</v>
      </c>
      <c r="AJ411" s="2">
        <v>0.652005233634813</v>
      </c>
      <c r="AK411" s="2">
        <v>0.50469974104979898</v>
      </c>
      <c r="AL411" s="2">
        <v>0.59351660580321197</v>
      </c>
      <c r="AM411" s="2">
        <v>0.56070852279663097</v>
      </c>
      <c r="AN411" s="2">
        <v>0.49142983555793801</v>
      </c>
      <c r="AO411" s="2">
        <v>0.37360051274299599</v>
      </c>
      <c r="AP411" s="2">
        <v>0.43119198083877602</v>
      </c>
    </row>
    <row r="412" spans="1:42" x14ac:dyDescent="0.3">
      <c r="A412" t="s">
        <v>177</v>
      </c>
      <c r="B412" s="3">
        <v>2017</v>
      </c>
      <c r="C412" s="3">
        <v>10.753532999999999</v>
      </c>
      <c r="D412" s="3">
        <v>1946.94</v>
      </c>
      <c r="E412" t="s">
        <v>74</v>
      </c>
      <c r="G412" s="3">
        <v>275727.78125</v>
      </c>
      <c r="H412" s="3">
        <v>323535.375</v>
      </c>
      <c r="I412" s="3">
        <v>319307.84375</v>
      </c>
      <c r="J412" s="3">
        <v>301042.125</v>
      </c>
      <c r="K412" s="3">
        <v>2587484.5</v>
      </c>
      <c r="L412" s="3">
        <v>2.4357974529266399E-2</v>
      </c>
      <c r="M412" s="3">
        <v>0.55560469627380404</v>
      </c>
      <c r="N412" s="3">
        <v>0.57503575086593595</v>
      </c>
      <c r="O412" s="3">
        <v>279311.21875</v>
      </c>
      <c r="P412" s="3">
        <v>338232.15625</v>
      </c>
      <c r="Q412" s="3">
        <v>1.0045866966247601</v>
      </c>
      <c r="R412" s="3">
        <v>0.57447141408920299</v>
      </c>
      <c r="S412" s="3">
        <v>0.649960517883301</v>
      </c>
      <c r="T412" s="3">
        <v>0.62754827737808205</v>
      </c>
      <c r="U412" s="3">
        <v>0.66562479734420799</v>
      </c>
      <c r="W412" t="s">
        <v>51</v>
      </c>
      <c r="X412" t="s">
        <v>51</v>
      </c>
      <c r="Y412" t="s">
        <v>52</v>
      </c>
      <c r="Z412" t="s">
        <v>53</v>
      </c>
      <c r="AA412" t="s">
        <v>53</v>
      </c>
      <c r="AC412" s="2">
        <v>0.64708229154839803</v>
      </c>
      <c r="AD412" s="2">
        <v>0.68707519769668601</v>
      </c>
      <c r="AE412" s="2">
        <v>0.15880703926086401</v>
      </c>
      <c r="AF412" s="2">
        <v>0.22883576154708901</v>
      </c>
      <c r="AG412" s="2">
        <v>0.18610334396362299</v>
      </c>
      <c r="AH412" s="2">
        <v>-0.36309045553207397</v>
      </c>
      <c r="AI412" s="2">
        <v>0.102269150316715</v>
      </c>
      <c r="AJ412" s="2">
        <v>0.667393832116847</v>
      </c>
      <c r="AK412" s="2">
        <v>0.49828701643935802</v>
      </c>
      <c r="AL412" s="2">
        <v>0.59761732791984301</v>
      </c>
      <c r="AM412" s="2">
        <v>0.57393747568130504</v>
      </c>
      <c r="AN412" s="2">
        <v>0.50592684745788596</v>
      </c>
      <c r="AO412" s="2">
        <v>0.37987270951271102</v>
      </c>
      <c r="AP412" s="2">
        <v>0.43675491213798501</v>
      </c>
    </row>
    <row r="413" spans="1:42" x14ac:dyDescent="0.3">
      <c r="A413" t="s">
        <v>177</v>
      </c>
      <c r="B413" s="3">
        <v>2018</v>
      </c>
      <c r="C413" s="3">
        <v>10.730843999999999</v>
      </c>
      <c r="D413" s="3">
        <v>1961.08</v>
      </c>
      <c r="E413" t="s">
        <v>74</v>
      </c>
      <c r="G413" s="3">
        <v>273976.78125</v>
      </c>
      <c r="H413" s="3">
        <v>327409.71875</v>
      </c>
      <c r="I413" s="3">
        <v>321064.78125</v>
      </c>
      <c r="J413" s="3">
        <v>300622.46875</v>
      </c>
      <c r="K413" s="3">
        <v>2588596.75</v>
      </c>
      <c r="L413" s="3">
        <v>2.3754913359880399E-2</v>
      </c>
      <c r="M413" s="3">
        <v>0.53334581851959195</v>
      </c>
      <c r="N413" s="3">
        <v>0.55914580821991</v>
      </c>
      <c r="O413" s="3">
        <v>282015.59375</v>
      </c>
      <c r="P413" s="3">
        <v>344353.3125</v>
      </c>
      <c r="Q413" s="3">
        <v>0.99377793073654197</v>
      </c>
      <c r="R413" s="3">
        <v>0.56845891475677501</v>
      </c>
      <c r="S413" s="3">
        <v>0.69307112693786599</v>
      </c>
      <c r="T413" s="3">
        <v>0.664348363876343</v>
      </c>
      <c r="U413" s="3">
        <v>0.70952409505844105</v>
      </c>
      <c r="W413" t="s">
        <v>50</v>
      </c>
      <c r="X413" t="s">
        <v>51</v>
      </c>
      <c r="Y413" t="s">
        <v>52</v>
      </c>
      <c r="Z413" t="s">
        <v>53</v>
      </c>
      <c r="AA413" t="s">
        <v>53</v>
      </c>
      <c r="AC413" s="2">
        <v>0.63927069925056601</v>
      </c>
      <c r="AD413" s="2">
        <v>0.687069952487946</v>
      </c>
      <c r="AE413" s="2">
        <v>0.17774099111557001</v>
      </c>
      <c r="AF413" s="2">
        <v>0.22429494559764901</v>
      </c>
      <c r="AG413" s="2">
        <v>0.220603317022324</v>
      </c>
      <c r="AH413" s="2">
        <v>-0.41020524501800498</v>
      </c>
      <c r="AI413" s="2">
        <v>0.100496038794518</v>
      </c>
      <c r="AJ413" s="2">
        <v>0.71501526033249396</v>
      </c>
      <c r="AK413" s="2">
        <v>0.51707279912819604</v>
      </c>
      <c r="AL413" s="2">
        <v>0.62585094006421105</v>
      </c>
      <c r="AM413" s="2">
        <v>0.59546929597854603</v>
      </c>
      <c r="AN413" s="2">
        <v>0.52824425697326705</v>
      </c>
      <c r="AO413" s="2">
        <v>0.39667680859565702</v>
      </c>
      <c r="AP413" s="2">
        <v>0.45816612243652299</v>
      </c>
    </row>
    <row r="414" spans="1:42" x14ac:dyDescent="0.3">
      <c r="A414" t="s">
        <v>177</v>
      </c>
      <c r="B414" s="3">
        <v>2019</v>
      </c>
      <c r="C414" s="3">
        <v>10.718576000000001</v>
      </c>
      <c r="D414" s="3">
        <v>1917.59</v>
      </c>
      <c r="E414" t="s">
        <v>74</v>
      </c>
      <c r="G414" s="3">
        <v>292395.84375</v>
      </c>
      <c r="H414" s="3">
        <v>344872.59375</v>
      </c>
      <c r="I414" s="3">
        <v>339878.03125</v>
      </c>
      <c r="J414" s="3">
        <v>321808.96875</v>
      </c>
      <c r="K414" s="3">
        <v>2619784.75</v>
      </c>
      <c r="L414" s="3">
        <v>2.3299129679799101E-2</v>
      </c>
      <c r="M414" s="3">
        <v>0.56791383028030396</v>
      </c>
      <c r="N414" s="3">
        <v>0.58565694093704201</v>
      </c>
      <c r="O414" s="3">
        <v>289025.40625</v>
      </c>
      <c r="P414" s="3">
        <v>349586.21875</v>
      </c>
      <c r="Q414" s="3">
        <v>1.0148458480835001</v>
      </c>
      <c r="R414" s="3">
        <v>0.585107862949371</v>
      </c>
      <c r="S414" s="3">
        <v>0.63362312316894498</v>
      </c>
      <c r="T414" s="3">
        <v>0.60994136333465598</v>
      </c>
      <c r="U414" s="3">
        <v>0.64418852329254195</v>
      </c>
      <c r="W414" t="s">
        <v>50</v>
      </c>
      <c r="X414" t="s">
        <v>54</v>
      </c>
      <c r="Y414" t="s">
        <v>52</v>
      </c>
      <c r="Z414" t="s">
        <v>53</v>
      </c>
      <c r="AA414" t="s">
        <v>53</v>
      </c>
      <c r="AC414" s="2">
        <v>0.67344326713872105</v>
      </c>
      <c r="AD414" s="2">
        <v>0.68430197238922097</v>
      </c>
      <c r="AE414" s="2">
        <v>0.163068011403084</v>
      </c>
      <c r="AF414" s="2">
        <v>0.224298641085625</v>
      </c>
      <c r="AG414" s="2">
        <v>0.21038357913494099</v>
      </c>
      <c r="AH414" s="2">
        <v>-0.38463568687438998</v>
      </c>
      <c r="AI414" s="2">
        <v>0.102583445608616</v>
      </c>
      <c r="AJ414" s="2">
        <v>0.65278023406918395</v>
      </c>
      <c r="AK414" s="2">
        <v>0.47798843590957202</v>
      </c>
      <c r="AL414" s="2">
        <v>0.57517767174783596</v>
      </c>
      <c r="AM414" s="2">
        <v>0.559581518173218</v>
      </c>
      <c r="AN414" s="2">
        <v>0.50249189138412498</v>
      </c>
      <c r="AO414" s="2">
        <v>0.36763173341751099</v>
      </c>
      <c r="AP414" s="2">
        <v>0.41987791657447798</v>
      </c>
    </row>
    <row r="415" spans="1:42" x14ac:dyDescent="0.3">
      <c r="A415" t="s">
        <v>177</v>
      </c>
      <c r="B415" s="3">
        <v>2020</v>
      </c>
      <c r="C415" s="3">
        <v>10.699369000000001</v>
      </c>
      <c r="D415" s="3">
        <v>1735.43</v>
      </c>
      <c r="E415" t="s">
        <v>74</v>
      </c>
      <c r="G415" s="3">
        <v>277794.53125</v>
      </c>
      <c r="H415" s="3">
        <v>330788.125</v>
      </c>
      <c r="I415" s="3">
        <v>308016.6875</v>
      </c>
      <c r="J415" s="3">
        <v>289837.5</v>
      </c>
      <c r="K415" s="3">
        <v>2617956.75</v>
      </c>
      <c r="L415" s="3">
        <v>2.2011965513229401E-2</v>
      </c>
      <c r="M415" s="3">
        <v>0.54706442356109597</v>
      </c>
      <c r="N415" s="3">
        <v>0.59895908832550104</v>
      </c>
      <c r="O415" s="3">
        <v>277117.59375</v>
      </c>
      <c r="P415" s="3">
        <v>336961.3125</v>
      </c>
      <c r="Q415" s="3">
        <v>0.98893094062805198</v>
      </c>
      <c r="R415" s="3">
        <v>0.57933056354522705</v>
      </c>
      <c r="S415" s="3">
        <v>0.64651322364807096</v>
      </c>
      <c r="T415" s="3">
        <v>0.62127476930618297</v>
      </c>
      <c r="U415" s="3">
        <v>0.660242319107056</v>
      </c>
      <c r="W415" t="s">
        <v>50</v>
      </c>
      <c r="X415" t="s">
        <v>54</v>
      </c>
      <c r="Y415" t="s">
        <v>52</v>
      </c>
      <c r="Z415" t="s">
        <v>53</v>
      </c>
      <c r="AA415" t="s">
        <v>53</v>
      </c>
      <c r="AC415" s="2">
        <v>0.68851601502544402</v>
      </c>
      <c r="AD415" s="2">
        <v>0.69520592689514205</v>
      </c>
      <c r="AE415" s="2">
        <v>0.18283897638320901</v>
      </c>
      <c r="AF415" s="2">
        <v>0.263243317604065</v>
      </c>
      <c r="AG415" s="2">
        <v>0.182475090026855</v>
      </c>
      <c r="AH415" s="2">
        <v>-0.38858836889267001</v>
      </c>
      <c r="AI415" s="2">
        <v>6.4825072884559604E-2</v>
      </c>
      <c r="AJ415" s="2">
        <v>0.67487240106180302</v>
      </c>
      <c r="AK415" s="2">
        <v>0.48897358654457102</v>
      </c>
      <c r="AL415" s="2">
        <v>0.57161882302532996</v>
      </c>
      <c r="AM415" s="2">
        <v>0.52568924427032504</v>
      </c>
      <c r="AN415" s="2">
        <v>0.48261010646820102</v>
      </c>
      <c r="AO415" s="2">
        <v>0.37143304944038402</v>
      </c>
      <c r="AP415" s="2">
        <v>0.43427520990371699</v>
      </c>
    </row>
    <row r="416" spans="1:42" x14ac:dyDescent="0.3">
      <c r="A416" t="s">
        <v>178</v>
      </c>
      <c r="B416" s="3">
        <v>2015</v>
      </c>
      <c r="C416" s="3">
        <v>0.114676</v>
      </c>
      <c r="D416" s="3"/>
      <c r="E416" t="s">
        <v>58</v>
      </c>
      <c r="G416" s="3">
        <v>1355.20581054688</v>
      </c>
      <c r="H416" s="3">
        <v>1642.05993652344</v>
      </c>
      <c r="I416" s="3">
        <v>1655.90490722656</v>
      </c>
      <c r="J416" s="3">
        <v>1510.22131347656</v>
      </c>
      <c r="K416" s="3">
        <v>6870.61572265625</v>
      </c>
      <c r="L416" s="3"/>
      <c r="M416" s="3"/>
      <c r="N416" s="3"/>
      <c r="O416" s="3">
        <v>1383.6708984375</v>
      </c>
      <c r="P416" s="3">
        <v>1666.62341308594</v>
      </c>
      <c r="Q416" s="3"/>
      <c r="R416" s="3"/>
      <c r="S416" s="3">
        <v>0.58770841360092196</v>
      </c>
      <c r="T416" s="3">
        <v>0.60209298133850098</v>
      </c>
      <c r="U416" s="3">
        <v>0.66017395257949796</v>
      </c>
      <c r="W416" t="s">
        <v>50</v>
      </c>
      <c r="X416" t="s">
        <v>51</v>
      </c>
      <c r="Y416" t="s">
        <v>52</v>
      </c>
      <c r="Z416" t="s">
        <v>53</v>
      </c>
      <c r="AC416" s="2">
        <v>0.46222151771204101</v>
      </c>
      <c r="AD416" s="2">
        <v>0.72775131464004505</v>
      </c>
      <c r="AE416" s="2">
        <v>0.18994174897670699</v>
      </c>
      <c r="AF416" s="2">
        <v>0.16960449516773199</v>
      </c>
      <c r="AG416" s="2">
        <v>4.4271845370531103E-2</v>
      </c>
      <c r="AH416" s="2">
        <v>-0.35649406909942599</v>
      </c>
      <c r="AI416" s="2">
        <v>0.22492471337318401</v>
      </c>
      <c r="AJ416" s="2">
        <v>0.610559906239862</v>
      </c>
      <c r="AK416" s="2">
        <v>0.67005124308128905</v>
      </c>
      <c r="AL416" s="2">
        <v>0.48965556568750401</v>
      </c>
      <c r="AM416" s="2">
        <v>0.57364696264267001</v>
      </c>
      <c r="AN416" s="2">
        <v>0.472283214330673</v>
      </c>
      <c r="AO416" s="2">
        <v>0.49427849054336598</v>
      </c>
      <c r="AP416" s="2"/>
    </row>
    <row r="417" spans="1:42" x14ac:dyDescent="0.3">
      <c r="A417" t="s">
        <v>178</v>
      </c>
      <c r="B417" s="3">
        <v>2016</v>
      </c>
      <c r="C417" s="3">
        <v>0.11513</v>
      </c>
      <c r="D417" s="3"/>
      <c r="E417" t="s">
        <v>58</v>
      </c>
      <c r="G417" s="3">
        <v>1433.98461914063</v>
      </c>
      <c r="H417" s="3">
        <v>1718.50805664063</v>
      </c>
      <c r="I417" s="3">
        <v>1722.87414550781</v>
      </c>
      <c r="J417" s="3">
        <v>1586.35266113281</v>
      </c>
      <c r="K417" s="3">
        <v>6829.27783203125</v>
      </c>
      <c r="L417" s="3"/>
      <c r="M417" s="3"/>
      <c r="N417" s="3"/>
      <c r="O417" s="3">
        <v>1448.94519042969</v>
      </c>
      <c r="P417" s="3">
        <v>1739.11682128906</v>
      </c>
      <c r="Q417" s="3"/>
      <c r="R417" s="3"/>
      <c r="S417" s="3">
        <v>0.59699833393096902</v>
      </c>
      <c r="T417" s="3">
        <v>0.61620336771011397</v>
      </c>
      <c r="U417" s="3">
        <v>0.669233798980713</v>
      </c>
      <c r="W417" t="s">
        <v>50</v>
      </c>
      <c r="X417" t="s">
        <v>51</v>
      </c>
      <c r="Y417" t="s">
        <v>52</v>
      </c>
      <c r="Z417" t="s">
        <v>53</v>
      </c>
      <c r="AC417" s="2">
        <v>0.414425220574269</v>
      </c>
      <c r="AD417" s="2">
        <v>0.735063016414642</v>
      </c>
      <c r="AE417" s="2">
        <v>0.17935696244239799</v>
      </c>
      <c r="AF417" s="2">
        <v>0.168887749314308</v>
      </c>
      <c r="AG417" s="2">
        <v>3.4823473542928703E-2</v>
      </c>
      <c r="AH417" s="2">
        <v>-0.27697157859802202</v>
      </c>
      <c r="AI417" s="2">
        <v>0.158840417861938</v>
      </c>
      <c r="AJ417" s="2">
        <v>0.62149628295449</v>
      </c>
      <c r="AK417" s="2">
        <v>0.71299584104414304</v>
      </c>
      <c r="AL417" s="2">
        <v>0.49037393747869801</v>
      </c>
      <c r="AM417" s="2">
        <v>0.56296908855438199</v>
      </c>
      <c r="AN417" s="2">
        <v>0.44845739006996199</v>
      </c>
      <c r="AO417" s="2">
        <v>0.51732033491134599</v>
      </c>
      <c r="AP417" s="2"/>
    </row>
    <row r="418" spans="1:42" x14ac:dyDescent="0.3">
      <c r="A418" t="s">
        <v>178</v>
      </c>
      <c r="B418" s="3">
        <v>2017</v>
      </c>
      <c r="C418" s="3">
        <v>0.115438</v>
      </c>
      <c r="D418" s="3"/>
      <c r="E418" t="s">
        <v>58</v>
      </c>
      <c r="G418" s="3">
        <v>1474.6025390625</v>
      </c>
      <c r="H418" s="3">
        <v>1827.81628417969</v>
      </c>
      <c r="I418" s="3">
        <v>1801.42407226563</v>
      </c>
      <c r="J418" s="3">
        <v>1656.33325195313</v>
      </c>
      <c r="K418" s="3">
        <v>6895.5390625</v>
      </c>
      <c r="L418" s="3"/>
      <c r="M418" s="3"/>
      <c r="N418" s="3"/>
      <c r="O418" s="3">
        <v>1478.6923828125</v>
      </c>
      <c r="P418" s="3">
        <v>1847.6240234375</v>
      </c>
      <c r="Q418" s="3"/>
      <c r="R418" s="3"/>
      <c r="S418" s="3">
        <v>0.601506888866425</v>
      </c>
      <c r="T418" s="3">
        <v>0.62488675117492698</v>
      </c>
      <c r="U418" s="3">
        <v>0.67962527275085505</v>
      </c>
      <c r="W418" t="s">
        <v>51</v>
      </c>
      <c r="X418" t="s">
        <v>51</v>
      </c>
      <c r="Y418" t="s">
        <v>52</v>
      </c>
      <c r="Z418" t="s">
        <v>53</v>
      </c>
      <c r="AC418" s="2">
        <v>0.37158844278568398</v>
      </c>
      <c r="AD418" s="2">
        <v>0.72867888212204002</v>
      </c>
      <c r="AE418" s="2">
        <v>0.21325038373470301</v>
      </c>
      <c r="AF418" s="2">
        <v>0.161602407693863</v>
      </c>
      <c r="AG418" s="2">
        <v>3.6568548530340202E-2</v>
      </c>
      <c r="AH418" s="2">
        <v>-0.29581055045127902</v>
      </c>
      <c r="AI418" s="2">
        <v>0.155710354447365</v>
      </c>
      <c r="AJ418" s="2">
        <v>0.62616916816628498</v>
      </c>
      <c r="AK418" s="2">
        <v>0.72249327549454601</v>
      </c>
      <c r="AL418" s="2">
        <v>0.490302574032771</v>
      </c>
      <c r="AM418" s="2">
        <v>0.57064217329025302</v>
      </c>
      <c r="AN418" s="2">
        <v>0.46194854378700301</v>
      </c>
      <c r="AO418" s="2">
        <v>0.53436005115509</v>
      </c>
      <c r="AP418" s="2"/>
    </row>
    <row r="419" spans="1:42" x14ac:dyDescent="0.3">
      <c r="A419" t="s">
        <v>178</v>
      </c>
      <c r="B419" s="3">
        <v>2018</v>
      </c>
      <c r="C419" s="3">
        <v>0.115691</v>
      </c>
      <c r="D419" s="3"/>
      <c r="E419" t="s">
        <v>58</v>
      </c>
      <c r="G419" s="3">
        <v>1523.00439453125</v>
      </c>
      <c r="H419" s="3">
        <v>1930.05102539063</v>
      </c>
      <c r="I419" s="3">
        <v>1888.80383300781</v>
      </c>
      <c r="J419" s="3">
        <v>1792.05822753906</v>
      </c>
      <c r="K419" s="3">
        <v>7347.77197265625</v>
      </c>
      <c r="L419" s="3"/>
      <c r="M419" s="3"/>
      <c r="N419" s="3"/>
      <c r="O419" s="3">
        <v>1525.63342285156</v>
      </c>
      <c r="P419" s="3">
        <v>1941.86584472656</v>
      </c>
      <c r="Q419" s="3"/>
      <c r="R419" s="3"/>
      <c r="S419" s="3">
        <v>0.59664976596832298</v>
      </c>
      <c r="T419" s="3">
        <v>0.61759448051452603</v>
      </c>
      <c r="U419" s="3">
        <v>0.65093582868576105</v>
      </c>
      <c r="W419" t="s">
        <v>50</v>
      </c>
      <c r="X419" t="s">
        <v>51</v>
      </c>
      <c r="Y419" t="s">
        <v>52</v>
      </c>
      <c r="Z419" t="s">
        <v>53</v>
      </c>
      <c r="AC419" s="2">
        <v>0.39033125810764002</v>
      </c>
      <c r="AD419" s="2">
        <v>0.68111670017242398</v>
      </c>
      <c r="AE419" s="2">
        <v>0.22713917493820199</v>
      </c>
      <c r="AF419" s="2">
        <v>0.16874654591083499</v>
      </c>
      <c r="AG419" s="2">
        <v>3.5475000739097602E-2</v>
      </c>
      <c r="AH419" s="2">
        <v>-0.26823785901069602</v>
      </c>
      <c r="AI419" s="2">
        <v>0.155760407447815</v>
      </c>
      <c r="AJ419" s="2">
        <v>0.63059170800991005</v>
      </c>
      <c r="AK419" s="2">
        <v>0.69596105246114803</v>
      </c>
      <c r="AL419" s="2">
        <v>0.45964901964760702</v>
      </c>
      <c r="AM419" s="2">
        <v>0.57886826992034901</v>
      </c>
      <c r="AN419" s="2">
        <v>0.50753599405288696</v>
      </c>
      <c r="AO419" s="2">
        <v>0.51457774639129605</v>
      </c>
      <c r="AP419" s="2"/>
    </row>
    <row r="420" spans="1:42" x14ac:dyDescent="0.3">
      <c r="A420" t="s">
        <v>178</v>
      </c>
      <c r="B420" s="3">
        <v>2019</v>
      </c>
      <c r="C420" s="3">
        <v>0.115981</v>
      </c>
      <c r="D420" s="3"/>
      <c r="E420" t="s">
        <v>58</v>
      </c>
      <c r="G420" s="3">
        <v>1539.13928222656</v>
      </c>
      <c r="H420" s="3">
        <v>1967.66296386719</v>
      </c>
      <c r="I420" s="3">
        <v>1943.54968261719</v>
      </c>
      <c r="J420" s="3">
        <v>1843.65539550781</v>
      </c>
      <c r="K420" s="3">
        <v>7750.13037109375</v>
      </c>
      <c r="L420" s="3"/>
      <c r="M420" s="3"/>
      <c r="N420" s="3"/>
      <c r="O420" s="3">
        <v>1504.85974121094</v>
      </c>
      <c r="P420" s="3">
        <v>1936.95971679688</v>
      </c>
      <c r="Q420" s="3"/>
      <c r="R420" s="3"/>
      <c r="S420" s="3">
        <v>0.60173404216766402</v>
      </c>
      <c r="T420" s="3">
        <v>0.62436544895172097</v>
      </c>
      <c r="U420" s="3">
        <v>0.65819513797759999</v>
      </c>
      <c r="W420" t="s">
        <v>50</v>
      </c>
      <c r="X420" t="s">
        <v>54</v>
      </c>
      <c r="Y420" t="s">
        <v>52</v>
      </c>
      <c r="Z420" t="s">
        <v>53</v>
      </c>
      <c r="AC420" s="2">
        <v>0.46572506286941601</v>
      </c>
      <c r="AD420" s="2">
        <v>0.67140942811965898</v>
      </c>
      <c r="AE420" s="2">
        <v>0.232431560754776</v>
      </c>
      <c r="AF420" s="2">
        <v>0.163420826196671</v>
      </c>
      <c r="AG420" s="2">
        <v>3.6406442523002597E-2</v>
      </c>
      <c r="AH420" s="2">
        <v>-0.26942852139473</v>
      </c>
      <c r="AI420" s="2">
        <v>0.165760263800621</v>
      </c>
      <c r="AJ420" s="2">
        <v>0.63487174438886096</v>
      </c>
      <c r="AK420" s="2">
        <v>0.705651159330416</v>
      </c>
      <c r="AL420" s="2">
        <v>0.46558872612919</v>
      </c>
      <c r="AM420" s="2">
        <v>0.58424550294876099</v>
      </c>
      <c r="AN420" s="2">
        <v>0.51419591903686501</v>
      </c>
      <c r="AO420" s="2">
        <v>0.52089971303939797</v>
      </c>
      <c r="AP420" s="2"/>
    </row>
    <row r="421" spans="1:42" x14ac:dyDescent="0.3">
      <c r="A421" t="s">
        <v>178</v>
      </c>
      <c r="B421" s="3">
        <v>2020</v>
      </c>
      <c r="C421" s="3">
        <v>0.116341</v>
      </c>
      <c r="D421" s="3"/>
      <c r="E421" t="s">
        <v>58</v>
      </c>
      <c r="G421" s="3">
        <v>1371.01489257813</v>
      </c>
      <c r="H421" s="3">
        <v>1858.7119140625</v>
      </c>
      <c r="I421" s="3">
        <v>1672.59143066406</v>
      </c>
      <c r="J421" s="3">
        <v>1611.12072753906</v>
      </c>
      <c r="K421" s="3">
        <v>8291.3505859375</v>
      </c>
      <c r="L421" s="3"/>
      <c r="M421" s="3"/>
      <c r="N421" s="3"/>
      <c r="O421" s="3">
        <v>1338.44897460938</v>
      </c>
      <c r="P421" s="3">
        <v>1833.6630859375</v>
      </c>
      <c r="Q421" s="3"/>
      <c r="R421" s="3"/>
      <c r="S421" s="3">
        <v>0.59901171922683705</v>
      </c>
      <c r="T421" s="3">
        <v>0.62382906675338801</v>
      </c>
      <c r="U421" s="3">
        <v>0.64763063192367598</v>
      </c>
      <c r="W421" t="s">
        <v>50</v>
      </c>
      <c r="X421" t="s">
        <v>54</v>
      </c>
      <c r="Y421" t="s">
        <v>52</v>
      </c>
      <c r="Z421" t="s">
        <v>53</v>
      </c>
      <c r="AC421" s="2">
        <v>0.49774651987578</v>
      </c>
      <c r="AD421" s="2">
        <v>0.68189430236816395</v>
      </c>
      <c r="AE421" s="2">
        <v>0.302706718444824</v>
      </c>
      <c r="AF421" s="2">
        <v>0.16907534003257799</v>
      </c>
      <c r="AG421" s="2">
        <v>2.66799293458462E-2</v>
      </c>
      <c r="AH421" s="2">
        <v>-0.241684764623642</v>
      </c>
      <c r="AI421" s="2">
        <v>6.1328485608100898E-2</v>
      </c>
      <c r="AJ421" s="2">
        <v>0.63481076771429301</v>
      </c>
      <c r="AK421" s="2">
        <v>0.69359568880587696</v>
      </c>
      <c r="AL421" s="2">
        <v>0.45463122281353502</v>
      </c>
      <c r="AM421" s="2">
        <v>0.590653777122498</v>
      </c>
      <c r="AN421" s="2">
        <v>0.52772480249404896</v>
      </c>
      <c r="AO421" s="2">
        <v>0.50450742244720503</v>
      </c>
      <c r="AP421" s="2"/>
    </row>
    <row r="422" spans="1:42" x14ac:dyDescent="0.3">
      <c r="A422" t="s">
        <v>179</v>
      </c>
      <c r="B422" s="3">
        <v>2015</v>
      </c>
      <c r="C422" s="3">
        <v>15.971743</v>
      </c>
      <c r="D422" s="3">
        <v>2119.34</v>
      </c>
      <c r="E422" t="s">
        <v>180</v>
      </c>
      <c r="F422" s="3"/>
      <c r="G422" s="3">
        <v>141317.359375</v>
      </c>
      <c r="H422" s="3">
        <v>163244.4375</v>
      </c>
      <c r="I422" s="3">
        <v>148089.5</v>
      </c>
      <c r="J422" s="3">
        <v>148924.984375</v>
      </c>
      <c r="K422" s="3">
        <v>505038.0625</v>
      </c>
      <c r="L422" s="3">
        <v>4.6539050526916998E-3</v>
      </c>
      <c r="M422" s="3">
        <v>0.65488880872726396</v>
      </c>
      <c r="N422" s="3">
        <v>0.692549288272858</v>
      </c>
      <c r="O422" s="3">
        <v>152622.765625</v>
      </c>
      <c r="P422" s="3">
        <v>182449.40625</v>
      </c>
      <c r="Q422" s="3">
        <v>0.98895061016082797</v>
      </c>
      <c r="R422" s="3">
        <v>0.48286351561546298</v>
      </c>
      <c r="S422" s="3">
        <v>0.419827520847321</v>
      </c>
      <c r="T422" s="3">
        <v>0.41992220282554599</v>
      </c>
      <c r="U422" s="3">
        <v>0.417566359043121</v>
      </c>
      <c r="V422" t="s">
        <v>15</v>
      </c>
      <c r="W422" t="s">
        <v>67</v>
      </c>
      <c r="X422" t="s">
        <v>51</v>
      </c>
      <c r="Y422" t="s">
        <v>52</v>
      </c>
      <c r="Z422" t="s">
        <v>53</v>
      </c>
      <c r="AA422" t="s">
        <v>53</v>
      </c>
      <c r="AB422">
        <v>0.23276878715001151</v>
      </c>
      <c r="AC422" s="2">
        <v>0.54110027680342299</v>
      </c>
      <c r="AD422" s="2">
        <v>0.84596425294876099</v>
      </c>
      <c r="AE422" s="2">
        <v>0.14723572134971599</v>
      </c>
      <c r="AF422" s="2">
        <v>0.102952107787132</v>
      </c>
      <c r="AG422" s="2">
        <v>0.131020203232765</v>
      </c>
      <c r="AH422" s="2">
        <v>-0.23675313591957101</v>
      </c>
      <c r="AI422" s="2">
        <v>9.5808692276477796E-3</v>
      </c>
      <c r="AJ422" s="2">
        <v>0.41618896200761002</v>
      </c>
      <c r="AK422" s="2">
        <v>0.420532385575214</v>
      </c>
      <c r="AL422" s="2">
        <v>0.44972572781589598</v>
      </c>
      <c r="AM422" s="2">
        <v>0.54721683263778698</v>
      </c>
      <c r="AN422" s="2">
        <v>0.50022286176681496</v>
      </c>
      <c r="AO422" s="2">
        <v>0.27708190679550199</v>
      </c>
      <c r="AP422" s="2">
        <v>0.92321473360061701</v>
      </c>
    </row>
    <row r="423" spans="1:42" x14ac:dyDescent="0.3">
      <c r="A423" t="s">
        <v>179</v>
      </c>
      <c r="B423" s="3">
        <v>2016</v>
      </c>
      <c r="C423" s="3">
        <v>16.26876</v>
      </c>
      <c r="D423" s="3">
        <v>2138.1799999999998</v>
      </c>
      <c r="E423" t="s">
        <v>180</v>
      </c>
      <c r="F423" s="3"/>
      <c r="G423" s="3">
        <v>149543.015625</v>
      </c>
      <c r="H423" s="3">
        <v>171725.0625</v>
      </c>
      <c r="I423" s="3">
        <v>157739.046875</v>
      </c>
      <c r="J423" s="3">
        <v>158447.859375</v>
      </c>
      <c r="K423" s="3">
        <v>555276.6875</v>
      </c>
      <c r="L423" s="3">
        <v>4.9224793910980199E-3</v>
      </c>
      <c r="M423" s="3">
        <v>0.64801424741744995</v>
      </c>
      <c r="N423" s="3">
        <v>0.67900627851486195</v>
      </c>
      <c r="O423" s="3">
        <v>157569.59375</v>
      </c>
      <c r="P423" s="3">
        <v>186566.109375</v>
      </c>
      <c r="Q423" s="3">
        <v>0.973707795143127</v>
      </c>
      <c r="R423" s="3">
        <v>0.48411095142364502</v>
      </c>
      <c r="S423" s="3">
        <v>0.41963687539100603</v>
      </c>
      <c r="T423" s="3">
        <v>0.418751180171967</v>
      </c>
      <c r="U423" s="3">
        <v>0.41687783598899802</v>
      </c>
      <c r="V423" t="s">
        <v>16</v>
      </c>
      <c r="W423" t="s">
        <v>67</v>
      </c>
      <c r="X423" t="s">
        <v>51</v>
      </c>
      <c r="Y423" t="s">
        <v>52</v>
      </c>
      <c r="Z423" t="s">
        <v>53</v>
      </c>
      <c r="AA423" t="s">
        <v>53</v>
      </c>
      <c r="AB423">
        <v>0.28328953908293658</v>
      </c>
      <c r="AC423" s="2">
        <v>0.54458334919388696</v>
      </c>
      <c r="AD423" s="2">
        <v>0.84785336256027199</v>
      </c>
      <c r="AE423" s="2">
        <v>0.139995843172073</v>
      </c>
      <c r="AF423" s="2">
        <v>9.5946177840232905E-2</v>
      </c>
      <c r="AG423" s="2">
        <v>0.12309205532074</v>
      </c>
      <c r="AH423" s="2">
        <v>-0.21492157876491499</v>
      </c>
      <c r="AI423" s="2">
        <v>8.0341547727584804E-3</v>
      </c>
      <c r="AJ423" s="2">
        <v>0.41579072472467599</v>
      </c>
      <c r="AK423" s="2">
        <v>0.41277994031312898</v>
      </c>
      <c r="AL423" s="2">
        <v>0.453624308062202</v>
      </c>
      <c r="AM423" s="2">
        <v>0.54304289817810103</v>
      </c>
      <c r="AN423" s="2">
        <v>0.49858301877975503</v>
      </c>
      <c r="AO423" s="2">
        <v>0.26829880475997903</v>
      </c>
      <c r="AP423" s="2">
        <v>0.89604711532592796</v>
      </c>
    </row>
    <row r="424" spans="1:42" x14ac:dyDescent="0.3">
      <c r="A424" t="s">
        <v>179</v>
      </c>
      <c r="B424" s="3">
        <v>2017</v>
      </c>
      <c r="C424" s="3">
        <v>16.567357000000001</v>
      </c>
      <c r="D424" s="3">
        <v>2089.5500000000002</v>
      </c>
      <c r="E424" t="s">
        <v>180</v>
      </c>
      <c r="F424" s="3"/>
      <c r="G424" s="3">
        <v>160351.8125</v>
      </c>
      <c r="H424" s="3">
        <v>184686.359375</v>
      </c>
      <c r="I424" s="3">
        <v>169313.796875</v>
      </c>
      <c r="J424" s="3">
        <v>169975.5625</v>
      </c>
      <c r="K424" s="3">
        <v>596797.1875</v>
      </c>
      <c r="L424" s="3">
        <v>5.1617654971778401E-3</v>
      </c>
      <c r="M424" s="3">
        <v>0.65533524751663197</v>
      </c>
      <c r="N424" s="3">
        <v>0.68571937084197998</v>
      </c>
      <c r="O424" s="3">
        <v>162514.09375</v>
      </c>
      <c r="P424" s="3">
        <v>192694.734375</v>
      </c>
      <c r="Q424" s="3">
        <v>0.97421318292617798</v>
      </c>
      <c r="R424" s="3">
        <v>0.48951360583305398</v>
      </c>
      <c r="S424" s="3">
        <v>0.42667007446289101</v>
      </c>
      <c r="T424" s="3">
        <v>0.42320093512535101</v>
      </c>
      <c r="U424" s="3">
        <v>0.421553283929825</v>
      </c>
      <c r="V424" t="s">
        <v>17</v>
      </c>
      <c r="W424" t="s">
        <v>50</v>
      </c>
      <c r="X424" t="s">
        <v>51</v>
      </c>
      <c r="Y424" t="s">
        <v>52</v>
      </c>
      <c r="Z424" t="s">
        <v>53</v>
      </c>
      <c r="AA424" t="s">
        <v>53</v>
      </c>
      <c r="AB424">
        <v>0.23538164710807952</v>
      </c>
      <c r="AC424" s="2">
        <v>0.55053992411104202</v>
      </c>
      <c r="AD424" s="2">
        <v>0.84633767604827903</v>
      </c>
      <c r="AE424" s="2">
        <v>0.143164992332459</v>
      </c>
      <c r="AF424" s="2">
        <v>9.7043827176094097E-2</v>
      </c>
      <c r="AG424" s="2">
        <v>0.1180454865098</v>
      </c>
      <c r="AH424" s="2">
        <v>-0.21660593152046201</v>
      </c>
      <c r="AI424" s="2">
        <v>1.20139149948955E-2</v>
      </c>
      <c r="AJ424" s="2">
        <v>0.42293114754519101</v>
      </c>
      <c r="AK424" s="2">
        <v>0.40034111213935403</v>
      </c>
      <c r="AL424" s="2">
        <v>0.45927787708437501</v>
      </c>
      <c r="AM424" s="2">
        <v>0.54879015684127797</v>
      </c>
      <c r="AN424" s="2">
        <v>0.49915951490402199</v>
      </c>
      <c r="AO424" s="2">
        <v>0.26154208183288602</v>
      </c>
      <c r="AP424" s="2">
        <v>0.88413441181182895</v>
      </c>
    </row>
    <row r="425" spans="1:42" ht="15" thickBot="1" x14ac:dyDescent="0.35">
      <c r="A425" t="s">
        <v>179</v>
      </c>
      <c r="B425" s="3">
        <v>2018</v>
      </c>
      <c r="C425" s="3">
        <v>16.845685</v>
      </c>
      <c r="D425" s="3">
        <v>2090.09</v>
      </c>
      <c r="E425" t="s">
        <v>180</v>
      </c>
      <c r="F425" s="3"/>
      <c r="G425" s="3">
        <v>161693.0625</v>
      </c>
      <c r="H425" s="3">
        <v>187523.140625</v>
      </c>
      <c r="I425" s="3">
        <v>169438.890625</v>
      </c>
      <c r="J425" s="3">
        <v>171384.734375</v>
      </c>
      <c r="K425" s="3">
        <v>615698.25</v>
      </c>
      <c r="L425" s="3">
        <v>5.1596383564174201E-3</v>
      </c>
      <c r="M425" s="3">
        <v>0.64421999454498302</v>
      </c>
      <c r="N425" s="3">
        <v>0.67852032184600797</v>
      </c>
      <c r="O425" s="3">
        <v>169015.171875</v>
      </c>
      <c r="P425" s="3">
        <v>200746.34375</v>
      </c>
      <c r="Q425" s="3">
        <v>0.987829148769379</v>
      </c>
      <c r="R425" s="3">
        <v>0.49395149946212802</v>
      </c>
      <c r="S425" s="3">
        <v>0.43936601281166099</v>
      </c>
      <c r="T425" s="3">
        <v>0.43277177214622498</v>
      </c>
      <c r="U425" s="3">
        <v>0.42785826325416598</v>
      </c>
      <c r="V425" s="4" t="s">
        <v>18</v>
      </c>
      <c r="W425" t="s">
        <v>50</v>
      </c>
      <c r="X425" t="s">
        <v>51</v>
      </c>
      <c r="Y425" t="s">
        <v>52</v>
      </c>
      <c r="Z425" t="s">
        <v>53</v>
      </c>
      <c r="AA425" t="s">
        <v>53</v>
      </c>
      <c r="AB425" s="4">
        <v>0.23394197751011803</v>
      </c>
      <c r="AC425" s="2">
        <v>0.55069958632847005</v>
      </c>
      <c r="AD425" s="2">
        <v>0.84235006570815996</v>
      </c>
      <c r="AE425" s="2">
        <v>0.15071403980255099</v>
      </c>
      <c r="AF425" s="2">
        <v>0.10110074281692499</v>
      </c>
      <c r="AG425" s="2">
        <v>0.112887591123581</v>
      </c>
      <c r="AH425" s="2">
        <v>-0.22006417810916901</v>
      </c>
      <c r="AI425" s="2">
        <v>1.3011746108532E-2</v>
      </c>
      <c r="AJ425" s="2">
        <v>0.43561611638306902</v>
      </c>
      <c r="AK425" s="2">
        <v>0.39149281454790102</v>
      </c>
      <c r="AL425" s="2">
        <v>0.47060922249654902</v>
      </c>
      <c r="AM425" s="2">
        <v>0.561501324176788</v>
      </c>
      <c r="AN425" s="2">
        <v>0.52084422111511197</v>
      </c>
      <c r="AO425" s="2">
        <v>0.25670358538627602</v>
      </c>
      <c r="AP425" s="2">
        <v>0.85037529468536399</v>
      </c>
    </row>
    <row r="426" spans="1:42" x14ac:dyDescent="0.3">
      <c r="A426" t="s">
        <v>179</v>
      </c>
      <c r="B426" s="3">
        <v>2019</v>
      </c>
      <c r="C426" s="3">
        <v>17.103802999999999</v>
      </c>
      <c r="D426" s="3">
        <v>2119.64</v>
      </c>
      <c r="E426" t="s">
        <v>180</v>
      </c>
      <c r="F426" s="3"/>
      <c r="G426" s="3">
        <v>168884.109375</v>
      </c>
      <c r="H426" s="3">
        <v>198030.75</v>
      </c>
      <c r="I426" s="3">
        <v>179550.03125</v>
      </c>
      <c r="J426" s="3">
        <v>179998.15625</v>
      </c>
      <c r="K426" s="3">
        <v>665944.625</v>
      </c>
      <c r="L426" s="3">
        <v>5.3418306633830097E-3</v>
      </c>
      <c r="M426" s="3">
        <v>0.63357913494110096</v>
      </c>
      <c r="N426" s="3">
        <v>0.67075771093368497</v>
      </c>
      <c r="O426" s="3">
        <v>176505.03125</v>
      </c>
      <c r="P426" s="3">
        <v>210495.65625</v>
      </c>
      <c r="Q426" s="3">
        <v>0.98274177312850997</v>
      </c>
      <c r="R426" s="3">
        <v>0.488610118627548</v>
      </c>
      <c r="S426" s="3">
        <v>0.43850681185722401</v>
      </c>
      <c r="T426" s="3">
        <v>0.429809510707855</v>
      </c>
      <c r="U426" s="3">
        <v>0.42873945832252502</v>
      </c>
      <c r="W426" t="s">
        <v>50</v>
      </c>
      <c r="X426" t="s">
        <v>54</v>
      </c>
      <c r="Y426" t="s">
        <v>52</v>
      </c>
      <c r="Z426" t="s">
        <v>53</v>
      </c>
      <c r="AA426" t="s">
        <v>53</v>
      </c>
      <c r="AC426" s="2">
        <v>0.556486335281838</v>
      </c>
      <c r="AD426" s="2">
        <v>0.84148967266082797</v>
      </c>
      <c r="AE426" s="2">
        <v>0.16192744672298401</v>
      </c>
      <c r="AF426" s="2">
        <v>9.6764959394931793E-2</v>
      </c>
      <c r="AG426" s="2">
        <v>0.110809929668903</v>
      </c>
      <c r="AH426" s="2">
        <v>-0.21926303207874301</v>
      </c>
      <c r="AI426" s="2">
        <v>8.2709761336445808E-3</v>
      </c>
      <c r="AJ426" s="2">
        <v>0.43234154579552703</v>
      </c>
      <c r="AK426" s="2">
        <v>0.379414770133575</v>
      </c>
      <c r="AL426" s="2">
        <v>0.49212146759709102</v>
      </c>
      <c r="AM426" s="2">
        <v>0.56599879264831499</v>
      </c>
      <c r="AN426" s="2">
        <v>0.50347584486007702</v>
      </c>
      <c r="AO426" s="2">
        <v>0.24988940358161901</v>
      </c>
      <c r="AP426" s="2">
        <v>0.84031069278716997</v>
      </c>
    </row>
    <row r="427" spans="1:42" x14ac:dyDescent="0.3">
      <c r="A427" t="s">
        <v>179</v>
      </c>
      <c r="B427" s="3">
        <v>2020</v>
      </c>
      <c r="C427" s="3">
        <v>17.357324999999999</v>
      </c>
      <c r="D427" s="3">
        <v>2071.0700000000002</v>
      </c>
      <c r="E427" t="s">
        <v>180</v>
      </c>
      <c r="F427" s="3"/>
      <c r="G427" s="3">
        <v>168878.75</v>
      </c>
      <c r="H427" s="3">
        <v>197315.9375</v>
      </c>
      <c r="I427" s="3">
        <v>181935.9375</v>
      </c>
      <c r="J427" s="3">
        <v>180600.25</v>
      </c>
      <c r="K427" s="3">
        <v>712464.125</v>
      </c>
      <c r="L427" s="3">
        <v>5.4463883861899402E-3</v>
      </c>
      <c r="M427" s="3">
        <v>0.63037300109863303</v>
      </c>
      <c r="N427" s="3">
        <v>0.66070091724395796</v>
      </c>
      <c r="O427" s="3">
        <v>174188.265625</v>
      </c>
      <c r="P427" s="3">
        <v>206558.921875</v>
      </c>
      <c r="Q427" s="3">
        <v>0.97114741802215598</v>
      </c>
      <c r="R427" s="3">
        <v>0.48149728775024397</v>
      </c>
      <c r="S427" s="3">
        <v>0.436981230974197</v>
      </c>
      <c r="T427" s="3">
        <v>0.42718040943145802</v>
      </c>
      <c r="U427" s="3">
        <v>0.43033975362777699</v>
      </c>
      <c r="W427" t="s">
        <v>50</v>
      </c>
      <c r="X427" t="s">
        <v>54</v>
      </c>
      <c r="Y427" t="s">
        <v>52</v>
      </c>
      <c r="Z427" t="s">
        <v>53</v>
      </c>
      <c r="AA427" t="s">
        <v>53</v>
      </c>
      <c r="AC427" s="2">
        <v>0.55713460791911495</v>
      </c>
      <c r="AD427" s="2">
        <v>0.83708643913268999</v>
      </c>
      <c r="AE427" s="2">
        <v>0.15745933353900901</v>
      </c>
      <c r="AF427" s="2">
        <v>9.8010577261447906E-2</v>
      </c>
      <c r="AG427" s="2">
        <v>0.101858407258987</v>
      </c>
      <c r="AH427" s="2">
        <v>-0.20293858647346499</v>
      </c>
      <c r="AI427" s="2">
        <v>8.52380227297545E-3</v>
      </c>
      <c r="AJ427" s="2">
        <v>0.42916882766925801</v>
      </c>
      <c r="AK427" s="2">
        <v>0.36897656710865701</v>
      </c>
      <c r="AL427" s="2">
        <v>0.50370531274227404</v>
      </c>
      <c r="AM427" s="2">
        <v>0.57352882623672496</v>
      </c>
      <c r="AN427" s="2">
        <v>0.48519989848136902</v>
      </c>
      <c r="AO427" s="2">
        <v>0.24032911658287001</v>
      </c>
      <c r="AP427" s="2">
        <v>0.878612101078033</v>
      </c>
    </row>
    <row r="428" spans="1:42" x14ac:dyDescent="0.3">
      <c r="A428" t="s">
        <v>181</v>
      </c>
      <c r="B428" s="3">
        <v>2015</v>
      </c>
      <c r="C428" s="3">
        <v>0.75878100000000004</v>
      </c>
      <c r="D428" s="3"/>
      <c r="E428" t="s">
        <v>182</v>
      </c>
      <c r="G428" s="3">
        <v>9229.6318359375</v>
      </c>
      <c r="H428" s="3">
        <v>10911.146484375</v>
      </c>
      <c r="I428" s="3">
        <v>9360.8828125</v>
      </c>
      <c r="J428" s="3">
        <v>9141.4375</v>
      </c>
      <c r="K428" s="3"/>
      <c r="L428" s="3"/>
      <c r="M428" s="3"/>
      <c r="N428" s="3"/>
      <c r="O428" s="3">
        <v>8296.7080078125</v>
      </c>
      <c r="P428" s="3">
        <v>10284.685546875</v>
      </c>
      <c r="Q428" s="3"/>
      <c r="R428" s="3"/>
      <c r="S428" s="3">
        <v>0.43151614069938699</v>
      </c>
      <c r="T428" s="3">
        <v>0.457204729318619</v>
      </c>
      <c r="U428" s="3">
        <v>0.46818023920059199</v>
      </c>
      <c r="W428" t="s">
        <v>67</v>
      </c>
      <c r="X428" t="s">
        <v>51</v>
      </c>
      <c r="Y428" t="s">
        <v>52</v>
      </c>
      <c r="Z428" t="s">
        <v>53</v>
      </c>
      <c r="AC428" s="2">
        <v>0.455744699482655</v>
      </c>
      <c r="AD428" s="2">
        <v>0.72741252183914196</v>
      </c>
      <c r="AE428" s="2">
        <v>0.18394425511360199</v>
      </c>
      <c r="AF428" s="2">
        <v>0.28223523497581499</v>
      </c>
      <c r="AG428" s="2">
        <v>0.35733619332313499</v>
      </c>
      <c r="AH428" s="2">
        <v>-0.56421262025833097</v>
      </c>
      <c r="AI428" s="2">
        <v>1.3284385204315199E-2</v>
      </c>
      <c r="AJ428" s="2">
        <v>0.48984589316282701</v>
      </c>
      <c r="AK428" s="2">
        <v>0.59820638468446896</v>
      </c>
      <c r="AL428" s="2">
        <v>0.28118124631556601</v>
      </c>
      <c r="AM428" s="2">
        <v>0.56499743461608898</v>
      </c>
      <c r="AN428" s="2">
        <v>0.50627940893173196</v>
      </c>
      <c r="AO428" s="2"/>
      <c r="AP428" s="2"/>
    </row>
    <row r="429" spans="1:42" x14ac:dyDescent="0.3">
      <c r="A429" t="s">
        <v>181</v>
      </c>
      <c r="B429" s="3">
        <v>2016</v>
      </c>
      <c r="C429" s="3">
        <v>0.763548</v>
      </c>
      <c r="D429" s="3"/>
      <c r="E429" t="s">
        <v>182</v>
      </c>
      <c r="G429" s="3">
        <v>8408.4580078125</v>
      </c>
      <c r="H429" s="3">
        <v>10513.1884765625</v>
      </c>
      <c r="I429" s="3">
        <v>9484.4794921875</v>
      </c>
      <c r="J429" s="3">
        <v>9339.951171875</v>
      </c>
      <c r="K429" s="3"/>
      <c r="L429" s="3"/>
      <c r="M429" s="3"/>
      <c r="N429" s="3"/>
      <c r="O429" s="3">
        <v>7463.03369140625</v>
      </c>
      <c r="P429" s="3">
        <v>10152.8251953125</v>
      </c>
      <c r="Q429" s="3"/>
      <c r="R429" s="3"/>
      <c r="S429" s="3">
        <v>0.42989060282707198</v>
      </c>
      <c r="T429" s="3">
        <v>0.47263500094413802</v>
      </c>
      <c r="U429" s="3">
        <v>0.47994869947433499</v>
      </c>
      <c r="W429" t="s">
        <v>67</v>
      </c>
      <c r="X429" t="s">
        <v>51</v>
      </c>
      <c r="Y429" t="s">
        <v>52</v>
      </c>
      <c r="Z429" t="s">
        <v>53</v>
      </c>
      <c r="AC429" s="2">
        <v>0.45362404660671202</v>
      </c>
      <c r="AD429" s="2">
        <v>0.61078202724456798</v>
      </c>
      <c r="AE429" s="2">
        <v>0.22534704208374001</v>
      </c>
      <c r="AF429" s="2">
        <v>0.28948587179183999</v>
      </c>
      <c r="AG429" s="2">
        <v>0.408228039741516</v>
      </c>
      <c r="AH429" s="2">
        <v>-0.50025993585586603</v>
      </c>
      <c r="AI429" s="2">
        <v>-3.3583033829927403E-2</v>
      </c>
      <c r="AJ429" s="2">
        <v>0.49648618369955599</v>
      </c>
      <c r="AK429" s="2">
        <v>0.64340012614856901</v>
      </c>
      <c r="AL429" s="2">
        <v>0.289381593810981</v>
      </c>
      <c r="AM429" s="2">
        <v>0.56128466129303001</v>
      </c>
      <c r="AN429" s="2">
        <v>0.52986526489257801</v>
      </c>
      <c r="AO429" s="2"/>
      <c r="AP429" s="2"/>
    </row>
    <row r="430" spans="1:42" x14ac:dyDescent="0.3">
      <c r="A430" t="s">
        <v>181</v>
      </c>
      <c r="B430" s="3">
        <v>2017</v>
      </c>
      <c r="C430" s="3">
        <v>0.76847900000000002</v>
      </c>
      <c r="D430" s="3"/>
      <c r="E430" t="s">
        <v>182</v>
      </c>
      <c r="G430" s="3">
        <v>8965.2841796875</v>
      </c>
      <c r="H430" s="3">
        <v>11379.7626953125</v>
      </c>
      <c r="I430" s="3">
        <v>9837.0478515625</v>
      </c>
      <c r="J430" s="3">
        <v>9748.576171875</v>
      </c>
      <c r="K430" s="3"/>
      <c r="L430" s="3"/>
      <c r="M430" s="3"/>
      <c r="N430" s="3"/>
      <c r="O430" s="3">
        <v>8121.3466796875</v>
      </c>
      <c r="P430" s="3">
        <v>10991.5166015625</v>
      </c>
      <c r="Q430" s="3"/>
      <c r="R430" s="3"/>
      <c r="S430" s="3">
        <v>0.448009252548218</v>
      </c>
      <c r="T430" s="3">
        <v>0.48268288373947099</v>
      </c>
      <c r="U430" s="3">
        <v>0.487063348293304</v>
      </c>
      <c r="W430" t="s">
        <v>51</v>
      </c>
      <c r="X430" t="s">
        <v>51</v>
      </c>
      <c r="Y430" t="s">
        <v>52</v>
      </c>
      <c r="Z430" t="s">
        <v>53</v>
      </c>
      <c r="AC430" s="2">
        <v>0.45820808654997203</v>
      </c>
      <c r="AD430" s="2">
        <v>0.65660685300827004</v>
      </c>
      <c r="AE430" s="2">
        <v>0.247675031423569</v>
      </c>
      <c r="AF430" s="2">
        <v>0.26304379105567899</v>
      </c>
      <c r="AG430" s="2">
        <v>0.39891389012336698</v>
      </c>
      <c r="AH430" s="2">
        <v>-0.56946784257888805</v>
      </c>
      <c r="AI430" s="2">
        <v>3.2283242326229802E-3</v>
      </c>
      <c r="AJ430" s="2">
        <v>0.49999493548196999</v>
      </c>
      <c r="AK430" s="2">
        <v>0.61143074384097296</v>
      </c>
      <c r="AL430" s="2">
        <v>0.31824318318061301</v>
      </c>
      <c r="AM430" s="2">
        <v>0.57227897644043002</v>
      </c>
      <c r="AN430" s="2">
        <v>0.53777778148651101</v>
      </c>
      <c r="AO430" s="2"/>
      <c r="AP430" s="2"/>
    </row>
    <row r="431" spans="1:42" x14ac:dyDescent="0.3">
      <c r="A431" t="s">
        <v>181</v>
      </c>
      <c r="B431" s="3">
        <v>2018</v>
      </c>
      <c r="C431" s="3">
        <v>0.79155600000000004</v>
      </c>
      <c r="D431" s="3"/>
      <c r="E431" t="s">
        <v>182</v>
      </c>
      <c r="G431" s="3">
        <v>9186.912109375</v>
      </c>
      <c r="H431" s="3">
        <v>11617.7216796875</v>
      </c>
      <c r="I431" s="3">
        <v>10114.18359375</v>
      </c>
      <c r="J431" s="3">
        <v>9687.00390625</v>
      </c>
      <c r="K431" s="3"/>
      <c r="L431" s="3"/>
      <c r="M431" s="3"/>
      <c r="N431" s="3"/>
      <c r="O431" s="3">
        <v>8553.23828125</v>
      </c>
      <c r="P431" s="3">
        <v>11398.5595703125</v>
      </c>
      <c r="Q431" s="3"/>
      <c r="R431" s="3"/>
      <c r="S431" s="3">
        <v>0.444536983966827</v>
      </c>
      <c r="T431" s="3">
        <v>0.47335872054099998</v>
      </c>
      <c r="U431" s="3">
        <v>0.49423307180404702</v>
      </c>
      <c r="W431" t="s">
        <v>50</v>
      </c>
      <c r="X431" t="s">
        <v>51</v>
      </c>
      <c r="Y431" t="s">
        <v>52</v>
      </c>
      <c r="Z431" t="s">
        <v>53</v>
      </c>
      <c r="AC431" s="2">
        <v>0.46011136615893</v>
      </c>
      <c r="AD431" s="2">
        <v>0.65610700845718395</v>
      </c>
      <c r="AE431" s="2">
        <v>0.25093516707420399</v>
      </c>
      <c r="AF431" s="2">
        <v>0.29226803779602101</v>
      </c>
      <c r="AG431" s="2">
        <v>0.38570764660835299</v>
      </c>
      <c r="AH431" s="2">
        <v>-0.58734273910522505</v>
      </c>
      <c r="AI431" s="2">
        <v>2.3248544894158801E-3</v>
      </c>
      <c r="AJ431" s="2">
        <v>0.50002288809610995</v>
      </c>
      <c r="AK431" s="2">
        <v>0.58228650674291305</v>
      </c>
      <c r="AL431" s="2">
        <v>0.31997770350782001</v>
      </c>
      <c r="AM431" s="2">
        <v>0.587022185325623</v>
      </c>
      <c r="AN431" s="2">
        <v>0.51254379749298096</v>
      </c>
      <c r="AO431" s="2"/>
      <c r="AP431" s="2"/>
    </row>
    <row r="432" spans="1:42" x14ac:dyDescent="0.3">
      <c r="A432" t="s">
        <v>181</v>
      </c>
      <c r="B432" s="3">
        <v>2019</v>
      </c>
      <c r="C432" s="3">
        <v>0.80766499999999997</v>
      </c>
      <c r="D432" s="3"/>
      <c r="E432" t="s">
        <v>182</v>
      </c>
      <c r="G432" s="3">
        <v>19262.90625</v>
      </c>
      <c r="H432" s="3">
        <v>20427.21875</v>
      </c>
      <c r="I432" s="3">
        <v>11340.0361328125</v>
      </c>
      <c r="J432" s="3">
        <v>12085.8779296875</v>
      </c>
      <c r="K432" s="3"/>
      <c r="L432" s="3"/>
      <c r="M432" s="3"/>
      <c r="N432" s="3"/>
      <c r="O432" s="3">
        <v>17613.466796875</v>
      </c>
      <c r="P432" s="3">
        <v>18832.1953125</v>
      </c>
      <c r="Q432" s="3"/>
      <c r="R432" s="3"/>
      <c r="S432" s="3">
        <v>0.44782534241676297</v>
      </c>
      <c r="T432" s="3">
        <v>0.45623844861984297</v>
      </c>
      <c r="U432" s="3">
        <v>0.42808306217193598</v>
      </c>
      <c r="W432" t="s">
        <v>50</v>
      </c>
      <c r="X432" t="s">
        <v>54</v>
      </c>
      <c r="Y432" t="s">
        <v>52</v>
      </c>
      <c r="Z432" t="s">
        <v>53</v>
      </c>
      <c r="AC432" s="2">
        <v>0.46059082642011701</v>
      </c>
      <c r="AD432" s="2">
        <v>1.16027796268463</v>
      </c>
      <c r="AE432" s="2">
        <v>9.6336588263511699E-2</v>
      </c>
      <c r="AF432" s="2">
        <v>0.43355786800384499</v>
      </c>
      <c r="AG432" s="2">
        <v>0.248185023665428</v>
      </c>
      <c r="AH432" s="2">
        <v>-0.93835747241973899</v>
      </c>
      <c r="AI432" s="2">
        <v>-1.7578989591581701E-16</v>
      </c>
      <c r="AJ432" s="2">
        <v>0.48362882662156298</v>
      </c>
      <c r="AK432" s="2">
        <v>0.59542876617246099</v>
      </c>
      <c r="AL432" s="2">
        <v>0.35200881611256002</v>
      </c>
      <c r="AM432" s="2">
        <v>0.59741938114166304</v>
      </c>
      <c r="AN432" s="2">
        <v>0.52358412742614802</v>
      </c>
      <c r="AO432" s="2"/>
      <c r="AP432" s="2"/>
    </row>
    <row r="433" spans="1:42" x14ac:dyDescent="0.3">
      <c r="A433" t="s">
        <v>181</v>
      </c>
      <c r="B433" s="3">
        <v>2020</v>
      </c>
      <c r="C433" s="3">
        <v>0.807481</v>
      </c>
      <c r="D433" s="3"/>
      <c r="E433" t="s">
        <v>182</v>
      </c>
      <c r="G433" s="3">
        <v>15801.6796875</v>
      </c>
      <c r="H433" s="3">
        <v>16943.970703125</v>
      </c>
      <c r="I433" s="3">
        <v>13398.064453125</v>
      </c>
      <c r="J433" s="3">
        <v>12420.58203125</v>
      </c>
      <c r="K433" s="3"/>
      <c r="L433" s="3"/>
      <c r="M433" s="3"/>
      <c r="N433" s="3"/>
      <c r="O433" s="3">
        <v>17797.37109375</v>
      </c>
      <c r="P433" s="3">
        <v>18970.080078125</v>
      </c>
      <c r="Q433" s="3"/>
      <c r="R433" s="3"/>
      <c r="S433" s="3">
        <v>0.40677237510681202</v>
      </c>
      <c r="T433" s="3">
        <v>0.408570826053619</v>
      </c>
      <c r="U433" s="3">
        <v>0.44072476029396102</v>
      </c>
      <c r="W433" t="s">
        <v>50</v>
      </c>
      <c r="X433" t="s">
        <v>54</v>
      </c>
      <c r="Y433" t="s">
        <v>52</v>
      </c>
      <c r="Z433" t="s">
        <v>53</v>
      </c>
      <c r="AC433" s="2">
        <v>0.46101302493037899</v>
      </c>
      <c r="AD433" s="2">
        <v>0.87699967622757002</v>
      </c>
      <c r="AE433" s="2">
        <v>9.1967612504959106E-2</v>
      </c>
      <c r="AF433" s="2">
        <v>0.39521762728691101</v>
      </c>
      <c r="AG433" s="2">
        <v>0.50863254070282005</v>
      </c>
      <c r="AH433" s="2">
        <v>-0.87281739711761497</v>
      </c>
      <c r="AI433" s="2">
        <v>-8.7625577366995399E-13</v>
      </c>
      <c r="AJ433" s="2">
        <v>0.46443002789702797</v>
      </c>
      <c r="AK433" s="2">
        <v>0.433449460938234</v>
      </c>
      <c r="AL433" s="2">
        <v>0.27882828857481201</v>
      </c>
      <c r="AM433" s="2">
        <v>0.44207143783569303</v>
      </c>
      <c r="AN433" s="2">
        <v>0.39125397801399198</v>
      </c>
      <c r="AO433" s="2"/>
      <c r="AP433" s="2"/>
    </row>
    <row r="434" spans="1:42" x14ac:dyDescent="0.3">
      <c r="A434" t="s">
        <v>183</v>
      </c>
      <c r="B434" s="3">
        <v>2015</v>
      </c>
      <c r="C434" s="3">
        <v>7.366409</v>
      </c>
      <c r="D434" s="3">
        <v>2288</v>
      </c>
      <c r="E434" t="s">
        <v>184</v>
      </c>
      <c r="G434" s="3">
        <v>333933.84375</v>
      </c>
      <c r="H434" s="3">
        <v>436244.96875</v>
      </c>
      <c r="I434" s="3">
        <v>446923.09375</v>
      </c>
      <c r="J434" s="3">
        <v>403885.5</v>
      </c>
      <c r="K434" s="3">
        <v>2532669.75</v>
      </c>
      <c r="L434" s="3">
        <v>2.7170520275831202E-2</v>
      </c>
      <c r="M434" s="3">
        <v>0.67758274078369096</v>
      </c>
      <c r="N434" s="3">
        <v>0.706068515777588</v>
      </c>
      <c r="O434" s="3">
        <v>321006.59375</v>
      </c>
      <c r="P434" s="3">
        <v>415272.40625</v>
      </c>
      <c r="Q434" s="3">
        <v>0.95172631740570102</v>
      </c>
      <c r="R434" s="3">
        <v>0.51357781887054399</v>
      </c>
      <c r="S434" s="3">
        <v>0.70477247238159202</v>
      </c>
      <c r="T434" s="3">
        <v>0.69225698709487904</v>
      </c>
      <c r="U434" s="3">
        <v>0.76602303981780995</v>
      </c>
      <c r="W434" t="s">
        <v>50</v>
      </c>
      <c r="X434" t="s">
        <v>51</v>
      </c>
      <c r="Y434" t="s">
        <v>52</v>
      </c>
      <c r="Z434" t="s">
        <v>53</v>
      </c>
      <c r="AA434" t="s">
        <v>53</v>
      </c>
      <c r="AC434" s="2">
        <v>0.62769658617896795</v>
      </c>
      <c r="AD434" s="2">
        <v>0.73147994279861495</v>
      </c>
      <c r="AE434" s="2">
        <v>0.25331717729568498</v>
      </c>
      <c r="AF434" s="2">
        <v>9.5323294401168795E-2</v>
      </c>
      <c r="AG434" s="2">
        <v>2.5132470130920401</v>
      </c>
      <c r="AH434" s="2">
        <v>-2.5933675765991202</v>
      </c>
      <c r="AI434" s="2">
        <v>3.7627906081533399E-16</v>
      </c>
      <c r="AJ434" s="2">
        <v>0.69563293833087503</v>
      </c>
      <c r="AK434" s="2">
        <v>0.65140753170103305</v>
      </c>
      <c r="AL434" s="2">
        <v>0.77490610631433299</v>
      </c>
      <c r="AM434" s="2">
        <v>0.59708452224731501</v>
      </c>
      <c r="AN434" s="2">
        <v>0.57158064842224099</v>
      </c>
      <c r="AO434" s="2">
        <v>0.49956604838371299</v>
      </c>
      <c r="AP434" s="2">
        <v>0.74000984430313099</v>
      </c>
    </row>
    <row r="435" spans="1:42" x14ac:dyDescent="0.3">
      <c r="A435" t="s">
        <v>183</v>
      </c>
      <c r="B435" s="3">
        <v>2016</v>
      </c>
      <c r="C435" s="3">
        <v>7.40801</v>
      </c>
      <c r="D435" s="3">
        <v>2236</v>
      </c>
      <c r="E435" t="s">
        <v>184</v>
      </c>
      <c r="G435" s="3">
        <v>334451.375</v>
      </c>
      <c r="H435" s="3">
        <v>439733.53125</v>
      </c>
      <c r="I435" s="3">
        <v>450007.28125</v>
      </c>
      <c r="J435" s="3">
        <v>424545.4375</v>
      </c>
      <c r="K435" s="3">
        <v>2585559.25</v>
      </c>
      <c r="L435" s="3">
        <v>2.67077293246984E-2</v>
      </c>
      <c r="M435" s="3">
        <v>0.71789979934692405</v>
      </c>
      <c r="N435" s="3">
        <v>0.71890491247177102</v>
      </c>
      <c r="O435" s="3">
        <v>328017.40625</v>
      </c>
      <c r="P435" s="3">
        <v>425948.90625</v>
      </c>
      <c r="Q435" s="3">
        <v>0.97072613239288297</v>
      </c>
      <c r="R435" s="3">
        <v>0.51928985118866</v>
      </c>
      <c r="S435" s="3">
        <v>0.73112648725509599</v>
      </c>
      <c r="T435" s="3">
        <v>0.71301132440567005</v>
      </c>
      <c r="U435" s="3">
        <v>0.75577378273010298</v>
      </c>
      <c r="W435" t="s">
        <v>50</v>
      </c>
      <c r="X435" t="s">
        <v>51</v>
      </c>
      <c r="Y435" t="s">
        <v>52</v>
      </c>
      <c r="Z435" t="s">
        <v>53</v>
      </c>
      <c r="AA435" t="s">
        <v>53</v>
      </c>
      <c r="AC435" s="2">
        <v>0.57498604934951003</v>
      </c>
      <c r="AD435" s="2">
        <v>0.69684064388275202</v>
      </c>
      <c r="AE435" s="2">
        <v>0.24798795580864</v>
      </c>
      <c r="AF435" s="2">
        <v>9.0946346521377605E-2</v>
      </c>
      <c r="AG435" s="2">
        <v>2.3944971561431898</v>
      </c>
      <c r="AH435" s="2">
        <v>-2.4302721023559601</v>
      </c>
      <c r="AI435" s="2">
        <v>0</v>
      </c>
      <c r="AJ435" s="2">
        <v>0.71856365306391001</v>
      </c>
      <c r="AK435" s="2">
        <v>0.65546461101686304</v>
      </c>
      <c r="AL435" s="2">
        <v>0.82738438065609499</v>
      </c>
      <c r="AM435" s="2">
        <v>0.590243220329285</v>
      </c>
      <c r="AN435" s="2">
        <v>0.574454665184021</v>
      </c>
      <c r="AO435" s="2">
        <v>0.50131988525390603</v>
      </c>
      <c r="AP435" s="2">
        <v>0.74752485752105702</v>
      </c>
    </row>
    <row r="436" spans="1:42" x14ac:dyDescent="0.3">
      <c r="A436" t="s">
        <v>183</v>
      </c>
      <c r="B436" s="3">
        <v>2017</v>
      </c>
      <c r="C436" s="3">
        <v>7.4448910000000001</v>
      </c>
      <c r="D436" s="3">
        <v>2235.0700000000002</v>
      </c>
      <c r="E436" t="s">
        <v>184</v>
      </c>
      <c r="G436" s="3">
        <v>352640.65625</v>
      </c>
      <c r="H436" s="3">
        <v>464305.75</v>
      </c>
      <c r="I436" s="3">
        <v>469038.9375</v>
      </c>
      <c r="J436" s="3">
        <v>397399.875</v>
      </c>
      <c r="K436" s="3">
        <v>2666743.25</v>
      </c>
      <c r="L436" s="3">
        <v>2.6663219556212401E-2</v>
      </c>
      <c r="M436" s="3">
        <v>0.65515661239624001</v>
      </c>
      <c r="N436" s="3">
        <v>0.73715001344680797</v>
      </c>
      <c r="O436" s="3">
        <v>344883.34375</v>
      </c>
      <c r="P436" s="3">
        <v>448079.125</v>
      </c>
      <c r="Q436" s="3">
        <v>0.98962503671646096</v>
      </c>
      <c r="R436" s="3">
        <v>0.51741963624954201</v>
      </c>
      <c r="S436" s="3">
        <v>0.74441796541214</v>
      </c>
      <c r="T436" s="3">
        <v>0.72759646177291903</v>
      </c>
      <c r="U436" s="3">
        <v>0.85876005887985196</v>
      </c>
      <c r="W436" t="s">
        <v>51</v>
      </c>
      <c r="X436" t="s">
        <v>51</v>
      </c>
      <c r="Y436" t="s">
        <v>52</v>
      </c>
      <c r="Z436" t="s">
        <v>53</v>
      </c>
      <c r="AA436" t="s">
        <v>53</v>
      </c>
      <c r="AC436" s="2">
        <v>0.51776945695705101</v>
      </c>
      <c r="AD436" s="2">
        <v>0.78747028112411499</v>
      </c>
      <c r="AE436" s="2">
        <v>0.280989229679108</v>
      </c>
      <c r="AF436" s="2">
        <v>9.9899597465992002E-2</v>
      </c>
      <c r="AG436" s="2">
        <v>2.6986336708068799</v>
      </c>
      <c r="AH436" s="2">
        <v>-2.86699271202087</v>
      </c>
      <c r="AI436" s="2">
        <v>0</v>
      </c>
      <c r="AJ436" s="2">
        <v>0.73165380707762695</v>
      </c>
      <c r="AK436" s="2">
        <v>0.67447383041861897</v>
      </c>
      <c r="AL436" s="2">
        <v>0.84503285182021204</v>
      </c>
      <c r="AM436" s="2">
        <v>0.60112571716308605</v>
      </c>
      <c r="AN436" s="2">
        <v>0.56280297040939298</v>
      </c>
      <c r="AO436" s="2">
        <v>0.524314224720001</v>
      </c>
      <c r="AP436" s="2">
        <v>0.77063727378845204</v>
      </c>
    </row>
    <row r="437" spans="1:42" x14ac:dyDescent="0.3">
      <c r="A437" t="s">
        <v>183</v>
      </c>
      <c r="B437" s="3">
        <v>2018</v>
      </c>
      <c r="C437" s="3">
        <v>7.4711939999999997</v>
      </c>
      <c r="D437" s="3">
        <v>2233.79</v>
      </c>
      <c r="E437" t="s">
        <v>184</v>
      </c>
      <c r="G437" s="3">
        <v>364157.15625</v>
      </c>
      <c r="H437" s="3">
        <v>475096.84375</v>
      </c>
      <c r="I437" s="3">
        <v>474083.46875</v>
      </c>
      <c r="J437" s="3">
        <v>440345.15625</v>
      </c>
      <c r="K437" s="3">
        <v>2662857.75</v>
      </c>
      <c r="L437" s="3">
        <v>2.5690348818898201E-2</v>
      </c>
      <c r="M437" s="3">
        <v>0.71712636947631803</v>
      </c>
      <c r="N437" s="3">
        <v>0.74478381872177102</v>
      </c>
      <c r="O437" s="3">
        <v>362645.5625</v>
      </c>
      <c r="P437" s="3">
        <v>467841.53125</v>
      </c>
      <c r="Q437" s="3">
        <v>0.99847626686096203</v>
      </c>
      <c r="R437" s="3">
        <v>0.50675195455551203</v>
      </c>
      <c r="S437" s="3">
        <v>0.77697986364364602</v>
      </c>
      <c r="T437" s="3">
        <v>0.76301139593124401</v>
      </c>
      <c r="U437" s="3">
        <v>0.82147186994552601</v>
      </c>
      <c r="W437" t="s">
        <v>50</v>
      </c>
      <c r="X437" t="s">
        <v>51</v>
      </c>
      <c r="Y437" t="s">
        <v>52</v>
      </c>
      <c r="Z437" t="s">
        <v>53</v>
      </c>
      <c r="AA437" t="s">
        <v>53</v>
      </c>
      <c r="AC437" s="2">
        <v>0.51516545682802894</v>
      </c>
      <c r="AD437" s="2">
        <v>0.73377323150634799</v>
      </c>
      <c r="AE437" s="2">
        <v>0.251937985420227</v>
      </c>
      <c r="AF437" s="2">
        <v>9.3207970261573805E-2</v>
      </c>
      <c r="AG437" s="2">
        <v>2.4632151126861599</v>
      </c>
      <c r="AH437" s="2">
        <v>-2.5421345233917201</v>
      </c>
      <c r="AI437" s="2">
        <v>0</v>
      </c>
      <c r="AJ437" s="2">
        <v>0.76456266633759895</v>
      </c>
      <c r="AK437" s="2">
        <v>0.71716022448276595</v>
      </c>
      <c r="AL437" s="2">
        <v>0.87473342949252997</v>
      </c>
      <c r="AM437" s="2">
        <v>0.62810415029525801</v>
      </c>
      <c r="AN437" s="2">
        <v>0.60929572582244895</v>
      </c>
      <c r="AO437" s="2">
        <v>0.56063896417617798</v>
      </c>
      <c r="AP437" s="2">
        <v>0.82119601964950595</v>
      </c>
    </row>
    <row r="438" spans="1:42" x14ac:dyDescent="0.3">
      <c r="A438" t="s">
        <v>183</v>
      </c>
      <c r="B438" s="3">
        <v>2019</v>
      </c>
      <c r="C438" s="3">
        <v>7.4858130000000003</v>
      </c>
      <c r="D438" s="3">
        <v>2231.1799999999998</v>
      </c>
      <c r="E438" t="s">
        <v>184</v>
      </c>
      <c r="G438" s="3">
        <v>372463.78125</v>
      </c>
      <c r="H438" s="3">
        <v>463074.15625</v>
      </c>
      <c r="I438" s="3">
        <v>470408.34375</v>
      </c>
      <c r="J438" s="3">
        <v>449856.4375</v>
      </c>
      <c r="K438" s="3">
        <v>2563987</v>
      </c>
      <c r="L438" s="3">
        <v>2.3874593898654001E-2</v>
      </c>
      <c r="M438" s="3">
        <v>0.74831438064575195</v>
      </c>
      <c r="N438" s="3">
        <v>0.74124360084533703</v>
      </c>
      <c r="O438" s="3">
        <v>362521.40625</v>
      </c>
      <c r="P438" s="3">
        <v>450573.40625</v>
      </c>
      <c r="Q438" s="3">
        <v>0.97871786355972301</v>
      </c>
      <c r="R438" s="3">
        <v>0.51234191656112704</v>
      </c>
      <c r="S438" s="3">
        <v>0.78227949142456099</v>
      </c>
      <c r="T438" s="3">
        <v>0.77182853221893299</v>
      </c>
      <c r="U438" s="3">
        <v>0.80708974599838301</v>
      </c>
      <c r="W438" t="s">
        <v>50</v>
      </c>
      <c r="X438" t="s">
        <v>54</v>
      </c>
      <c r="Y438" t="s">
        <v>52</v>
      </c>
      <c r="Z438" t="s">
        <v>53</v>
      </c>
      <c r="AA438" t="s">
        <v>53</v>
      </c>
      <c r="AC438" s="2">
        <v>0.50802933063858902</v>
      </c>
      <c r="AD438" s="2">
        <v>0.72963780164718595</v>
      </c>
      <c r="AE438" s="2">
        <v>0.20142066478729201</v>
      </c>
      <c r="AF438" s="2">
        <v>9.8323591053485898E-2</v>
      </c>
      <c r="AG438" s="2">
        <v>2.28935694694519</v>
      </c>
      <c r="AH438" s="2">
        <v>-2.3187391757965101</v>
      </c>
      <c r="AI438" s="2">
        <v>-1.60318772959769E-16</v>
      </c>
      <c r="AJ438" s="2">
        <v>0.76738703572876199</v>
      </c>
      <c r="AK438" s="2">
        <v>0.72886869531062304</v>
      </c>
      <c r="AL438" s="2">
        <v>0.89279294724805103</v>
      </c>
      <c r="AM438" s="2">
        <v>0.62629187107086204</v>
      </c>
      <c r="AN438" s="2">
        <v>0.612928926944733</v>
      </c>
      <c r="AO438" s="2">
        <v>0.572881639003754</v>
      </c>
      <c r="AP438" s="2">
        <v>0.84351259469985995</v>
      </c>
    </row>
    <row r="439" spans="1:42" x14ac:dyDescent="0.3">
      <c r="A439" t="s">
        <v>183</v>
      </c>
      <c r="B439" s="3">
        <v>2020</v>
      </c>
      <c r="C439" s="3">
        <v>7.4902350000000002</v>
      </c>
      <c r="D439" s="3">
        <v>2168.77</v>
      </c>
      <c r="E439" t="s">
        <v>184</v>
      </c>
      <c r="G439" s="3">
        <v>339589.03125</v>
      </c>
      <c r="H439" s="3">
        <v>428260</v>
      </c>
      <c r="I439" s="3">
        <v>436684.78125</v>
      </c>
      <c r="J439" s="3">
        <v>426578.5</v>
      </c>
      <c r="K439" s="3">
        <v>2541048.25</v>
      </c>
      <c r="L439" s="3">
        <v>2.23471727222204E-2</v>
      </c>
      <c r="M439" s="3">
        <v>0.75326609611511197</v>
      </c>
      <c r="N439" s="3">
        <v>0.725472271442413</v>
      </c>
      <c r="O439" s="3">
        <v>333312.21875</v>
      </c>
      <c r="P439" s="3">
        <v>419764.53125</v>
      </c>
      <c r="Q439" s="3">
        <v>0.94991594552993797</v>
      </c>
      <c r="R439" s="3">
        <v>0.53369164466857899</v>
      </c>
      <c r="S439" s="3">
        <v>0.80335283279419001</v>
      </c>
      <c r="T439" s="3">
        <v>0.78990823030471802</v>
      </c>
      <c r="U439" s="3">
        <v>0.80862236022949197</v>
      </c>
      <c r="W439" t="s">
        <v>50</v>
      </c>
      <c r="X439" t="s">
        <v>54</v>
      </c>
      <c r="Y439" t="s">
        <v>52</v>
      </c>
      <c r="Z439" t="s">
        <v>53</v>
      </c>
      <c r="AA439" t="s">
        <v>53</v>
      </c>
      <c r="AC439" s="2">
        <v>0.49789912827518501</v>
      </c>
      <c r="AD439" s="2">
        <v>0.68099129199981701</v>
      </c>
      <c r="AE439" s="2">
        <v>0.207865566015244</v>
      </c>
      <c r="AF439" s="2">
        <v>0.115084998309612</v>
      </c>
      <c r="AG439" s="2">
        <v>2.2430145740509002</v>
      </c>
      <c r="AH439" s="2">
        <v>-2.2469563484191899</v>
      </c>
      <c r="AI439" s="2">
        <v>0</v>
      </c>
      <c r="AJ439" s="2">
        <v>0.78777002499283799</v>
      </c>
      <c r="AK439" s="2">
        <v>0.73841855728262795</v>
      </c>
      <c r="AL439" s="2">
        <v>0.89556091769943602</v>
      </c>
      <c r="AM439" s="2">
        <v>0.63558995723724399</v>
      </c>
      <c r="AN439" s="2">
        <v>0.62753200531005904</v>
      </c>
      <c r="AO439" s="2">
        <v>0.57735252380371105</v>
      </c>
      <c r="AP439" s="2">
        <v>0.85471302270889304</v>
      </c>
    </row>
    <row r="440" spans="1:42" x14ac:dyDescent="0.3">
      <c r="A440" t="s">
        <v>185</v>
      </c>
      <c r="B440" s="3">
        <v>2015</v>
      </c>
      <c r="C440" s="3">
        <v>9.2373049999999992</v>
      </c>
      <c r="D440" s="3"/>
      <c r="E440" t="s">
        <v>186</v>
      </c>
      <c r="G440" s="3">
        <v>44638.953125</v>
      </c>
      <c r="H440" s="3">
        <v>57377.49609375</v>
      </c>
      <c r="I440" s="3">
        <v>49069.5390625</v>
      </c>
      <c r="J440" s="3">
        <v>49839.85546875</v>
      </c>
      <c r="K440" s="3">
        <v>205529.546875</v>
      </c>
      <c r="L440" s="3">
        <v>2.3564295843243599E-3</v>
      </c>
      <c r="M440" s="3">
        <v>0.39061930775642401</v>
      </c>
      <c r="N440" s="3">
        <v>0.43384164571762102</v>
      </c>
      <c r="O440" s="3">
        <v>47523.5234375</v>
      </c>
      <c r="P440" s="3">
        <v>60983.8359375</v>
      </c>
      <c r="Q440" s="3">
        <v>1.0016781091690099</v>
      </c>
      <c r="R440" s="3">
        <v>0.57588911056518599</v>
      </c>
      <c r="S440" s="3">
        <v>0.43150976300239602</v>
      </c>
      <c r="T440" s="3">
        <v>0.42755210399627702</v>
      </c>
      <c r="U440" s="3">
        <v>0.42094388604164101</v>
      </c>
      <c r="W440" t="s">
        <v>50</v>
      </c>
      <c r="X440" t="s">
        <v>51</v>
      </c>
      <c r="Y440" t="s">
        <v>52</v>
      </c>
      <c r="Z440" t="s">
        <v>53</v>
      </c>
      <c r="AA440" t="s">
        <v>53</v>
      </c>
      <c r="AC440" s="2">
        <v>0.60049028654632197</v>
      </c>
      <c r="AD440" s="2">
        <v>0.78569763898849498</v>
      </c>
      <c r="AE440" s="2">
        <v>0.25558945536613498</v>
      </c>
      <c r="AF440" s="2">
        <v>0.109950058162212</v>
      </c>
      <c r="AG440" s="2">
        <v>0.15424051880836501</v>
      </c>
      <c r="AH440" s="2">
        <v>-0.33536899089813199</v>
      </c>
      <c r="AI440" s="2">
        <v>2.9891366139054298E-2</v>
      </c>
      <c r="AJ440" s="2">
        <v>0.41525341776114999</v>
      </c>
      <c r="AK440" s="2">
        <v>0.41368341870352199</v>
      </c>
      <c r="AL440" s="2">
        <v>0.54767672062351203</v>
      </c>
      <c r="AM440" s="2">
        <v>0.54654550552368197</v>
      </c>
      <c r="AN440" s="2">
        <v>0.50139397382736195</v>
      </c>
      <c r="AO440" s="2">
        <v>0.25988587737083402</v>
      </c>
      <c r="AP440" s="2">
        <v>0.50448459386825595</v>
      </c>
    </row>
    <row r="441" spans="1:42" x14ac:dyDescent="0.3">
      <c r="A441" t="s">
        <v>185</v>
      </c>
      <c r="B441" s="3">
        <v>2016</v>
      </c>
      <c r="C441" s="3">
        <v>9.4123800000000006</v>
      </c>
      <c r="D441" s="3"/>
      <c r="E441" t="s">
        <v>186</v>
      </c>
      <c r="G441" s="3">
        <v>47809.62890625</v>
      </c>
      <c r="H441" s="3">
        <v>60194.8515625</v>
      </c>
      <c r="I441" s="3">
        <v>52623.64453125</v>
      </c>
      <c r="J441" s="3">
        <v>53664.3046875</v>
      </c>
      <c r="K441" s="3">
        <v>224997.359375</v>
      </c>
      <c r="L441" s="3">
        <v>2.49424250796437E-3</v>
      </c>
      <c r="M441" s="3">
        <v>0.40027251839637801</v>
      </c>
      <c r="N441" s="3">
        <v>0.43408164381980902</v>
      </c>
      <c r="O441" s="3">
        <v>49453.66796875</v>
      </c>
      <c r="P441" s="3">
        <v>62231.34375</v>
      </c>
      <c r="Q441" s="3">
        <v>1.0133764743804901</v>
      </c>
      <c r="R441" s="3">
        <v>0.57342112064361594</v>
      </c>
      <c r="S441" s="3">
        <v>0.41341635584831199</v>
      </c>
      <c r="T441" s="3">
        <v>0.41269680857658397</v>
      </c>
      <c r="U441" s="3">
        <v>0.40469375252723699</v>
      </c>
      <c r="W441" t="s">
        <v>50</v>
      </c>
      <c r="X441" t="s">
        <v>51</v>
      </c>
      <c r="Y441" t="s">
        <v>52</v>
      </c>
      <c r="Z441" t="s">
        <v>53</v>
      </c>
      <c r="AA441" t="s">
        <v>53</v>
      </c>
      <c r="AC441" s="2">
        <v>0.58249974709906405</v>
      </c>
      <c r="AD441" s="2">
        <v>0.77888250350952204</v>
      </c>
      <c r="AE441" s="2">
        <v>0.23079070448875399</v>
      </c>
      <c r="AF441" s="2">
        <v>0.112019337713718</v>
      </c>
      <c r="AG441" s="2">
        <v>0.140422597527504</v>
      </c>
      <c r="AH441" s="2">
        <v>-0.29447537660598799</v>
      </c>
      <c r="AI441" s="2">
        <v>3.2360147684812497E-2</v>
      </c>
      <c r="AJ441" s="2">
        <v>0.39954062245870298</v>
      </c>
      <c r="AK441" s="2">
        <v>0.40991907646033998</v>
      </c>
      <c r="AL441" s="2">
        <v>0.50989593213147699</v>
      </c>
      <c r="AM441" s="2">
        <v>0.54204016923904397</v>
      </c>
      <c r="AN441" s="2">
        <v>0.50067281723022505</v>
      </c>
      <c r="AO441" s="2">
        <v>0.25343137979507402</v>
      </c>
      <c r="AP441" s="2">
        <v>0.480768471956253</v>
      </c>
    </row>
    <row r="442" spans="1:42" x14ac:dyDescent="0.3">
      <c r="A442" t="s">
        <v>185</v>
      </c>
      <c r="B442" s="3">
        <v>2017</v>
      </c>
      <c r="C442" s="3">
        <v>9.5881369999999997</v>
      </c>
      <c r="D442" s="3"/>
      <c r="E442" t="s">
        <v>186</v>
      </c>
      <c r="G442" s="3">
        <v>49231.08984375</v>
      </c>
      <c r="H442" s="3">
        <v>63619.8359375</v>
      </c>
      <c r="I442" s="3">
        <v>55022.2890625</v>
      </c>
      <c r="J442" s="3">
        <v>55320.48046875</v>
      </c>
      <c r="K442" s="3">
        <v>244112.234375</v>
      </c>
      <c r="L442" s="3">
        <v>2.6423919480293998E-3</v>
      </c>
      <c r="M442" s="3">
        <v>0.38561388850212103</v>
      </c>
      <c r="N442" s="3">
        <v>0.42706450819969199</v>
      </c>
      <c r="O442" s="3">
        <v>51738.17578125</v>
      </c>
      <c r="P442" s="3">
        <v>66115.71875</v>
      </c>
      <c r="Q442" s="3">
        <v>1.0122224092483501</v>
      </c>
      <c r="R442" s="3">
        <v>0.56144815683364901</v>
      </c>
      <c r="S442" s="3">
        <v>0.42673879861831698</v>
      </c>
      <c r="T442" s="3">
        <v>0.42048865556716902</v>
      </c>
      <c r="U442" s="3">
        <v>0.41822212934494002</v>
      </c>
      <c r="W442" t="s">
        <v>51</v>
      </c>
      <c r="X442" t="s">
        <v>51</v>
      </c>
      <c r="Y442" t="s">
        <v>52</v>
      </c>
      <c r="Z442" t="s">
        <v>53</v>
      </c>
      <c r="AA442" t="s">
        <v>53</v>
      </c>
      <c r="AC442" s="2">
        <v>0.59422151040301596</v>
      </c>
      <c r="AD442" s="2">
        <v>0.77641105651855502</v>
      </c>
      <c r="AE442" s="2">
        <v>0.26009795069694502</v>
      </c>
      <c r="AF442" s="2">
        <v>0.11351410299539599</v>
      </c>
      <c r="AG442" s="2">
        <v>0.16087944805622101</v>
      </c>
      <c r="AH442" s="2">
        <v>-0.31206646561622597</v>
      </c>
      <c r="AI442" s="2">
        <v>1.1638404102996E-3</v>
      </c>
      <c r="AJ442" s="2">
        <v>0.41641887977363801</v>
      </c>
      <c r="AK442" s="2">
        <v>0.39910384037402602</v>
      </c>
      <c r="AL442" s="2">
        <v>0.49732465192356501</v>
      </c>
      <c r="AM442" s="2">
        <v>0.55844765901565596</v>
      </c>
      <c r="AN442" s="2">
        <v>0.49886515736579901</v>
      </c>
      <c r="AO442" s="2">
        <v>0.24791052937507599</v>
      </c>
      <c r="AP442" s="2">
        <v>0.47908222675323497</v>
      </c>
    </row>
    <row r="443" spans="1:42" x14ac:dyDescent="0.3">
      <c r="A443" t="s">
        <v>185</v>
      </c>
      <c r="B443" s="3">
        <v>2018</v>
      </c>
      <c r="C443" s="3">
        <v>9.7652099999999997</v>
      </c>
      <c r="D443" s="3"/>
      <c r="E443" t="s">
        <v>186</v>
      </c>
      <c r="G443" s="3">
        <v>51673.25</v>
      </c>
      <c r="H443" s="3">
        <v>67502.25</v>
      </c>
      <c r="I443" s="3">
        <v>55952.75390625</v>
      </c>
      <c r="J443" s="3">
        <v>56944.72265625</v>
      </c>
      <c r="K443" s="3">
        <v>258947.296875</v>
      </c>
      <c r="L443" s="3">
        <v>2.6887003332376502E-3</v>
      </c>
      <c r="M443" s="3">
        <v>0.36962920427322399</v>
      </c>
      <c r="N443" s="3">
        <v>0.42177125811576799</v>
      </c>
      <c r="O443" s="3">
        <v>54252.65625</v>
      </c>
      <c r="P443" s="3">
        <v>69756.2734375</v>
      </c>
      <c r="Q443" s="3">
        <v>0.98125708103179898</v>
      </c>
      <c r="R443" s="3">
        <v>0.56036692857742298</v>
      </c>
      <c r="S443" s="3">
        <v>0.43814560770988498</v>
      </c>
      <c r="T443" s="3">
        <v>0.43014425039291398</v>
      </c>
      <c r="U443" s="3">
        <v>0.42265120148658802</v>
      </c>
      <c r="W443" t="s">
        <v>50</v>
      </c>
      <c r="X443" t="s">
        <v>51</v>
      </c>
      <c r="Y443" t="s">
        <v>52</v>
      </c>
      <c r="Z443" t="s">
        <v>53</v>
      </c>
      <c r="AA443" t="s">
        <v>53</v>
      </c>
      <c r="AC443" s="2">
        <v>0.59864512699696604</v>
      </c>
      <c r="AD443" s="2">
        <v>0.78335076570510898</v>
      </c>
      <c r="AE443" s="2">
        <v>0.27797126770019498</v>
      </c>
      <c r="AF443" s="2">
        <v>0.124077454209328</v>
      </c>
      <c r="AG443" s="2">
        <v>0.13612551987171201</v>
      </c>
      <c r="AH443" s="2">
        <v>-0.32041826844215399</v>
      </c>
      <c r="AI443" s="2">
        <v>-1.10673403833061E-3</v>
      </c>
      <c r="AJ443" s="2">
        <v>0.43491032870804602</v>
      </c>
      <c r="AK443" s="2">
        <v>0.40402404356445998</v>
      </c>
      <c r="AL443" s="2">
        <v>0.45857127942001802</v>
      </c>
      <c r="AM443" s="2">
        <v>0.57879829406738303</v>
      </c>
      <c r="AN443" s="2">
        <v>0.51670914888382002</v>
      </c>
      <c r="AO443" s="2">
        <v>0.248021230101585</v>
      </c>
      <c r="AP443" s="2">
        <v>0.46531730890274098</v>
      </c>
    </row>
    <row r="444" spans="1:42" x14ac:dyDescent="0.3">
      <c r="A444" t="s">
        <v>185</v>
      </c>
      <c r="B444" s="3">
        <v>2019</v>
      </c>
      <c r="C444" s="3">
        <v>9.9436330000000002</v>
      </c>
      <c r="D444" s="3"/>
      <c r="E444" t="s">
        <v>186</v>
      </c>
      <c r="G444" s="3">
        <v>55560.68359375</v>
      </c>
      <c r="H444" s="3">
        <v>69655.3359375</v>
      </c>
      <c r="I444" s="3">
        <v>58523.0546875</v>
      </c>
      <c r="J444" s="3">
        <v>60565.84765625</v>
      </c>
      <c r="K444" s="3">
        <v>266064.71875</v>
      </c>
      <c r="L444" s="3">
        <v>2.6244516484439399E-3</v>
      </c>
      <c r="M444" s="3">
        <v>0.391941398382187</v>
      </c>
      <c r="N444" s="3">
        <v>0.43375888466835</v>
      </c>
      <c r="O444" s="3">
        <v>56721.14453125</v>
      </c>
      <c r="P444" s="3">
        <v>70342.203125</v>
      </c>
      <c r="Q444" s="3">
        <v>0.99498909711837802</v>
      </c>
      <c r="R444" s="3">
        <v>0.55825507640838601</v>
      </c>
      <c r="S444" s="3">
        <v>0.43016859889030501</v>
      </c>
      <c r="T444" s="3">
        <v>0.42516964673995999</v>
      </c>
      <c r="U444" s="3">
        <v>0.41082930564880399</v>
      </c>
      <c r="W444" t="s">
        <v>50</v>
      </c>
      <c r="X444" t="s">
        <v>54</v>
      </c>
      <c r="Y444" t="s">
        <v>52</v>
      </c>
      <c r="Z444" t="s">
        <v>53</v>
      </c>
      <c r="AA444" t="s">
        <v>53</v>
      </c>
      <c r="AC444" s="2">
        <v>0.59990121359834503</v>
      </c>
      <c r="AD444" s="2">
        <v>0.780345439910889</v>
      </c>
      <c r="AE444" s="2">
        <v>0.23271621763706199</v>
      </c>
      <c r="AF444" s="2">
        <v>0.13701452314853699</v>
      </c>
      <c r="AG444" s="2">
        <v>8.9928455650806399E-2</v>
      </c>
      <c r="AH444" s="2">
        <v>-0.29353263974189803</v>
      </c>
      <c r="AI444" s="2">
        <v>5.3527981042861897E-2</v>
      </c>
      <c r="AJ444" s="2">
        <v>0.432629300604496</v>
      </c>
      <c r="AK444" s="2">
        <v>0.40546388812738599</v>
      </c>
      <c r="AL444" s="2">
        <v>0.41615402394841999</v>
      </c>
      <c r="AM444" s="2">
        <v>0.56754064559936501</v>
      </c>
      <c r="AN444" s="2">
        <v>0.51502645015716597</v>
      </c>
      <c r="AO444" s="2">
        <v>0.24566963315010101</v>
      </c>
      <c r="AP444" s="2">
        <v>0.47636362910270702</v>
      </c>
    </row>
    <row r="445" spans="1:42" x14ac:dyDescent="0.3">
      <c r="A445" t="s">
        <v>185</v>
      </c>
      <c r="B445" s="3">
        <v>2020</v>
      </c>
      <c r="C445" s="3">
        <v>10.11964</v>
      </c>
      <c r="D445" s="3"/>
      <c r="E445" t="s">
        <v>186</v>
      </c>
      <c r="G445" s="3">
        <v>52591.09375</v>
      </c>
      <c r="H445" s="3">
        <v>63445.45703125</v>
      </c>
      <c r="I445" s="3">
        <v>54576.45703125</v>
      </c>
      <c r="J445" s="3">
        <v>56145.546875</v>
      </c>
      <c r="K445" s="3">
        <v>272511.53125</v>
      </c>
      <c r="L445" s="3">
        <v>2.4861695710569598E-3</v>
      </c>
      <c r="M445" s="3">
        <v>0.37116244435310403</v>
      </c>
      <c r="N445" s="3">
        <v>0.40235820412635798</v>
      </c>
      <c r="O445" s="3">
        <v>53211.47265625</v>
      </c>
      <c r="P445" s="3">
        <v>64615.6953125</v>
      </c>
      <c r="Q445" s="3">
        <v>0.922918200492859</v>
      </c>
      <c r="R445" s="3">
        <v>0.56536638736724898</v>
      </c>
      <c r="S445" s="3">
        <v>0.42886677384376498</v>
      </c>
      <c r="T445" s="3">
        <v>0.42788106203079201</v>
      </c>
      <c r="U445" s="3">
        <v>0.41592317819595298</v>
      </c>
      <c r="W445" t="s">
        <v>50</v>
      </c>
      <c r="X445" t="s">
        <v>54</v>
      </c>
      <c r="Y445" t="s">
        <v>52</v>
      </c>
      <c r="Z445" t="s">
        <v>53</v>
      </c>
      <c r="AA445" t="s">
        <v>53</v>
      </c>
      <c r="AC445" s="2">
        <v>0.59793699618408902</v>
      </c>
      <c r="AD445" s="2">
        <v>0.76624983549117998</v>
      </c>
      <c r="AE445" s="2">
        <v>0.193325445055962</v>
      </c>
      <c r="AF445" s="2">
        <v>0.17044228315353399</v>
      </c>
      <c r="AG445" s="2">
        <v>7.6535254716873197E-2</v>
      </c>
      <c r="AH445" s="2">
        <v>-0.25701573491096502</v>
      </c>
      <c r="AI445" s="2">
        <v>5.0462868064642001E-2</v>
      </c>
      <c r="AJ445" s="2">
        <v>0.439253543688151</v>
      </c>
      <c r="AK445" s="2">
        <v>0.42310518959840998</v>
      </c>
      <c r="AL445" s="2">
        <v>0.382171427504582</v>
      </c>
      <c r="AM445" s="2">
        <v>0.60220867395401001</v>
      </c>
      <c r="AN445" s="2">
        <v>0.52397125959396396</v>
      </c>
      <c r="AO445" s="2">
        <v>0.249110758304596</v>
      </c>
      <c r="AP445" s="2">
        <v>0.484781354665756</v>
      </c>
    </row>
    <row r="446" spans="1:42" x14ac:dyDescent="0.3">
      <c r="A446" t="s">
        <v>187</v>
      </c>
      <c r="B446" s="3">
        <v>2015</v>
      </c>
      <c r="C446" s="3">
        <v>4.1837289999999996</v>
      </c>
      <c r="D446" s="3">
        <v>1826.64</v>
      </c>
      <c r="E446" t="s">
        <v>74</v>
      </c>
      <c r="G446" s="3">
        <v>86898.0625</v>
      </c>
      <c r="H446" s="3">
        <v>110538.5546875</v>
      </c>
      <c r="I446" s="3">
        <v>110771.21875</v>
      </c>
      <c r="J446" s="3">
        <v>106436.5390625</v>
      </c>
      <c r="K446" s="3">
        <v>571999.5</v>
      </c>
      <c r="L446" s="3">
        <v>6.0763219371438E-3</v>
      </c>
      <c r="M446" s="3">
        <v>0.65834838151931796</v>
      </c>
      <c r="N446" s="3">
        <v>0.65961599349975597</v>
      </c>
      <c r="O446" s="3">
        <v>88782.921875</v>
      </c>
      <c r="P446" s="3">
        <v>115916.890625</v>
      </c>
      <c r="Q446" s="3">
        <v>1.0183354616165201</v>
      </c>
      <c r="R446" s="3">
        <v>0.61021649837493896</v>
      </c>
      <c r="S446" s="3">
        <v>0.46674716472625699</v>
      </c>
      <c r="T446" s="3">
        <v>0.455929815769196</v>
      </c>
      <c r="U446" s="3">
        <v>0.47449776530265803</v>
      </c>
      <c r="W446" t="s">
        <v>50</v>
      </c>
      <c r="X446" t="s">
        <v>51</v>
      </c>
      <c r="Y446" t="s">
        <v>52</v>
      </c>
      <c r="Z446" t="s">
        <v>53</v>
      </c>
      <c r="AA446" t="s">
        <v>53</v>
      </c>
      <c r="AC446" s="2">
        <v>0.52450404123532501</v>
      </c>
      <c r="AD446" s="2">
        <v>0.52744859457016002</v>
      </c>
      <c r="AE446" s="2">
        <v>0.22210882604122201</v>
      </c>
      <c r="AF446" s="2">
        <v>0.288982152938843</v>
      </c>
      <c r="AG446" s="2">
        <v>0.21330067515373199</v>
      </c>
      <c r="AH446" s="2">
        <v>-0.40713554620742798</v>
      </c>
      <c r="AI446" s="2">
        <v>0.15529529750347101</v>
      </c>
      <c r="AJ446" s="2">
        <v>0.52040576244463299</v>
      </c>
      <c r="AK446" s="2">
        <v>0.41616723259641097</v>
      </c>
      <c r="AL446" s="2">
        <v>0.36880983270738998</v>
      </c>
      <c r="AM446" s="2">
        <v>0.56571984291076705</v>
      </c>
      <c r="AN446" s="2">
        <v>0.474925547838211</v>
      </c>
      <c r="AO446" s="2">
        <v>0.286493510007858</v>
      </c>
      <c r="AP446" s="2">
        <v>0.43284219503402699</v>
      </c>
    </row>
    <row r="447" spans="1:42" x14ac:dyDescent="0.3">
      <c r="A447" t="s">
        <v>187</v>
      </c>
      <c r="B447" s="3">
        <v>2016</v>
      </c>
      <c r="C447" s="3">
        <v>4.136444</v>
      </c>
      <c r="D447" s="3">
        <v>1834.4</v>
      </c>
      <c r="E447" t="s">
        <v>74</v>
      </c>
      <c r="G447" s="3">
        <v>89164.171875</v>
      </c>
      <c r="H447" s="3">
        <v>113716.578125</v>
      </c>
      <c r="I447" s="3">
        <v>114984.0546875</v>
      </c>
      <c r="J447" s="3">
        <v>111374.9140625</v>
      </c>
      <c r="K447" s="3">
        <v>574100.375</v>
      </c>
      <c r="L447" s="3">
        <v>6.0246721841394901E-3</v>
      </c>
      <c r="M447" s="3">
        <v>0.67864787578582797</v>
      </c>
      <c r="N447" s="3">
        <v>0.66991996765136697</v>
      </c>
      <c r="O447" s="3">
        <v>91056.5</v>
      </c>
      <c r="P447" s="3">
        <v>119635.984375</v>
      </c>
      <c r="Q447" s="3">
        <v>1.03472864627838</v>
      </c>
      <c r="R447" s="3">
        <v>0.608109891414642</v>
      </c>
      <c r="S447" s="3">
        <v>0.46659940481185902</v>
      </c>
      <c r="T447" s="3">
        <v>0.45798954367637601</v>
      </c>
      <c r="U447" s="3">
        <v>0.47283080220222501</v>
      </c>
      <c r="W447" t="s">
        <v>50</v>
      </c>
      <c r="X447" t="s">
        <v>51</v>
      </c>
      <c r="Y447" t="s">
        <v>52</v>
      </c>
      <c r="Z447" t="s">
        <v>53</v>
      </c>
      <c r="AA447" t="s">
        <v>53</v>
      </c>
      <c r="AC447" s="2">
        <v>0.52910218784652796</v>
      </c>
      <c r="AD447" s="2">
        <v>0.51613390445709195</v>
      </c>
      <c r="AE447" s="2">
        <v>0.22044824063777901</v>
      </c>
      <c r="AF447" s="2">
        <v>0.28444293141365101</v>
      </c>
      <c r="AG447" s="2">
        <v>0.21918594837188701</v>
      </c>
      <c r="AH447" s="2">
        <v>-0.40661001205444303</v>
      </c>
      <c r="AI447" s="2">
        <v>0.16639903187751801</v>
      </c>
      <c r="AJ447" s="2">
        <v>0.522509883482283</v>
      </c>
      <c r="AK447" s="2">
        <v>0.42672204148901299</v>
      </c>
      <c r="AL447" s="2">
        <v>0.36514745624492101</v>
      </c>
      <c r="AM447" s="2">
        <v>0.55905443429946899</v>
      </c>
      <c r="AN447" s="2">
        <v>0.48204281926155101</v>
      </c>
      <c r="AO447" s="2">
        <v>0.294845581054688</v>
      </c>
      <c r="AP447" s="2">
        <v>0.44339144229888899</v>
      </c>
    </row>
    <row r="448" spans="1:42" x14ac:dyDescent="0.3">
      <c r="A448" t="s">
        <v>187</v>
      </c>
      <c r="B448" s="3">
        <v>2017</v>
      </c>
      <c r="C448" s="3">
        <v>4.0792000000000002</v>
      </c>
      <c r="D448" s="3">
        <v>1823.6</v>
      </c>
      <c r="E448" t="s">
        <v>74</v>
      </c>
      <c r="G448" s="3">
        <v>92976.6796875</v>
      </c>
      <c r="H448" s="3">
        <v>120881.234375</v>
      </c>
      <c r="I448" s="3">
        <v>121617.375</v>
      </c>
      <c r="J448" s="3">
        <v>121300.8359375</v>
      </c>
      <c r="K448" s="3">
        <v>620507.875</v>
      </c>
      <c r="L448" s="3">
        <v>6.4398115500807797E-3</v>
      </c>
      <c r="M448" s="3">
        <v>0.69616127014160201</v>
      </c>
      <c r="N448" s="3">
        <v>0.66809689998626698</v>
      </c>
      <c r="O448" s="3">
        <v>93638.3828125</v>
      </c>
      <c r="P448" s="3">
        <v>124359.28125</v>
      </c>
      <c r="Q448" s="3">
        <v>1.0426886081695601</v>
      </c>
      <c r="R448" s="3">
        <v>0.61307758092880305</v>
      </c>
      <c r="S448" s="3">
        <v>0.47807711362838701</v>
      </c>
      <c r="T448" s="3">
        <v>0.46517476439476002</v>
      </c>
      <c r="U448" s="3">
        <v>0.46638867259025601</v>
      </c>
      <c r="W448" t="s">
        <v>51</v>
      </c>
      <c r="X448" t="s">
        <v>51</v>
      </c>
      <c r="Y448" t="s">
        <v>52</v>
      </c>
      <c r="Z448" t="s">
        <v>53</v>
      </c>
      <c r="AA448" t="s">
        <v>53</v>
      </c>
      <c r="AC448" s="2">
        <v>0.51831464018731599</v>
      </c>
      <c r="AD448" s="2">
        <v>0.49189186096191401</v>
      </c>
      <c r="AE448" s="2">
        <v>0.230044230818748</v>
      </c>
      <c r="AF448" s="2">
        <v>0.27460476756095897</v>
      </c>
      <c r="AG448" s="2">
        <v>0.22277082502841999</v>
      </c>
      <c r="AH448" s="2">
        <v>-0.38056421279907199</v>
      </c>
      <c r="AI448" s="2">
        <v>0.16125251352787001</v>
      </c>
      <c r="AJ448" s="2">
        <v>0.53828929507428203</v>
      </c>
      <c r="AK448" s="2">
        <v>0.42218469819698401</v>
      </c>
      <c r="AL448" s="2">
        <v>0.37022069656057599</v>
      </c>
      <c r="AM448" s="2">
        <v>0.58220404386520397</v>
      </c>
      <c r="AN448" s="2">
        <v>0.53100478649139404</v>
      </c>
      <c r="AO448" s="2">
        <v>0.29134806990623502</v>
      </c>
      <c r="AP448" s="2">
        <v>0.42408797144889798</v>
      </c>
    </row>
    <row r="449" spans="1:42" x14ac:dyDescent="0.3">
      <c r="A449" t="s">
        <v>187</v>
      </c>
      <c r="B449" s="3">
        <v>2018</v>
      </c>
      <c r="C449" s="3">
        <v>4.0248679999999997</v>
      </c>
      <c r="D449" s="3">
        <v>1811.06</v>
      </c>
      <c r="E449" t="s">
        <v>74</v>
      </c>
      <c r="G449" s="3">
        <v>93607.2734375</v>
      </c>
      <c r="H449" s="3">
        <v>125498.21875</v>
      </c>
      <c r="I449" s="3">
        <v>124441.21875</v>
      </c>
      <c r="J449" s="3">
        <v>118363.4296875</v>
      </c>
      <c r="K449" s="3">
        <v>653245.8125</v>
      </c>
      <c r="L449" s="3">
        <v>6.6440436057746402E-3</v>
      </c>
      <c r="M449" s="3">
        <v>0.65143632888794001</v>
      </c>
      <c r="N449" s="3">
        <v>0.66487163305282604</v>
      </c>
      <c r="O449" s="3">
        <v>96339.0625</v>
      </c>
      <c r="P449" s="3">
        <v>130270.03125</v>
      </c>
      <c r="Q449" s="3">
        <v>1.04640221595764</v>
      </c>
      <c r="R449" s="3">
        <v>0.62587559223175104</v>
      </c>
      <c r="S449" s="3">
        <v>0.52460044622421298</v>
      </c>
      <c r="T449" s="3">
        <v>0.50351083278655995</v>
      </c>
      <c r="U449" s="3">
        <v>0.52936542034149203</v>
      </c>
      <c r="W449" t="s">
        <v>50</v>
      </c>
      <c r="X449" t="s">
        <v>51</v>
      </c>
      <c r="Y449" t="s">
        <v>52</v>
      </c>
      <c r="Z449" t="s">
        <v>53</v>
      </c>
      <c r="AA449" t="s">
        <v>53</v>
      </c>
      <c r="AC449" s="2">
        <v>0.47198530634061803</v>
      </c>
      <c r="AD449" s="2">
        <v>0.50639867782592796</v>
      </c>
      <c r="AE449" s="2">
        <v>0.26943239569664001</v>
      </c>
      <c r="AF449" s="2">
        <v>0.28444755077362099</v>
      </c>
      <c r="AG449" s="2">
        <v>0.24408045411109899</v>
      </c>
      <c r="AH449" s="2">
        <v>-0.46986857056617698</v>
      </c>
      <c r="AI449" s="2">
        <v>0.16550946235656699</v>
      </c>
      <c r="AJ449" s="2">
        <v>0.59270237701267503</v>
      </c>
      <c r="AK449" s="2">
        <v>0.44160795846395301</v>
      </c>
      <c r="AL449" s="2">
        <v>0.40335936459456601</v>
      </c>
      <c r="AM449" s="2">
        <v>0.59571999311447099</v>
      </c>
      <c r="AN449" s="2">
        <v>0.50549238920211803</v>
      </c>
      <c r="AO449" s="2">
        <v>0.305281221866608</v>
      </c>
      <c r="AP449" s="2">
        <v>0.41717889904975902</v>
      </c>
    </row>
    <row r="450" spans="1:42" x14ac:dyDescent="0.3">
      <c r="A450" t="s">
        <v>187</v>
      </c>
      <c r="B450" s="3">
        <v>2019</v>
      </c>
      <c r="C450" s="3">
        <v>3.9863339999999998</v>
      </c>
      <c r="D450" s="3">
        <v>1995.75</v>
      </c>
      <c r="E450" t="s">
        <v>74</v>
      </c>
      <c r="G450" s="3">
        <v>101299.78125</v>
      </c>
      <c r="H450" s="3">
        <v>135410.796875</v>
      </c>
      <c r="I450" s="3">
        <v>134866.5625</v>
      </c>
      <c r="J450" s="3">
        <v>129232.921875</v>
      </c>
      <c r="K450" s="3">
        <v>707138.875</v>
      </c>
      <c r="L450" s="3">
        <v>6.9940243847668197E-3</v>
      </c>
      <c r="M450" s="3">
        <v>0.63818025588989302</v>
      </c>
      <c r="N450" s="3">
        <v>0.64346343278884899</v>
      </c>
      <c r="O450" s="3">
        <v>100000.546875</v>
      </c>
      <c r="P450" s="3">
        <v>134242.40625</v>
      </c>
      <c r="Q450" s="3">
        <v>0.99341589212417603</v>
      </c>
      <c r="R450" s="3">
        <v>0.61596703529357899</v>
      </c>
      <c r="S450" s="3">
        <v>0.48371627926826499</v>
      </c>
      <c r="T450" s="3">
        <v>0.46317735314369202</v>
      </c>
      <c r="U450" s="3">
        <v>0.48336857557296797</v>
      </c>
      <c r="W450" t="s">
        <v>50</v>
      </c>
      <c r="X450" t="s">
        <v>54</v>
      </c>
      <c r="Y450" t="s">
        <v>52</v>
      </c>
      <c r="Z450" t="s">
        <v>53</v>
      </c>
      <c r="AA450" t="s">
        <v>53</v>
      </c>
      <c r="AC450" s="2">
        <v>0.50546384953974</v>
      </c>
      <c r="AD450" s="2">
        <v>0.50285053253173795</v>
      </c>
      <c r="AE450" s="2">
        <v>0.26394990086555498</v>
      </c>
      <c r="AF450" s="2">
        <v>0.28100377321243297</v>
      </c>
      <c r="AG450" s="2">
        <v>0.23326754570007299</v>
      </c>
      <c r="AH450" s="2">
        <v>-0.45219025015830999</v>
      </c>
      <c r="AI450" s="2">
        <v>0.17111849784851099</v>
      </c>
      <c r="AJ450" s="2">
        <v>0.54548935677073596</v>
      </c>
      <c r="AK450" s="2">
        <v>0.40218270613953</v>
      </c>
      <c r="AL450" s="2">
        <v>0.373174635548286</v>
      </c>
      <c r="AM450" s="2">
        <v>0.56601667404174805</v>
      </c>
      <c r="AN450" s="2">
        <v>0.47921690344810502</v>
      </c>
      <c r="AO450" s="2">
        <v>0.278871059417725</v>
      </c>
      <c r="AP450" s="2">
        <v>0.39012998342513999</v>
      </c>
    </row>
    <row r="451" spans="1:42" x14ac:dyDescent="0.3">
      <c r="A451" t="s">
        <v>187</v>
      </c>
      <c r="B451" s="3">
        <v>2020</v>
      </c>
      <c r="C451" s="3">
        <v>3.9539580000000001</v>
      </c>
      <c r="D451" s="3">
        <v>1975.55</v>
      </c>
      <c r="E451" t="s">
        <v>74</v>
      </c>
      <c r="G451" s="3">
        <v>97029.953125</v>
      </c>
      <c r="H451" s="3">
        <v>129538.8515625</v>
      </c>
      <c r="I451" s="3">
        <v>121087.671875</v>
      </c>
      <c r="J451" s="3">
        <v>117673.765625</v>
      </c>
      <c r="K451" s="3">
        <v>701417</v>
      </c>
      <c r="L451" s="3">
        <v>6.6388868726790003E-3</v>
      </c>
      <c r="M451" s="3">
        <v>0.58609616756439198</v>
      </c>
      <c r="N451" s="3">
        <v>0.618946492671967</v>
      </c>
      <c r="O451" s="3">
        <v>97221.796875</v>
      </c>
      <c r="P451" s="3">
        <v>130422.1484375</v>
      </c>
      <c r="Q451" s="3">
        <v>0.90745478868484497</v>
      </c>
      <c r="R451" s="3">
        <v>0.63694190979003895</v>
      </c>
      <c r="S451" s="3">
        <v>0.49707645177841198</v>
      </c>
      <c r="T451" s="3">
        <v>0.477417081594467</v>
      </c>
      <c r="U451" s="3">
        <v>0.491267710924149</v>
      </c>
      <c r="W451" t="s">
        <v>50</v>
      </c>
      <c r="X451" t="s">
        <v>54</v>
      </c>
      <c r="Y451" t="s">
        <v>52</v>
      </c>
      <c r="Z451" t="s">
        <v>53</v>
      </c>
      <c r="AA451" t="s">
        <v>53</v>
      </c>
      <c r="AC451" s="2">
        <v>0.508927356658187</v>
      </c>
      <c r="AD451" s="2">
        <v>0.51010715961456299</v>
      </c>
      <c r="AE451" s="2">
        <v>0.27626290917396501</v>
      </c>
      <c r="AF451" s="2">
        <v>0.31446024775505099</v>
      </c>
      <c r="AG451" s="2">
        <v>0.195248007774353</v>
      </c>
      <c r="AH451" s="2">
        <v>-0.42805418372154203</v>
      </c>
      <c r="AI451" s="2">
        <v>0.13197581470012701</v>
      </c>
      <c r="AJ451" s="2">
        <v>0.56389421956102703</v>
      </c>
      <c r="AK451" s="2">
        <v>0.41873937637207997</v>
      </c>
      <c r="AL451" s="2">
        <v>0.38868684604756798</v>
      </c>
      <c r="AM451" s="2">
        <v>0.56188362836837802</v>
      </c>
      <c r="AN451" s="2">
        <v>0.48785790801048301</v>
      </c>
      <c r="AO451" s="2">
        <v>0.28747245669364901</v>
      </c>
      <c r="AP451" s="2">
        <v>0.37540808320045499</v>
      </c>
    </row>
    <row r="452" spans="1:42" x14ac:dyDescent="0.3">
      <c r="A452" t="s">
        <v>188</v>
      </c>
      <c r="B452" s="3">
        <v>2015</v>
      </c>
      <c r="C452" s="3">
        <v>10.523242</v>
      </c>
      <c r="D452" s="3"/>
      <c r="E452" t="s">
        <v>189</v>
      </c>
      <c r="G452" s="3">
        <v>40411.05078125</v>
      </c>
      <c r="H452" s="3">
        <v>44913.83203125</v>
      </c>
      <c r="I452" s="3">
        <v>37924.14453125</v>
      </c>
      <c r="J452" s="3">
        <v>39404</v>
      </c>
      <c r="K452" s="3">
        <v>239455.140625</v>
      </c>
      <c r="L452" s="3"/>
      <c r="M452" s="3"/>
      <c r="N452" s="3"/>
      <c r="O452" s="3">
        <v>33070.1484375</v>
      </c>
      <c r="P452" s="3">
        <v>41342.01171875</v>
      </c>
      <c r="Q452" s="3"/>
      <c r="R452" s="3"/>
      <c r="S452" s="3">
        <v>0.367109805345535</v>
      </c>
      <c r="T452" s="3">
        <v>0.37454795837402299</v>
      </c>
      <c r="U452" s="3">
        <v>0.36048150062561002</v>
      </c>
      <c r="W452" t="s">
        <v>50</v>
      </c>
      <c r="X452" t="s">
        <v>51</v>
      </c>
      <c r="Y452" t="s">
        <v>52</v>
      </c>
      <c r="Z452" t="s">
        <v>53</v>
      </c>
      <c r="AC452" s="2">
        <v>0.14032705930428099</v>
      </c>
      <c r="AD452" s="2">
        <v>0.93773907423019398</v>
      </c>
      <c r="AE452" s="2">
        <v>0.114272154867649</v>
      </c>
      <c r="AF452" s="2">
        <v>8.7817974388599396E-2</v>
      </c>
      <c r="AG452" s="2">
        <v>7.9065904021263095E-2</v>
      </c>
      <c r="AH452" s="2">
        <v>-0.21889510750770599</v>
      </c>
      <c r="AI452" s="2">
        <v>0</v>
      </c>
      <c r="AJ452" s="2">
        <v>0.369709061829682</v>
      </c>
      <c r="AK452" s="2">
        <v>0.44130307188086298</v>
      </c>
      <c r="AL452" s="2">
        <v>0.33935438460466799</v>
      </c>
      <c r="AM452" s="2">
        <v>0.53711730241775502</v>
      </c>
      <c r="AN452" s="2">
        <v>0.49753004312515298</v>
      </c>
      <c r="AO452" s="2">
        <v>0.27686220407486001</v>
      </c>
      <c r="AP452" s="2"/>
    </row>
    <row r="453" spans="1:42" x14ac:dyDescent="0.3">
      <c r="A453" t="s">
        <v>188</v>
      </c>
      <c r="B453" s="3">
        <v>2016</v>
      </c>
      <c r="C453" s="3">
        <v>10.671457</v>
      </c>
      <c r="D453" s="3"/>
      <c r="E453" t="s">
        <v>189</v>
      </c>
      <c r="G453" s="3">
        <v>40045.65234375</v>
      </c>
      <c r="H453" s="3">
        <v>44535.80078125</v>
      </c>
      <c r="I453" s="3">
        <v>37667.23046875</v>
      </c>
      <c r="J453" s="3">
        <v>39361.4375</v>
      </c>
      <c r="K453" s="3">
        <v>236001.703125</v>
      </c>
      <c r="L453" s="3"/>
      <c r="M453" s="3"/>
      <c r="N453" s="3"/>
      <c r="O453" s="3">
        <v>34975.52734375</v>
      </c>
      <c r="P453" s="3">
        <v>43658.70703125</v>
      </c>
      <c r="Q453" s="3"/>
      <c r="R453" s="3"/>
      <c r="S453" s="3">
        <v>0.34983801841735801</v>
      </c>
      <c r="T453" s="3">
        <v>0.35549744963645902</v>
      </c>
      <c r="U453" s="3">
        <v>0.340196013450623</v>
      </c>
      <c r="W453" t="s">
        <v>50</v>
      </c>
      <c r="X453" t="s">
        <v>51</v>
      </c>
      <c r="Y453" t="s">
        <v>52</v>
      </c>
      <c r="Z453" t="s">
        <v>53</v>
      </c>
      <c r="AC453" s="2">
        <v>0.144755756862845</v>
      </c>
      <c r="AD453" s="2">
        <v>0.92873811721801802</v>
      </c>
      <c r="AE453" s="2">
        <v>0.114074811339378</v>
      </c>
      <c r="AF453" s="2">
        <v>8.8644750416278797E-2</v>
      </c>
      <c r="AG453" s="2">
        <v>7.6102316379547105E-2</v>
      </c>
      <c r="AH453" s="2">
        <v>-0.20756004750728599</v>
      </c>
      <c r="AI453" s="2">
        <v>1.17909750973338E-12</v>
      </c>
      <c r="AJ453" s="2">
        <v>0.35311216971179898</v>
      </c>
      <c r="AK453" s="2">
        <v>0.40597126893416802</v>
      </c>
      <c r="AL453" s="2">
        <v>0.31553462426255502</v>
      </c>
      <c r="AM453" s="2">
        <v>0.51943153142929099</v>
      </c>
      <c r="AN453" s="2">
        <v>0.48932462930679299</v>
      </c>
      <c r="AO453" s="2">
        <v>0.25145164132118197</v>
      </c>
      <c r="AP453" s="2"/>
    </row>
    <row r="454" spans="1:42" x14ac:dyDescent="0.3">
      <c r="A454" t="s">
        <v>188</v>
      </c>
      <c r="B454" s="3">
        <v>2017</v>
      </c>
      <c r="C454" s="3">
        <v>10.817754000000001</v>
      </c>
      <c r="D454" s="3"/>
      <c r="E454" t="s">
        <v>189</v>
      </c>
      <c r="G454" s="3">
        <v>36702.25390625</v>
      </c>
      <c r="H454" s="3">
        <v>42404.48046875</v>
      </c>
      <c r="I454" s="3">
        <v>35306.4296875</v>
      </c>
      <c r="J454" s="3">
        <v>36203.62890625</v>
      </c>
      <c r="K454" s="3">
        <v>273289.25</v>
      </c>
      <c r="L454" s="3"/>
      <c r="M454" s="3"/>
      <c r="N454" s="3"/>
      <c r="O454" s="3">
        <v>36640.90625</v>
      </c>
      <c r="P454" s="3">
        <v>46036.2421875</v>
      </c>
      <c r="Q454" s="3"/>
      <c r="R454" s="3"/>
      <c r="S454" s="3">
        <v>0.42929717898368802</v>
      </c>
      <c r="T454" s="3">
        <v>0.43244639039039601</v>
      </c>
      <c r="U454" s="3">
        <v>0.42172950506210299</v>
      </c>
      <c r="W454" t="s">
        <v>51</v>
      </c>
      <c r="X454" t="s">
        <v>51</v>
      </c>
      <c r="Y454" t="s">
        <v>52</v>
      </c>
      <c r="Z454" t="s">
        <v>53</v>
      </c>
      <c r="AC454" s="2">
        <v>0.136769240726025</v>
      </c>
      <c r="AD454" s="2">
        <v>0.92301356792449996</v>
      </c>
      <c r="AE454" s="2">
        <v>0.15750432014465299</v>
      </c>
      <c r="AF454" s="2">
        <v>9.0759195387363406E-2</v>
      </c>
      <c r="AG454" s="2">
        <v>8.3417214453220395E-2</v>
      </c>
      <c r="AH454" s="2">
        <v>-0.25469434261321999</v>
      </c>
      <c r="AI454" s="2">
        <v>-1.1913629576206101E-16</v>
      </c>
      <c r="AJ454" s="2">
        <v>0.43535903737841702</v>
      </c>
      <c r="AK454" s="2">
        <v>0.45271618753655202</v>
      </c>
      <c r="AL454" s="2">
        <v>0.367648714526913</v>
      </c>
      <c r="AM454" s="2">
        <v>0.55731117725372303</v>
      </c>
      <c r="AN454" s="2">
        <v>0.51541942358017001</v>
      </c>
      <c r="AO454" s="2">
        <v>0.28492060303688099</v>
      </c>
      <c r="AP454" s="2"/>
    </row>
    <row r="455" spans="1:42" x14ac:dyDescent="0.3">
      <c r="A455" t="s">
        <v>188</v>
      </c>
      <c r="B455" s="3">
        <v>2018</v>
      </c>
      <c r="C455" s="3">
        <v>10.962362000000001</v>
      </c>
      <c r="D455" s="3"/>
      <c r="E455" t="s">
        <v>189</v>
      </c>
      <c r="G455" s="3">
        <v>37360.1484375</v>
      </c>
      <c r="H455" s="3">
        <v>42639.40234375</v>
      </c>
      <c r="I455" s="3">
        <v>34486.51171875</v>
      </c>
      <c r="J455" s="3">
        <v>35480.59765625</v>
      </c>
      <c r="K455" s="3">
        <v>268544.75</v>
      </c>
      <c r="L455" s="3"/>
      <c r="M455" s="3"/>
      <c r="N455" s="3"/>
      <c r="O455" s="3">
        <v>38146.91015625</v>
      </c>
      <c r="P455" s="3">
        <v>47318.46484375</v>
      </c>
      <c r="Q455" s="3"/>
      <c r="R455" s="3"/>
      <c r="S455" s="3">
        <v>0.45282056927681003</v>
      </c>
      <c r="T455" s="3">
        <v>0.45613172650337203</v>
      </c>
      <c r="U455" s="3">
        <v>0.44335195422172502</v>
      </c>
      <c r="W455" t="s">
        <v>67</v>
      </c>
      <c r="X455" t="s">
        <v>51</v>
      </c>
      <c r="Y455" t="s">
        <v>52</v>
      </c>
      <c r="Z455" t="s">
        <v>53</v>
      </c>
      <c r="AC455" s="2">
        <v>0.13930802144154</v>
      </c>
      <c r="AD455" s="2">
        <v>0.93199741840362604</v>
      </c>
      <c r="AE455" s="2">
        <v>0.148792743682861</v>
      </c>
      <c r="AF455" s="2">
        <v>0.120976626873016</v>
      </c>
      <c r="AG455" s="2">
        <v>8.4567300975322696E-2</v>
      </c>
      <c r="AH455" s="2">
        <v>-0.286334067583084</v>
      </c>
      <c r="AI455" s="2">
        <v>-9.3444924107594105E-13</v>
      </c>
      <c r="AJ455" s="2">
        <v>0.472182567565684</v>
      </c>
      <c r="AK455" s="2">
        <v>0.47956415306420602</v>
      </c>
      <c r="AL455" s="2">
        <v>0.30365664957317601</v>
      </c>
      <c r="AM455" s="2">
        <v>0.56672620773315396</v>
      </c>
      <c r="AN455" s="2">
        <v>0.533427774906158</v>
      </c>
      <c r="AO455" s="2">
        <v>0.30593159794807401</v>
      </c>
      <c r="AP455" s="2"/>
    </row>
    <row r="456" spans="1:42" x14ac:dyDescent="0.3">
      <c r="A456" t="s">
        <v>188</v>
      </c>
      <c r="B456" s="3">
        <v>2019</v>
      </c>
      <c r="C456" s="3">
        <v>11.105162999999999</v>
      </c>
      <c r="D456" s="3"/>
      <c r="E456" t="s">
        <v>189</v>
      </c>
      <c r="G456" s="3">
        <v>36791.0859375</v>
      </c>
      <c r="H456" s="3">
        <v>42794.4453125</v>
      </c>
      <c r="I456" s="3">
        <v>34589.91015625</v>
      </c>
      <c r="J456" s="3">
        <v>35096.5859375</v>
      </c>
      <c r="K456" s="3">
        <v>271795.625</v>
      </c>
      <c r="L456" s="3"/>
      <c r="M456" s="3"/>
      <c r="N456" s="3"/>
      <c r="O456" s="3">
        <v>37537.87109375</v>
      </c>
      <c r="P456" s="3">
        <v>47499.53125</v>
      </c>
      <c r="Q456" s="3"/>
      <c r="R456" s="3"/>
      <c r="S456" s="3">
        <v>0.40131494402885398</v>
      </c>
      <c r="T456" s="3">
        <v>0.40663176774978599</v>
      </c>
      <c r="U456" s="3">
        <v>0.40076127648353599</v>
      </c>
      <c r="W456" t="s">
        <v>67</v>
      </c>
      <c r="X456" t="s">
        <v>54</v>
      </c>
      <c r="Y456" t="s">
        <v>52</v>
      </c>
      <c r="Z456" t="s">
        <v>53</v>
      </c>
      <c r="AC456" s="2">
        <v>0.144015055853322</v>
      </c>
      <c r="AD456" s="2">
        <v>0.93353587388992298</v>
      </c>
      <c r="AE456" s="2">
        <v>0.17105254530906699</v>
      </c>
      <c r="AF456" s="2">
        <v>0.114745147526264</v>
      </c>
      <c r="AG456" s="2">
        <v>8.5224702954292297E-2</v>
      </c>
      <c r="AH456" s="2">
        <v>-0.30455824732780501</v>
      </c>
      <c r="AI456" s="2">
        <v>8.0051633724598195E-13</v>
      </c>
      <c r="AJ456" s="2">
        <v>0.41942009785178203</v>
      </c>
      <c r="AK456" s="2">
        <v>0.439215339144573</v>
      </c>
      <c r="AL456" s="2">
        <v>0.25401614211255602</v>
      </c>
      <c r="AM456" s="2">
        <v>0.50209724903106701</v>
      </c>
      <c r="AN456" s="2">
        <v>0.45262107253074602</v>
      </c>
      <c r="AO456" s="2">
        <v>0.28391700983047502</v>
      </c>
      <c r="AP456" s="2"/>
    </row>
    <row r="457" spans="1:42" x14ac:dyDescent="0.3">
      <c r="A457" t="s">
        <v>188</v>
      </c>
      <c r="B457" s="3">
        <v>2020</v>
      </c>
      <c r="C457" s="3">
        <v>11.243848</v>
      </c>
      <c r="D457" s="3"/>
      <c r="E457" t="s">
        <v>189</v>
      </c>
      <c r="G457" s="3">
        <v>36088.6015625</v>
      </c>
      <c r="H457" s="3">
        <v>43165.14453125</v>
      </c>
      <c r="I457" s="3">
        <v>36223.90625</v>
      </c>
      <c r="J457" s="3">
        <v>36403.5390625</v>
      </c>
      <c r="K457" s="3">
        <v>423268.65625</v>
      </c>
      <c r="L457" s="3"/>
      <c r="M457" s="3"/>
      <c r="N457" s="3"/>
      <c r="O457" s="3">
        <v>36389.49609375</v>
      </c>
      <c r="P457" s="3">
        <v>44291.84375</v>
      </c>
      <c r="Q457" s="3"/>
      <c r="R457" s="3"/>
      <c r="S457" s="3">
        <v>0.44858449697494501</v>
      </c>
      <c r="T457" s="3">
        <v>0.45681875944137601</v>
      </c>
      <c r="U457" s="3">
        <v>0.45456463098526001</v>
      </c>
      <c r="W457" t="s">
        <v>67</v>
      </c>
      <c r="X457" t="s">
        <v>54</v>
      </c>
      <c r="Y457" t="s">
        <v>52</v>
      </c>
      <c r="Z457" t="s">
        <v>53</v>
      </c>
      <c r="AC457" s="2">
        <v>0.14755628534149301</v>
      </c>
      <c r="AD457" s="2">
        <v>0.86621439456939697</v>
      </c>
      <c r="AE457" s="2">
        <v>0.19439162313938099</v>
      </c>
      <c r="AF457" s="2">
        <v>0.12513428926467901</v>
      </c>
      <c r="AG457" s="2">
        <v>5.0884574651718098E-2</v>
      </c>
      <c r="AH457" s="2">
        <v>-0.236624881625175</v>
      </c>
      <c r="AI457" s="2">
        <v>0</v>
      </c>
      <c r="AJ457" s="2">
        <v>0.47743347864601299</v>
      </c>
      <c r="AK457" s="2">
        <v>0.49881133623159202</v>
      </c>
      <c r="AL457" s="2">
        <v>0.24888391098920601</v>
      </c>
      <c r="AM457" s="2">
        <v>0.58621108531951904</v>
      </c>
      <c r="AN457" s="2">
        <v>0.49416998028755199</v>
      </c>
      <c r="AO457" s="2">
        <v>0.32207924127578702</v>
      </c>
      <c r="AP457" s="2"/>
    </row>
    <row r="458" spans="1:42" x14ac:dyDescent="0.3">
      <c r="A458" t="s">
        <v>190</v>
      </c>
      <c r="B458" s="3">
        <v>2015</v>
      </c>
      <c r="C458" s="3">
        <v>9.8392110000000006</v>
      </c>
      <c r="D458" s="3">
        <v>1746.17</v>
      </c>
      <c r="E458" t="s">
        <v>191</v>
      </c>
      <c r="G458" s="3">
        <v>207450.109375</v>
      </c>
      <c r="H458" s="3">
        <v>278762.9375</v>
      </c>
      <c r="I458" s="3">
        <v>301623.03125</v>
      </c>
      <c r="J458" s="3">
        <v>266397.21875</v>
      </c>
      <c r="K458" s="3">
        <v>1545199.875</v>
      </c>
      <c r="L458" s="3">
        <v>1.6757894307374999E-2</v>
      </c>
      <c r="M458" s="3">
        <v>0.61852651834487904</v>
      </c>
      <c r="N458" s="3">
        <v>0.62441891431808505</v>
      </c>
      <c r="O458" s="3">
        <v>206831.765625</v>
      </c>
      <c r="P458" s="3">
        <v>286110.4375</v>
      </c>
      <c r="Q458" s="3">
        <v>0.93564194440841697</v>
      </c>
      <c r="R458" s="3">
        <v>0.56364333629608199</v>
      </c>
      <c r="S458" s="3">
        <v>0.41394355893135099</v>
      </c>
      <c r="T458" s="3">
        <v>0.41523393988609297</v>
      </c>
      <c r="U458" s="3">
        <v>0.47014054656028798</v>
      </c>
      <c r="W458" t="s">
        <v>50</v>
      </c>
      <c r="X458" t="s">
        <v>51</v>
      </c>
      <c r="Y458" t="s">
        <v>52</v>
      </c>
      <c r="Z458" t="s">
        <v>53</v>
      </c>
      <c r="AA458" t="s">
        <v>53</v>
      </c>
      <c r="AC458" s="2">
        <v>0.75584600054042606</v>
      </c>
      <c r="AD458" s="2">
        <v>0.49326738715171797</v>
      </c>
      <c r="AE458" s="2">
        <v>0.26769360899925199</v>
      </c>
      <c r="AF458" s="2">
        <v>0.285457372665405</v>
      </c>
      <c r="AG458" s="2">
        <v>0.68054014444351196</v>
      </c>
      <c r="AH458" s="2">
        <v>-0.72695839405059803</v>
      </c>
      <c r="AI458" s="2">
        <v>-1.1618839611248901E-16</v>
      </c>
      <c r="AJ458" s="2">
        <v>0.46576925107024503</v>
      </c>
      <c r="AK458" s="2">
        <v>0.41898768198478697</v>
      </c>
      <c r="AL458" s="2">
        <v>0.32438933948021798</v>
      </c>
      <c r="AM458" s="2">
        <v>0.60403025150299094</v>
      </c>
      <c r="AN458" s="2">
        <v>0.51644593477249201</v>
      </c>
      <c r="AO458" s="2">
        <v>0.290951728820801</v>
      </c>
      <c r="AP458" s="2">
        <v>0.43571406602859503</v>
      </c>
    </row>
    <row r="459" spans="1:42" x14ac:dyDescent="0.3">
      <c r="A459" t="s">
        <v>190</v>
      </c>
      <c r="B459" s="3">
        <v>2016</v>
      </c>
      <c r="C459" s="3">
        <v>9.8105320000000003</v>
      </c>
      <c r="D459" s="3">
        <v>1760.72</v>
      </c>
      <c r="E459" t="s">
        <v>191</v>
      </c>
      <c r="G459" s="3">
        <v>213759.828125</v>
      </c>
      <c r="H459" s="3">
        <v>281762.84375</v>
      </c>
      <c r="I459" s="3">
        <v>307101.75</v>
      </c>
      <c r="J459" s="3">
        <v>270922.5625</v>
      </c>
      <c r="K459" s="3">
        <v>1604432.125</v>
      </c>
      <c r="L459" s="3">
        <v>1.7132440581917801E-2</v>
      </c>
      <c r="M459" s="3">
        <v>0.60354238748550404</v>
      </c>
      <c r="N459" s="3">
        <v>0.60685986280441295</v>
      </c>
      <c r="O459" s="3">
        <v>214353.765625</v>
      </c>
      <c r="P459" s="3">
        <v>291915.84375</v>
      </c>
      <c r="Q459" s="3">
        <v>0.92707628011703502</v>
      </c>
      <c r="R459" s="3">
        <v>0.57505762577056896</v>
      </c>
      <c r="S459" s="3">
        <v>0.42067426443099998</v>
      </c>
      <c r="T459" s="3">
        <v>0.42000266909599299</v>
      </c>
      <c r="U459" s="3">
        <v>0.47609013319015497</v>
      </c>
      <c r="W459" t="s">
        <v>50</v>
      </c>
      <c r="X459" t="s">
        <v>51</v>
      </c>
      <c r="Y459" t="s">
        <v>52</v>
      </c>
      <c r="Z459" t="s">
        <v>53</v>
      </c>
      <c r="AA459" t="s">
        <v>53</v>
      </c>
      <c r="AC459" s="2">
        <v>0.75301987062892894</v>
      </c>
      <c r="AD459" s="2">
        <v>0.50450211763382002</v>
      </c>
      <c r="AE459" s="2">
        <v>0.25100535154342701</v>
      </c>
      <c r="AF459" s="2">
        <v>0.28450497984886203</v>
      </c>
      <c r="AG459" s="2">
        <v>0.68451064825057995</v>
      </c>
      <c r="AH459" s="2">
        <v>-0.72452312707901001</v>
      </c>
      <c r="AI459" s="2">
        <v>0</v>
      </c>
      <c r="AJ459" s="2">
        <v>0.47023807481762298</v>
      </c>
      <c r="AK459" s="2">
        <v>0.41789165236091402</v>
      </c>
      <c r="AL459" s="2">
        <v>0.33278460483976802</v>
      </c>
      <c r="AM459" s="2">
        <v>0.59892153739929199</v>
      </c>
      <c r="AN459" s="2">
        <v>0.51162767410278298</v>
      </c>
      <c r="AO459" s="2">
        <v>0.28845936059951799</v>
      </c>
      <c r="AP459" s="2">
        <v>0.41410306096076999</v>
      </c>
    </row>
    <row r="460" spans="1:42" x14ac:dyDescent="0.3">
      <c r="A460" t="s">
        <v>190</v>
      </c>
      <c r="B460" s="3">
        <v>2017</v>
      </c>
      <c r="C460" s="3">
        <v>9.7856039999999993</v>
      </c>
      <c r="D460" s="3">
        <v>1746.41</v>
      </c>
      <c r="E460" t="s">
        <v>191</v>
      </c>
      <c r="G460" s="3">
        <v>225419.609375</v>
      </c>
      <c r="H460" s="3">
        <v>301307.9375</v>
      </c>
      <c r="I460" s="3">
        <v>322114.78125</v>
      </c>
      <c r="J460" s="3">
        <v>285309.21875</v>
      </c>
      <c r="K460" s="3">
        <v>1619106.875</v>
      </c>
      <c r="L460" s="3">
        <v>1.7327820882201202E-2</v>
      </c>
      <c r="M460" s="3">
        <v>0.61682188510894798</v>
      </c>
      <c r="N460" s="3">
        <v>0.62731987237930298</v>
      </c>
      <c r="O460" s="3">
        <v>224438.3125</v>
      </c>
      <c r="P460" s="3">
        <v>308130.96875</v>
      </c>
      <c r="Q460" s="3">
        <v>0.94610089063644398</v>
      </c>
      <c r="R460" s="3">
        <v>0.57408696413040206</v>
      </c>
      <c r="S460" s="3">
        <v>0.44680207967758201</v>
      </c>
      <c r="T460" s="3">
        <v>0.44498145580291798</v>
      </c>
      <c r="U460" s="3">
        <v>0.50238507986068703</v>
      </c>
      <c r="W460" t="s">
        <v>51</v>
      </c>
      <c r="X460" t="s">
        <v>51</v>
      </c>
      <c r="Y460" t="s">
        <v>52</v>
      </c>
      <c r="Z460" t="s">
        <v>53</v>
      </c>
      <c r="AA460" t="s">
        <v>53</v>
      </c>
      <c r="AC460" s="2">
        <v>0.75220956463882505</v>
      </c>
      <c r="AD460" s="2">
        <v>0.50285124778747603</v>
      </c>
      <c r="AE460" s="2">
        <v>0.26598620414733898</v>
      </c>
      <c r="AF460" s="2">
        <v>0.28723749518394498</v>
      </c>
      <c r="AG460" s="2">
        <v>0.69692820310592696</v>
      </c>
      <c r="AH460" s="2">
        <v>-0.75300312042236295</v>
      </c>
      <c r="AI460" s="2">
        <v>2.0304748233290999E-16</v>
      </c>
      <c r="AJ460" s="2">
        <v>0.50076146686610401</v>
      </c>
      <c r="AK460" s="2">
        <v>0.43957345231148598</v>
      </c>
      <c r="AL460" s="2">
        <v>0.352338310200972</v>
      </c>
      <c r="AM460" s="2">
        <v>0.61810654401779197</v>
      </c>
      <c r="AN460" s="2">
        <v>0.52898132801055897</v>
      </c>
      <c r="AO460" s="2">
        <v>0.31576085090637201</v>
      </c>
      <c r="AP460" s="2">
        <v>0.43956479430198703</v>
      </c>
    </row>
    <row r="461" spans="1:42" x14ac:dyDescent="0.3">
      <c r="A461" t="s">
        <v>190</v>
      </c>
      <c r="B461" s="3">
        <v>2018</v>
      </c>
      <c r="C461" s="3">
        <v>9.7743939999999991</v>
      </c>
      <c r="D461" s="3">
        <v>1729.06</v>
      </c>
      <c r="E461" t="s">
        <v>191</v>
      </c>
      <c r="G461" s="3">
        <v>229524.84375</v>
      </c>
      <c r="H461" s="3">
        <v>323399.625</v>
      </c>
      <c r="I461" s="3">
        <v>337200.21875</v>
      </c>
      <c r="J461" s="3">
        <v>297609.84375</v>
      </c>
      <c r="K461" s="3">
        <v>1705893.5</v>
      </c>
      <c r="L461" s="3">
        <v>1.7898723483085601E-2</v>
      </c>
      <c r="M461" s="3">
        <v>0.61726087331771895</v>
      </c>
      <c r="N461" s="3">
        <v>0.64566415548324596</v>
      </c>
      <c r="O461" s="3">
        <v>233641.5</v>
      </c>
      <c r="P461" s="3">
        <v>330934.65625</v>
      </c>
      <c r="Q461" s="3">
        <v>0.97600018978118896</v>
      </c>
      <c r="R461" s="3">
        <v>0.56746643781661998</v>
      </c>
      <c r="S461" s="3">
        <v>0.48326441645622298</v>
      </c>
      <c r="T461" s="3">
        <v>0.47800889611244202</v>
      </c>
      <c r="U461" s="3">
        <v>0.54159736633300803</v>
      </c>
      <c r="W461" t="s">
        <v>50</v>
      </c>
      <c r="X461" t="s">
        <v>51</v>
      </c>
      <c r="Y461" t="s">
        <v>52</v>
      </c>
      <c r="Z461" t="s">
        <v>53</v>
      </c>
      <c r="AA461" t="s">
        <v>53</v>
      </c>
      <c r="AC461" s="2">
        <v>0.745549026584029</v>
      </c>
      <c r="AD461" s="2">
        <v>0.49714574217796298</v>
      </c>
      <c r="AE461" s="2">
        <v>0.31542900204658503</v>
      </c>
      <c r="AF461" s="2">
        <v>0.27408155798912098</v>
      </c>
      <c r="AG461" s="2">
        <v>0.70743030309677102</v>
      </c>
      <c r="AH461" s="2">
        <v>-0.794086694717407</v>
      </c>
      <c r="AI461" s="2">
        <v>1.8056198689642E-16</v>
      </c>
      <c r="AJ461" s="2">
        <v>0.53608359813416195</v>
      </c>
      <c r="AK461" s="2">
        <v>0.46515901032234203</v>
      </c>
      <c r="AL461" s="2">
        <v>0.38745780193483798</v>
      </c>
      <c r="AM461" s="2">
        <v>0.63847237825393699</v>
      </c>
      <c r="AN461" s="2">
        <v>0.54088395833969105</v>
      </c>
      <c r="AO461" s="2">
        <v>0.33843129873275801</v>
      </c>
      <c r="AP461" s="2">
        <v>0.46056109666824302</v>
      </c>
    </row>
    <row r="462" spans="1:42" x14ac:dyDescent="0.3">
      <c r="A462" t="s">
        <v>190</v>
      </c>
      <c r="B462" s="3">
        <v>2019</v>
      </c>
      <c r="C462" s="3">
        <v>9.770346</v>
      </c>
      <c r="D462" s="3">
        <v>1721.13</v>
      </c>
      <c r="E462" t="s">
        <v>191</v>
      </c>
      <c r="G462" s="3">
        <v>249264.21875</v>
      </c>
      <c r="H462" s="3">
        <v>354992.53125</v>
      </c>
      <c r="I462" s="3">
        <v>362999.75</v>
      </c>
      <c r="J462" s="3">
        <v>322288.53125</v>
      </c>
      <c r="K462" s="3">
        <v>1834316.5</v>
      </c>
      <c r="L462" s="3">
        <v>1.8657445907592801E-2</v>
      </c>
      <c r="M462" s="3">
        <v>0.64068549871444702</v>
      </c>
      <c r="N462" s="3">
        <v>0.67907780408859297</v>
      </c>
      <c r="O462" s="3">
        <v>246274.484375</v>
      </c>
      <c r="P462" s="3">
        <v>355135</v>
      </c>
      <c r="Q462" s="3">
        <v>1.0013780593872099</v>
      </c>
      <c r="R462" s="3">
        <v>0.57034957408904996</v>
      </c>
      <c r="S462" s="3">
        <v>0.45720294117927601</v>
      </c>
      <c r="T462" s="3">
        <v>0.45437136292457603</v>
      </c>
      <c r="U462" s="3">
        <v>0.51176708936691295</v>
      </c>
      <c r="W462" t="s">
        <v>50</v>
      </c>
      <c r="X462" t="s">
        <v>54</v>
      </c>
      <c r="Y462" t="s">
        <v>52</v>
      </c>
      <c r="Z462" t="s">
        <v>53</v>
      </c>
      <c r="AA462" t="s">
        <v>53</v>
      </c>
      <c r="AC462" s="2">
        <v>0.75522805811802196</v>
      </c>
      <c r="AD462" s="2">
        <v>0.49962660670280501</v>
      </c>
      <c r="AE462" s="2">
        <v>0.32805481553077698</v>
      </c>
      <c r="AF462" s="2">
        <v>0.27379286289215099</v>
      </c>
      <c r="AG462" s="2">
        <v>0.69521427154541005</v>
      </c>
      <c r="AH462" s="2">
        <v>-0.79668855667114302</v>
      </c>
      <c r="AI462" s="2">
        <v>1.7645459178628601E-16</v>
      </c>
      <c r="AJ462" s="2">
        <v>0.50320729099143702</v>
      </c>
      <c r="AK462" s="2">
        <v>0.447695661087324</v>
      </c>
      <c r="AL462" s="2">
        <v>0.37325262168741002</v>
      </c>
      <c r="AM462" s="2">
        <v>0.59674781560897805</v>
      </c>
      <c r="AN462" s="2">
        <v>0.50657039880752597</v>
      </c>
      <c r="AO462" s="2">
        <v>0.33004456758499101</v>
      </c>
      <c r="AP462" s="2">
        <v>0.43201285600662198</v>
      </c>
    </row>
    <row r="463" spans="1:42" x14ac:dyDescent="0.3">
      <c r="A463" t="s">
        <v>190</v>
      </c>
      <c r="B463" s="3">
        <v>2020</v>
      </c>
      <c r="C463" s="3">
        <v>9.7494569999999996</v>
      </c>
      <c r="D463" s="3">
        <v>1657.7</v>
      </c>
      <c r="E463" t="s">
        <v>191</v>
      </c>
      <c r="G463" s="3">
        <v>247700.40625</v>
      </c>
      <c r="H463" s="3">
        <v>344584.5625</v>
      </c>
      <c r="I463" s="3">
        <v>351155.3125</v>
      </c>
      <c r="J463" s="3">
        <v>310417.6875</v>
      </c>
      <c r="K463" s="3">
        <v>1896496.5</v>
      </c>
      <c r="L463" s="3">
        <v>1.84543393552303E-2</v>
      </c>
      <c r="M463" s="3">
        <v>0.61967140436172496</v>
      </c>
      <c r="N463" s="3">
        <v>0.65989410877227805</v>
      </c>
      <c r="O463" s="3">
        <v>244814.78125</v>
      </c>
      <c r="P463" s="3">
        <v>346313.6875</v>
      </c>
      <c r="Q463" s="3">
        <v>0.96926683187484697</v>
      </c>
      <c r="R463" s="3">
        <v>0.56410479545593295</v>
      </c>
      <c r="S463" s="3">
        <v>0.45083314180374101</v>
      </c>
      <c r="T463" s="3">
        <v>0.45127746462821999</v>
      </c>
      <c r="U463" s="3">
        <v>0.51050078868866</v>
      </c>
      <c r="W463" t="s">
        <v>50</v>
      </c>
      <c r="X463" t="s">
        <v>54</v>
      </c>
      <c r="Y463" t="s">
        <v>52</v>
      </c>
      <c r="Z463" t="s">
        <v>53</v>
      </c>
      <c r="AA463" t="s">
        <v>53</v>
      </c>
      <c r="AC463" s="2">
        <v>0.750754462032167</v>
      </c>
      <c r="AD463" s="2">
        <v>0.50021338462829601</v>
      </c>
      <c r="AE463" s="2">
        <v>0.31210902333259599</v>
      </c>
      <c r="AF463" s="2">
        <v>0.29774504899978599</v>
      </c>
      <c r="AG463" s="2">
        <v>0.67356616258621205</v>
      </c>
      <c r="AH463" s="2">
        <v>-0.78363358974456798</v>
      </c>
      <c r="AI463" s="2">
        <v>0</v>
      </c>
      <c r="AJ463" s="2">
        <v>0.50288420314731697</v>
      </c>
      <c r="AK463" s="2">
        <v>0.45241344407539502</v>
      </c>
      <c r="AL463" s="2">
        <v>0.363387051576537</v>
      </c>
      <c r="AM463" s="2">
        <v>0.59179949760437001</v>
      </c>
      <c r="AN463" s="2">
        <v>0.49648675322532698</v>
      </c>
      <c r="AO463" s="2">
        <v>0.33282265067100503</v>
      </c>
      <c r="AP463" s="2">
        <v>0.44447919726371798</v>
      </c>
    </row>
    <row r="464" spans="1:42" x14ac:dyDescent="0.3">
      <c r="A464" t="s">
        <v>192</v>
      </c>
      <c r="B464" s="3">
        <v>2015</v>
      </c>
      <c r="C464" s="3">
        <v>261.79924899999997</v>
      </c>
      <c r="D464" s="3">
        <v>2042.06</v>
      </c>
      <c r="E464" t="s">
        <v>193</v>
      </c>
      <c r="G464" s="3">
        <v>1967866.875</v>
      </c>
      <c r="H464" s="3">
        <v>2961477.25</v>
      </c>
      <c r="I464" s="3">
        <v>2924562.75</v>
      </c>
      <c r="J464" s="3">
        <v>2910212</v>
      </c>
      <c r="K464" s="3">
        <v>16334941</v>
      </c>
      <c r="L464" s="3">
        <v>0.17046514153480499</v>
      </c>
      <c r="M464" s="3">
        <v>0.439107716083527</v>
      </c>
      <c r="N464" s="3">
        <v>0.43108960986137401</v>
      </c>
      <c r="O464" s="3">
        <v>1828961</v>
      </c>
      <c r="P464" s="3">
        <v>2769531.75</v>
      </c>
      <c r="Q464" s="3">
        <v>0.95929658412933405</v>
      </c>
      <c r="R464" s="3">
        <v>0.50703519582748402</v>
      </c>
      <c r="S464" s="3">
        <v>0.293967634439468</v>
      </c>
      <c r="T464" s="3">
        <v>0.294353127479553</v>
      </c>
      <c r="U464" s="3">
        <v>0.29580467939376798</v>
      </c>
      <c r="W464" t="s">
        <v>50</v>
      </c>
      <c r="X464" t="s">
        <v>51</v>
      </c>
      <c r="Y464" t="s">
        <v>52</v>
      </c>
      <c r="Z464" t="s">
        <v>53</v>
      </c>
      <c r="AA464" t="s">
        <v>53</v>
      </c>
      <c r="AC464" s="2">
        <v>0.485677852377363</v>
      </c>
      <c r="AD464" s="2">
        <v>0.55636221170425404</v>
      </c>
      <c r="AE464" s="2">
        <v>0.34142199158668501</v>
      </c>
      <c r="AF464" s="2">
        <v>0.119831472635269</v>
      </c>
      <c r="AG464" s="2">
        <v>9.5817431807518005E-2</v>
      </c>
      <c r="AH464" s="2">
        <v>-9.18999537825584E-2</v>
      </c>
      <c r="AI464" s="2">
        <v>-2.1533161401748699E-2</v>
      </c>
      <c r="AJ464" s="2">
        <v>0.30544818672468699</v>
      </c>
      <c r="AK464" s="2">
        <v>0.29511666476085502</v>
      </c>
      <c r="AL464" s="2">
        <v>0.24066481890344599</v>
      </c>
      <c r="AM464" s="2">
        <v>0.53923797607421897</v>
      </c>
      <c r="AN464" s="2">
        <v>0.53354227542877197</v>
      </c>
      <c r="AO464" s="2">
        <v>0.17180460691452001</v>
      </c>
      <c r="AP464" s="2">
        <v>0.33260744810104398</v>
      </c>
    </row>
    <row r="465" spans="1:42" x14ac:dyDescent="0.3">
      <c r="A465" t="s">
        <v>192</v>
      </c>
      <c r="B465" s="3">
        <v>2016</v>
      </c>
      <c r="C465" s="3">
        <v>264.62741799999998</v>
      </c>
      <c r="D465" s="3">
        <v>2040.01</v>
      </c>
      <c r="E465" t="s">
        <v>193</v>
      </c>
      <c r="G465" s="3">
        <v>1991990.5</v>
      </c>
      <c r="H465" s="3">
        <v>3007498.5</v>
      </c>
      <c r="I465" s="3">
        <v>2971444.5</v>
      </c>
      <c r="J465" s="3">
        <v>2958004.75</v>
      </c>
      <c r="K465" s="3">
        <v>17199504</v>
      </c>
      <c r="L465" s="3">
        <v>0.17354579269886</v>
      </c>
      <c r="M465" s="3">
        <v>0.43591290712356601</v>
      </c>
      <c r="N465" s="3">
        <v>0.42849707603454601</v>
      </c>
      <c r="O465" s="3">
        <v>1907339</v>
      </c>
      <c r="P465" s="3">
        <v>2894709</v>
      </c>
      <c r="Q465" s="3">
        <v>0.975280702114105</v>
      </c>
      <c r="R465" s="3">
        <v>0.50703519582748402</v>
      </c>
      <c r="S465" s="3">
        <v>0.31509304046630898</v>
      </c>
      <c r="T465" s="3">
        <v>0.31361091136932401</v>
      </c>
      <c r="U465" s="3">
        <v>0.315035790205002</v>
      </c>
      <c r="W465" t="s">
        <v>50</v>
      </c>
      <c r="X465" t="s">
        <v>51</v>
      </c>
      <c r="Y465" t="s">
        <v>52</v>
      </c>
      <c r="Z465" t="s">
        <v>53</v>
      </c>
      <c r="AA465" t="s">
        <v>53</v>
      </c>
      <c r="AC465" s="2">
        <v>0.47080964306349099</v>
      </c>
      <c r="AD465" s="2">
        <v>0.56123656034469604</v>
      </c>
      <c r="AE465" s="2">
        <v>0.34330841898918202</v>
      </c>
      <c r="AF465" s="2">
        <v>0.112187117338181</v>
      </c>
      <c r="AG465" s="2">
        <v>9.1404557228088407E-2</v>
      </c>
      <c r="AH465" s="2">
        <v>-8.6520135402679402E-2</v>
      </c>
      <c r="AI465" s="2">
        <v>-2.1616514772176701E-2</v>
      </c>
      <c r="AJ465" s="2">
        <v>0.32459594522611901</v>
      </c>
      <c r="AK465" s="2">
        <v>0.31070355304859298</v>
      </c>
      <c r="AL465" s="2">
        <v>0.26755309981188502</v>
      </c>
      <c r="AM465" s="2">
        <v>0.53440570831298795</v>
      </c>
      <c r="AN465" s="2">
        <v>0.53004568815231301</v>
      </c>
      <c r="AO465" s="2">
        <v>0.17718601226806599</v>
      </c>
      <c r="AP465" s="2">
        <v>0.34262880682945301</v>
      </c>
    </row>
    <row r="466" spans="1:42" x14ac:dyDescent="0.3">
      <c r="A466" t="s">
        <v>192</v>
      </c>
      <c r="B466" s="3">
        <v>2017</v>
      </c>
      <c r="C466" s="3">
        <v>267.34665799999999</v>
      </c>
      <c r="D466" s="3">
        <v>2034.26</v>
      </c>
      <c r="E466" t="s">
        <v>193</v>
      </c>
      <c r="G466" s="3">
        <v>1998417.375</v>
      </c>
      <c r="H466" s="3">
        <v>3078080</v>
      </c>
      <c r="I466" s="3">
        <v>3074798</v>
      </c>
      <c r="J466" s="3">
        <v>3071083.75</v>
      </c>
      <c r="K466" s="3">
        <v>18020996</v>
      </c>
      <c r="L466" s="3">
        <v>0.17766971886158001</v>
      </c>
      <c r="M466" s="3">
        <v>0.43588459491729697</v>
      </c>
      <c r="N466" s="3">
        <v>0.420720815658569</v>
      </c>
      <c r="O466" s="3">
        <v>1994668.875</v>
      </c>
      <c r="P466" s="3">
        <v>3038008.5</v>
      </c>
      <c r="Q466" s="3">
        <v>0.986819267272949</v>
      </c>
      <c r="R466" s="3">
        <v>0.52881175279617298</v>
      </c>
      <c r="S466" s="3">
        <v>0.337432861328125</v>
      </c>
      <c r="T466" s="3">
        <v>0.330304205417633</v>
      </c>
      <c r="U466" s="3">
        <v>0.33070370554924</v>
      </c>
      <c r="W466" t="s">
        <v>51</v>
      </c>
      <c r="X466" t="s">
        <v>51</v>
      </c>
      <c r="Y466" t="s">
        <v>52</v>
      </c>
      <c r="Z466" t="s">
        <v>53</v>
      </c>
      <c r="AA466" t="s">
        <v>53</v>
      </c>
      <c r="AC466" s="2">
        <v>0.467514495455634</v>
      </c>
      <c r="AD466" s="2">
        <v>0.54624325037002597</v>
      </c>
      <c r="AE466" s="2">
        <v>0.35155755281448398</v>
      </c>
      <c r="AF466" s="2">
        <v>0.10447733849287</v>
      </c>
      <c r="AG466" s="2">
        <v>0.10152900964021699</v>
      </c>
      <c r="AH466" s="2">
        <v>-9.1037526726722703E-2</v>
      </c>
      <c r="AI466" s="2">
        <v>-1.27696115523577E-2</v>
      </c>
      <c r="AJ466" s="2">
        <v>0.34675473731168699</v>
      </c>
      <c r="AK466" s="2">
        <v>0.317109334296301</v>
      </c>
      <c r="AL466" s="2">
        <v>0.28869481770504701</v>
      </c>
      <c r="AM466" s="2">
        <v>0.54139763116836603</v>
      </c>
      <c r="AN466" s="2">
        <v>0.56128060817718495</v>
      </c>
      <c r="AO466" s="2">
        <v>0.18138772249221799</v>
      </c>
      <c r="AP466" s="2">
        <v>0.33605101704597501</v>
      </c>
    </row>
    <row r="467" spans="1:42" x14ac:dyDescent="0.3">
      <c r="A467" t="s">
        <v>192</v>
      </c>
      <c r="B467" s="3">
        <v>2018</v>
      </c>
      <c r="C467" s="3">
        <v>269.95184599999999</v>
      </c>
      <c r="D467" s="3">
        <v>1987.54</v>
      </c>
      <c r="E467" t="s">
        <v>193</v>
      </c>
      <c r="G467" s="3">
        <v>2080923.75</v>
      </c>
      <c r="H467" s="3">
        <v>3248121</v>
      </c>
      <c r="I467" s="3">
        <v>3229656.75</v>
      </c>
      <c r="J467" s="3">
        <v>3260772.25</v>
      </c>
      <c r="K467" s="3">
        <v>18968602</v>
      </c>
      <c r="L467" s="3">
        <v>0.17794632911682101</v>
      </c>
      <c r="M467" s="3">
        <v>0.45431116223335299</v>
      </c>
      <c r="N467" s="3">
        <v>0.43562325835228</v>
      </c>
      <c r="O467" s="3">
        <v>2096267.75</v>
      </c>
      <c r="P467" s="3">
        <v>3227833.25</v>
      </c>
      <c r="Q467" s="3">
        <v>1.00606346130371</v>
      </c>
      <c r="R467" s="3">
        <v>0.50681310892105103</v>
      </c>
      <c r="S467" s="3">
        <v>0.33057960867881803</v>
      </c>
      <c r="T467" s="3">
        <v>0.32271897792816201</v>
      </c>
      <c r="U467" s="3">
        <v>0.31963947415351901</v>
      </c>
      <c r="W467" t="s">
        <v>50</v>
      </c>
      <c r="X467" t="s">
        <v>51</v>
      </c>
      <c r="Y467" t="s">
        <v>52</v>
      </c>
      <c r="Z467" t="s">
        <v>53</v>
      </c>
      <c r="AA467" t="s">
        <v>53</v>
      </c>
      <c r="AC467" s="2">
        <v>0.46502984385229701</v>
      </c>
      <c r="AD467" s="2">
        <v>0.53198331594467196</v>
      </c>
      <c r="AE467" s="2">
        <v>0.35795119404792802</v>
      </c>
      <c r="AF467" s="2">
        <v>0.106185659766197</v>
      </c>
      <c r="AG467" s="2">
        <v>9.9709704518318204E-2</v>
      </c>
      <c r="AH467" s="2">
        <v>-9.8264187574386597E-2</v>
      </c>
      <c r="AI467" s="2">
        <v>2.4343042168766299E-3</v>
      </c>
      <c r="AJ467" s="2">
        <v>0.34236079542984998</v>
      </c>
      <c r="AK467" s="2">
        <v>0.30870476073726499</v>
      </c>
      <c r="AL467" s="2">
        <v>0.27155660410271698</v>
      </c>
      <c r="AM467" s="2">
        <v>0.55428487062454201</v>
      </c>
      <c r="AN467" s="2">
        <v>0.58895415067672696</v>
      </c>
      <c r="AO467" s="2">
        <v>0.17636217176914201</v>
      </c>
      <c r="AP467" s="2">
        <v>0.34156161546707198</v>
      </c>
    </row>
    <row r="468" spans="1:42" x14ac:dyDescent="0.3">
      <c r="A468" t="s">
        <v>192</v>
      </c>
      <c r="B468" s="3">
        <v>2019</v>
      </c>
      <c r="C468" s="3">
        <v>272.48938099999998</v>
      </c>
      <c r="D468" s="3">
        <v>1982.2</v>
      </c>
      <c r="E468" t="s">
        <v>193</v>
      </c>
      <c r="G468" s="3">
        <v>2222223.75</v>
      </c>
      <c r="H468" s="3">
        <v>3405212.5</v>
      </c>
      <c r="I468" s="3">
        <v>3387628</v>
      </c>
      <c r="J468" s="3">
        <v>3422708</v>
      </c>
      <c r="K468" s="3">
        <v>21104994</v>
      </c>
      <c r="L468" s="3">
        <v>0.18202500045299499</v>
      </c>
      <c r="M468" s="3">
        <v>0.45533779263496399</v>
      </c>
      <c r="N468" s="3">
        <v>0.43592157959938099</v>
      </c>
      <c r="O468" s="3">
        <v>2199078</v>
      </c>
      <c r="P468" s="3">
        <v>3357996.75</v>
      </c>
      <c r="Q468" s="3">
        <v>1.0080156326293901</v>
      </c>
      <c r="R468" s="3">
        <v>0.50930440425872803</v>
      </c>
      <c r="S468" s="3">
        <v>0.33609366416931202</v>
      </c>
      <c r="T468" s="3">
        <v>0.33034908771514898</v>
      </c>
      <c r="U468" s="3">
        <v>0.32696327567100503</v>
      </c>
      <c r="W468" t="s">
        <v>50</v>
      </c>
      <c r="X468" t="s">
        <v>54</v>
      </c>
      <c r="Y468" t="s">
        <v>52</v>
      </c>
      <c r="Z468" t="s">
        <v>53</v>
      </c>
      <c r="AA468" t="s">
        <v>53</v>
      </c>
      <c r="AC468" s="2">
        <v>0.46523295960758998</v>
      </c>
      <c r="AD468" s="2">
        <v>0.53957211971283003</v>
      </c>
      <c r="AE468" s="2">
        <v>0.34562945365905801</v>
      </c>
      <c r="AF468" s="2">
        <v>0.109686799347401</v>
      </c>
      <c r="AG468" s="2">
        <v>9.2645429074764293E-2</v>
      </c>
      <c r="AH468" s="2">
        <v>-8.5553616285324097E-2</v>
      </c>
      <c r="AI468" s="2">
        <v>-1.9801789894700098E-3</v>
      </c>
      <c r="AJ468" s="2">
        <v>0.35103991168002202</v>
      </c>
      <c r="AK468" s="2">
        <v>0.31955801314017002</v>
      </c>
      <c r="AL468" s="2">
        <v>0.26257003603554402</v>
      </c>
      <c r="AM468" s="2">
        <v>0.52880460023880005</v>
      </c>
      <c r="AN468" s="2">
        <v>0.58490896224975597</v>
      </c>
      <c r="AO468" s="2">
        <v>0.18115264177322399</v>
      </c>
      <c r="AP468" s="2">
        <v>0.34313604235649098</v>
      </c>
    </row>
    <row r="469" spans="1:42" x14ac:dyDescent="0.3">
      <c r="A469" t="s">
        <v>192</v>
      </c>
      <c r="B469" s="3">
        <v>2020</v>
      </c>
      <c r="C469" s="3">
        <v>274.81486599999999</v>
      </c>
      <c r="D469" s="3">
        <v>1935.7</v>
      </c>
      <c r="E469" t="s">
        <v>193</v>
      </c>
      <c r="G469" s="3">
        <v>2205400.5</v>
      </c>
      <c r="H469" s="3">
        <v>3300265.75</v>
      </c>
      <c r="I469" s="3">
        <v>3269757.25</v>
      </c>
      <c r="J469" s="3">
        <v>3269957.5</v>
      </c>
      <c r="K469" s="3">
        <v>22433072</v>
      </c>
      <c r="L469" s="3">
        <v>0.18303729593753801</v>
      </c>
      <c r="M469" s="3">
        <v>0.43305847048759499</v>
      </c>
      <c r="N469" s="3">
        <v>0.41929218173027</v>
      </c>
      <c r="O469" s="3">
        <v>2154514.25</v>
      </c>
      <c r="P469" s="3">
        <v>3235342.25</v>
      </c>
      <c r="Q469" s="3">
        <v>0.98058640956878695</v>
      </c>
      <c r="R469" s="3">
        <v>0.50930440425872803</v>
      </c>
      <c r="S469" s="3">
        <v>0.32937416434288003</v>
      </c>
      <c r="T469" s="3">
        <v>0.323894023895264</v>
      </c>
      <c r="U469" s="3">
        <v>0.32387420535087602</v>
      </c>
      <c r="W469" t="s">
        <v>50</v>
      </c>
      <c r="X469" t="s">
        <v>54</v>
      </c>
      <c r="Y469" t="s">
        <v>52</v>
      </c>
      <c r="Z469" t="s">
        <v>53</v>
      </c>
      <c r="AA469" t="s">
        <v>53</v>
      </c>
      <c r="AC469" s="2">
        <v>0.46338609621377702</v>
      </c>
      <c r="AD469" s="2">
        <v>0.55534565448760997</v>
      </c>
      <c r="AE469" s="2">
        <v>0.33482554554939298</v>
      </c>
      <c r="AF469" s="2">
        <v>0.11909747868776301</v>
      </c>
      <c r="AG469" s="2">
        <v>8.6627013981342302E-2</v>
      </c>
      <c r="AH469" s="2">
        <v>-7.2636440396308899E-2</v>
      </c>
      <c r="AI469" s="2">
        <v>-2.3259278386831301E-2</v>
      </c>
      <c r="AJ469" s="2">
        <v>0.34369884342845902</v>
      </c>
      <c r="AK469" s="2">
        <v>0.31285536206877101</v>
      </c>
      <c r="AL469" s="2">
        <v>0.26257889051378602</v>
      </c>
      <c r="AM469" s="2">
        <v>0.52222293615341198</v>
      </c>
      <c r="AN469" s="2">
        <v>0.56070286035537698</v>
      </c>
      <c r="AO469" s="2">
        <v>0.17464502155780801</v>
      </c>
      <c r="AP469" s="2">
        <v>0.337144404649735</v>
      </c>
    </row>
    <row r="470" spans="1:42" x14ac:dyDescent="0.3">
      <c r="A470" t="s">
        <v>194</v>
      </c>
      <c r="B470" s="3">
        <v>2015</v>
      </c>
      <c r="C470" s="3">
        <v>1328.024498</v>
      </c>
      <c r="D470" s="3">
        <v>2573.29</v>
      </c>
      <c r="E470" t="s">
        <v>195</v>
      </c>
      <c r="G470" s="3">
        <v>5762870.5</v>
      </c>
      <c r="H470" s="3">
        <v>8040800.5</v>
      </c>
      <c r="I470" s="3">
        <v>7918127</v>
      </c>
      <c r="J470" s="3">
        <v>8165565</v>
      </c>
      <c r="K470" s="3">
        <v>31573798</v>
      </c>
      <c r="L470" s="3">
        <v>0.36072409152984602</v>
      </c>
      <c r="M470" s="3">
        <v>0.39417576789856001</v>
      </c>
      <c r="N470" s="3">
        <v>0.374468713998795</v>
      </c>
      <c r="O470" s="3">
        <v>6263491</v>
      </c>
      <c r="P470" s="3">
        <v>8484360</v>
      </c>
      <c r="Q470" s="3">
        <v>1.0095230340957599</v>
      </c>
      <c r="R470" s="3">
        <v>0.50826674699783303</v>
      </c>
      <c r="S470" s="3">
        <v>0.25865826010704002</v>
      </c>
      <c r="T470" s="3">
        <v>0.271119475364685</v>
      </c>
      <c r="U470" s="3">
        <v>0.26290389895439198</v>
      </c>
      <c r="W470" t="s">
        <v>50</v>
      </c>
      <c r="X470" t="s">
        <v>51</v>
      </c>
      <c r="Y470" t="s">
        <v>52</v>
      </c>
      <c r="Z470" t="s">
        <v>53</v>
      </c>
      <c r="AA470" t="s">
        <v>53</v>
      </c>
      <c r="AC470" s="2">
        <v>0.49188113757030599</v>
      </c>
      <c r="AD470" s="2">
        <v>0.616915583610535</v>
      </c>
      <c r="AE470" s="2">
        <v>0.27896785736084001</v>
      </c>
      <c r="AF470" s="2">
        <v>8.8837265968322796E-2</v>
      </c>
      <c r="AG470" s="2">
        <v>5.56253269314766E-2</v>
      </c>
      <c r="AH470" s="2">
        <v>-8.3715975284576402E-2</v>
      </c>
      <c r="AI470" s="2">
        <v>4.3369948863983203E-2</v>
      </c>
      <c r="AJ470" s="2">
        <v>0.251464595605422</v>
      </c>
      <c r="AK470" s="2">
        <v>0.3026447876376</v>
      </c>
      <c r="AL470" s="2">
        <v>0.30861351090334299</v>
      </c>
      <c r="AM470" s="2">
        <v>0.58206492662429798</v>
      </c>
      <c r="AN470" s="2">
        <v>0.57160872220992998</v>
      </c>
      <c r="AO470" s="2">
        <v>0.17350743710994701</v>
      </c>
      <c r="AP470" s="2">
        <v>0.39098456501960799</v>
      </c>
    </row>
    <row r="471" spans="1:42" x14ac:dyDescent="0.3">
      <c r="A471" t="s">
        <v>194</v>
      </c>
      <c r="B471" s="3">
        <v>2016</v>
      </c>
      <c r="C471" s="3">
        <v>1343.9442959999999</v>
      </c>
      <c r="D471" s="3">
        <v>2570.46</v>
      </c>
      <c r="E471" t="s">
        <v>195</v>
      </c>
      <c r="G471" s="3">
        <v>6138447</v>
      </c>
      <c r="H471" s="3">
        <v>8581083</v>
      </c>
      <c r="I471" s="3">
        <v>8449551</v>
      </c>
      <c r="J471" s="3">
        <v>8638302</v>
      </c>
      <c r="K471" s="3">
        <v>33265424</v>
      </c>
      <c r="L471" s="3">
        <v>0.37149494886398299</v>
      </c>
      <c r="M471" s="3">
        <v>0.40230157971382102</v>
      </c>
      <c r="N471" s="3">
        <v>0.386373400688171</v>
      </c>
      <c r="O471" s="3">
        <v>6753347</v>
      </c>
      <c r="P471" s="3">
        <v>9200288</v>
      </c>
      <c r="Q471" s="3">
        <v>1.05106937885284</v>
      </c>
      <c r="R471" s="3">
        <v>0.51814657449722301</v>
      </c>
      <c r="S471" s="3">
        <v>0.259729564189911</v>
      </c>
      <c r="T471" s="3">
        <v>0.27108976244926503</v>
      </c>
      <c r="U471" s="3">
        <v>0.26516631245613098</v>
      </c>
      <c r="W471" t="s">
        <v>50</v>
      </c>
      <c r="X471" t="s">
        <v>51</v>
      </c>
      <c r="Y471" t="s">
        <v>52</v>
      </c>
      <c r="Z471" t="s">
        <v>53</v>
      </c>
      <c r="AA471" t="s">
        <v>53</v>
      </c>
      <c r="AC471" s="2">
        <v>0.42873056257560499</v>
      </c>
      <c r="AD471" s="2">
        <v>0.62707018852233898</v>
      </c>
      <c r="AE471" s="2">
        <v>0.28276813030242898</v>
      </c>
      <c r="AF471" s="2">
        <v>8.3537861704826397E-2</v>
      </c>
      <c r="AG471" s="2">
        <v>5.2622925490140901E-2</v>
      </c>
      <c r="AH471" s="2">
        <v>-7.2507984936237294E-2</v>
      </c>
      <c r="AI471" s="2">
        <v>2.6508852839469899E-2</v>
      </c>
      <c r="AJ471" s="2">
        <v>0.25073926040773498</v>
      </c>
      <c r="AK471" s="2">
        <v>0.29963843063247803</v>
      </c>
      <c r="AL471" s="2">
        <v>0.32721446933380799</v>
      </c>
      <c r="AM471" s="2">
        <v>0.57268500328063998</v>
      </c>
      <c r="AN471" s="2">
        <v>0.56950163841247603</v>
      </c>
      <c r="AO471" s="2">
        <v>0.17000593245029499</v>
      </c>
      <c r="AP471" s="2">
        <v>0.38456705212593101</v>
      </c>
    </row>
    <row r="472" spans="1:42" x14ac:dyDescent="0.3">
      <c r="A472" t="s">
        <v>194</v>
      </c>
      <c r="B472" s="3">
        <v>2017</v>
      </c>
      <c r="C472" s="3">
        <v>1359.6574000000001</v>
      </c>
      <c r="D472" s="3">
        <v>2579.52</v>
      </c>
      <c r="E472" t="s">
        <v>195</v>
      </c>
      <c r="G472" s="3">
        <v>6405572</v>
      </c>
      <c r="H472" s="3">
        <v>9175696</v>
      </c>
      <c r="I472" s="3">
        <v>8875618</v>
      </c>
      <c r="J472" s="3">
        <v>9113077</v>
      </c>
      <c r="K472" s="3">
        <v>34986972</v>
      </c>
      <c r="L472" s="3">
        <v>0.38540449738502502</v>
      </c>
      <c r="M472" s="3">
        <v>0.40482312440872198</v>
      </c>
      <c r="N472" s="3">
        <v>0.39253050088882402</v>
      </c>
      <c r="O472" s="3">
        <v>7231536.5</v>
      </c>
      <c r="P472" s="3">
        <v>10065015</v>
      </c>
      <c r="Q472" s="3">
        <v>1.07046711444855</v>
      </c>
      <c r="R472" s="3">
        <v>0.52274417877197299</v>
      </c>
      <c r="S472" s="3">
        <v>0.28470647335052501</v>
      </c>
      <c r="T472" s="3">
        <v>0.29567846655845598</v>
      </c>
      <c r="U472" s="3">
        <v>0.28797397017478898</v>
      </c>
      <c r="W472" t="s">
        <v>51</v>
      </c>
      <c r="X472" t="s">
        <v>51</v>
      </c>
      <c r="Y472" t="s">
        <v>52</v>
      </c>
      <c r="Z472" t="s">
        <v>53</v>
      </c>
      <c r="AA472" t="s">
        <v>53</v>
      </c>
      <c r="AC472" s="2">
        <v>0.39844822825422699</v>
      </c>
      <c r="AD472" s="2">
        <v>0.61675798892974898</v>
      </c>
      <c r="AE472" s="2">
        <v>0.30397245287895203</v>
      </c>
      <c r="AF472" s="2">
        <v>8.6140923202037797E-2</v>
      </c>
      <c r="AG472" s="2">
        <v>5.4992537945508999E-2</v>
      </c>
      <c r="AH472" s="2">
        <v>-8.5093200206756606E-2</v>
      </c>
      <c r="AI472" s="2">
        <v>2.3229293525218998E-2</v>
      </c>
      <c r="AJ472" s="2">
        <v>0.27419693202286799</v>
      </c>
      <c r="AK472" s="2">
        <v>0.321049788445332</v>
      </c>
      <c r="AL472" s="2">
        <v>0.35995355512370703</v>
      </c>
      <c r="AM472" s="2">
        <v>0.58737558126449596</v>
      </c>
      <c r="AN472" s="2">
        <v>0.57262980937957797</v>
      </c>
      <c r="AO472" s="2">
        <v>0.18537656962871599</v>
      </c>
      <c r="AP472" s="2">
        <v>0.40545830130577099</v>
      </c>
    </row>
    <row r="473" spans="1:42" x14ac:dyDescent="0.3">
      <c r="A473" t="s">
        <v>194</v>
      </c>
      <c r="B473" s="3">
        <v>2018</v>
      </c>
      <c r="C473" s="3">
        <v>1374.6590639999999</v>
      </c>
      <c r="D473" s="3">
        <v>2593.84</v>
      </c>
      <c r="E473" t="s">
        <v>195</v>
      </c>
      <c r="G473" s="3">
        <v>7083110.5</v>
      </c>
      <c r="H473" s="3">
        <v>9987307</v>
      </c>
      <c r="I473" s="3">
        <v>9607458</v>
      </c>
      <c r="J473" s="3">
        <v>9934105</v>
      </c>
      <c r="K473" s="3">
        <v>36865600</v>
      </c>
      <c r="L473" s="3">
        <v>0.397469252347946</v>
      </c>
      <c r="M473" s="3">
        <v>0.42224827408790599</v>
      </c>
      <c r="N473" s="3">
        <v>0.408633053302765</v>
      </c>
      <c r="O473" s="3">
        <v>7739854.5</v>
      </c>
      <c r="P473" s="3">
        <v>10743681</v>
      </c>
      <c r="Q473" s="3">
        <v>1.0848574638366699</v>
      </c>
      <c r="R473" s="3">
        <v>0.52060449123382602</v>
      </c>
      <c r="S473" s="3">
        <v>0.27354606986045799</v>
      </c>
      <c r="T473" s="3">
        <v>0.287644773721695</v>
      </c>
      <c r="U473" s="3">
        <v>0.27818661928176902</v>
      </c>
      <c r="W473" t="s">
        <v>50</v>
      </c>
      <c r="X473" t="s">
        <v>51</v>
      </c>
      <c r="Y473" t="s">
        <v>52</v>
      </c>
      <c r="Z473" t="s">
        <v>53</v>
      </c>
      <c r="AA473" t="s">
        <v>53</v>
      </c>
      <c r="AC473" s="2">
        <v>0.38460062901043301</v>
      </c>
      <c r="AD473" s="2">
        <v>0.62867420911788896</v>
      </c>
      <c r="AE473" s="2">
        <v>0.292346030473709</v>
      </c>
      <c r="AF473" s="2">
        <v>8.4335178136825603E-2</v>
      </c>
      <c r="AG473" s="2">
        <v>5.3458645939827E-2</v>
      </c>
      <c r="AH473" s="2">
        <v>-8.6265332996845301E-2</v>
      </c>
      <c r="AI473" s="2">
        <v>2.7451274916529701E-2</v>
      </c>
      <c r="AJ473" s="2">
        <v>0.26234918719461903</v>
      </c>
      <c r="AK473" s="2">
        <v>0.32203039485100299</v>
      </c>
      <c r="AL473" s="2">
        <v>0.35701288476308002</v>
      </c>
      <c r="AM473" s="2">
        <v>0.60725665092468295</v>
      </c>
      <c r="AN473" s="2">
        <v>0.59233886003494296</v>
      </c>
      <c r="AO473" s="2">
        <v>0.18634851276874501</v>
      </c>
      <c r="AP473" s="2">
        <v>0.39411330223083502</v>
      </c>
    </row>
    <row r="474" spans="1:42" x14ac:dyDescent="0.3">
      <c r="A474" t="s">
        <v>194</v>
      </c>
      <c r="B474" s="3">
        <v>2019</v>
      </c>
      <c r="C474" s="3">
        <v>1389.0303120000001</v>
      </c>
      <c r="D474" s="3">
        <v>2605.39</v>
      </c>
      <c r="E474" t="s">
        <v>195</v>
      </c>
      <c r="G474" s="3">
        <v>7731757.5</v>
      </c>
      <c r="H474" s="3">
        <v>10470839</v>
      </c>
      <c r="I474" s="3">
        <v>10236558</v>
      </c>
      <c r="J474" s="3">
        <v>10471326</v>
      </c>
      <c r="K474" s="3">
        <v>39333124</v>
      </c>
      <c r="L474" s="3">
        <v>0.41099086403846702</v>
      </c>
      <c r="M474" s="3">
        <v>0.40449675917625399</v>
      </c>
      <c r="N474" s="3">
        <v>0.38922041654586798</v>
      </c>
      <c r="O474" s="3">
        <v>8125326.5</v>
      </c>
      <c r="P474" s="3">
        <v>10896408</v>
      </c>
      <c r="Q474" s="3">
        <v>1.0356905460357699</v>
      </c>
      <c r="R474" s="3">
        <v>0.533480644226074</v>
      </c>
      <c r="S474" s="3">
        <v>0.26552814245223999</v>
      </c>
      <c r="T474" s="3">
        <v>0.27888271212577798</v>
      </c>
      <c r="U474" s="3">
        <v>0.272630125284195</v>
      </c>
      <c r="W474" t="s">
        <v>50</v>
      </c>
      <c r="X474" t="s">
        <v>54</v>
      </c>
      <c r="Y474" t="s">
        <v>52</v>
      </c>
      <c r="Z474" t="s">
        <v>53</v>
      </c>
      <c r="AA474" t="s">
        <v>53</v>
      </c>
      <c r="AC474" s="2">
        <v>0.37765877371065498</v>
      </c>
      <c r="AD474" s="2">
        <v>0.65451288223266602</v>
      </c>
      <c r="AE474" s="2">
        <v>0.26157921552658098</v>
      </c>
      <c r="AF474" s="2">
        <v>8.3861351013183594E-2</v>
      </c>
      <c r="AG474" s="2">
        <v>5.1327783614397098E-2</v>
      </c>
      <c r="AH474" s="2">
        <v>-8.2910887897014604E-2</v>
      </c>
      <c r="AI474" s="2">
        <v>3.1629651784896899E-2</v>
      </c>
      <c r="AJ474" s="2">
        <v>0.25371926723917498</v>
      </c>
      <c r="AK474" s="2">
        <v>0.316579390804345</v>
      </c>
      <c r="AL474" s="2">
        <v>0.35769291004318698</v>
      </c>
      <c r="AM474" s="2">
        <v>0.60143083333969105</v>
      </c>
      <c r="AN474" s="2">
        <v>0.55159091949462902</v>
      </c>
      <c r="AO474" s="2">
        <v>0.182887062430382</v>
      </c>
      <c r="AP474" s="2">
        <v>0.36857798695564298</v>
      </c>
    </row>
    <row r="475" spans="1:42" x14ac:dyDescent="0.3">
      <c r="A475" t="s">
        <v>194</v>
      </c>
      <c r="B475" s="3">
        <v>2020</v>
      </c>
      <c r="C475" s="3">
        <v>1402.6176949999999</v>
      </c>
      <c r="D475" s="3">
        <v>2527.62</v>
      </c>
      <c r="E475" t="s">
        <v>195</v>
      </c>
      <c r="G475" s="3">
        <v>7509885.5</v>
      </c>
      <c r="H475" s="3">
        <v>10021399</v>
      </c>
      <c r="I475" s="3">
        <v>9931595</v>
      </c>
      <c r="J475" s="3">
        <v>10060850</v>
      </c>
      <c r="K475" s="3">
        <v>42968296</v>
      </c>
      <c r="L475" s="3">
        <v>0.42382490634918202</v>
      </c>
      <c r="M475" s="3">
        <v>0.37521812319755599</v>
      </c>
      <c r="N475" s="3">
        <v>0.358542710542679</v>
      </c>
      <c r="O475" s="3">
        <v>7751829</v>
      </c>
      <c r="P475" s="3">
        <v>10204081</v>
      </c>
      <c r="Q475" s="3">
        <v>0.95557636022567805</v>
      </c>
      <c r="R475" s="3">
        <v>0.533480644226074</v>
      </c>
      <c r="S475" s="3">
        <v>0.25941717624664301</v>
      </c>
      <c r="T475" s="3">
        <v>0.26978352665901201</v>
      </c>
      <c r="U475" s="3">
        <v>0.26631757616996798</v>
      </c>
      <c r="W475" t="s">
        <v>50</v>
      </c>
      <c r="X475" t="s">
        <v>54</v>
      </c>
      <c r="Y475" t="s">
        <v>52</v>
      </c>
      <c r="Z475" t="s">
        <v>53</v>
      </c>
      <c r="AA475" t="s">
        <v>53</v>
      </c>
      <c r="AC475" s="2">
        <v>0.365094198935069</v>
      </c>
      <c r="AD475" s="2">
        <v>0.66038000583648704</v>
      </c>
      <c r="AE475" s="2">
        <v>0.249632313847542</v>
      </c>
      <c r="AF475" s="2">
        <v>8.6066424846649198E-2</v>
      </c>
      <c r="AG475" s="2">
        <v>4.9498792737722397E-2</v>
      </c>
      <c r="AH475" s="2">
        <v>-7.3839507997035994E-2</v>
      </c>
      <c r="AI475" s="2">
        <v>2.8261922299861901E-2</v>
      </c>
      <c r="AJ475" s="2">
        <v>0.24639606075277901</v>
      </c>
      <c r="AK475" s="2">
        <v>0.30078082831699499</v>
      </c>
      <c r="AL475" s="2">
        <v>0.35932708044806699</v>
      </c>
      <c r="AM475" s="2">
        <v>0.609807908535004</v>
      </c>
      <c r="AN475" s="2">
        <v>0.54333394765853904</v>
      </c>
      <c r="AO475" s="2">
        <v>0.17086470127105699</v>
      </c>
      <c r="AP475" s="2">
        <v>0.35022133588790899</v>
      </c>
    </row>
    <row r="476" spans="1:42" x14ac:dyDescent="0.3">
      <c r="A476" t="s">
        <v>196</v>
      </c>
      <c r="B476" s="3">
        <v>2015</v>
      </c>
      <c r="C476" s="3">
        <v>4.7024869999999996</v>
      </c>
      <c r="D476" s="3">
        <v>1699.26</v>
      </c>
      <c r="E476" t="s">
        <v>74</v>
      </c>
      <c r="G476" s="3">
        <v>141146.390625</v>
      </c>
      <c r="H476" s="3">
        <v>282823.625</v>
      </c>
      <c r="I476" s="3">
        <v>403838.59375</v>
      </c>
      <c r="J476" s="3">
        <v>407788.03125</v>
      </c>
      <c r="K476" s="3">
        <v>1414341.625</v>
      </c>
      <c r="L476" s="3">
        <v>1.8328664824366601E-2</v>
      </c>
      <c r="M476" s="3">
        <v>1.1981172561645499</v>
      </c>
      <c r="N476" s="3">
        <v>0.80166536569595304</v>
      </c>
      <c r="O476" s="3">
        <v>136224.671875</v>
      </c>
      <c r="P476" s="3">
        <v>281129.53125</v>
      </c>
      <c r="Q476" s="3">
        <v>0.97046273946762096</v>
      </c>
      <c r="R476" s="3">
        <v>0.33894363045692399</v>
      </c>
      <c r="S476" s="3">
        <v>0.942116558551788</v>
      </c>
      <c r="T476" s="3">
        <v>0.74879276752471902</v>
      </c>
      <c r="U476" s="3">
        <v>0.74154072999954201</v>
      </c>
      <c r="W476" t="s">
        <v>50</v>
      </c>
      <c r="X476" t="s">
        <v>51</v>
      </c>
      <c r="Y476" t="s">
        <v>52</v>
      </c>
      <c r="Z476" t="s">
        <v>53</v>
      </c>
      <c r="AA476" t="s">
        <v>62</v>
      </c>
      <c r="AC476" s="2">
        <v>0.67217792264326204</v>
      </c>
      <c r="AD476" s="2">
        <v>0.25344359874725297</v>
      </c>
      <c r="AE476" s="2">
        <v>0.34742861986160301</v>
      </c>
      <c r="AF476" s="2">
        <v>9.2683248221874195E-2</v>
      </c>
      <c r="AG476" s="2">
        <v>0.520380318164825</v>
      </c>
      <c r="AH476" s="2">
        <v>-0.35838240385055498</v>
      </c>
      <c r="AI476" s="2">
        <v>0.144446596503258</v>
      </c>
      <c r="AJ476" s="2">
        <v>0.93228351112686902</v>
      </c>
      <c r="AK476" s="2">
        <v>0.55619340421590802</v>
      </c>
      <c r="AL476" s="2">
        <v>0.96900505615648203</v>
      </c>
      <c r="AM476" s="2">
        <v>0.58778572082519498</v>
      </c>
      <c r="AN476" s="2">
        <v>0.53231906890869096</v>
      </c>
      <c r="AO476" s="2">
        <v>0.46180790662765497</v>
      </c>
      <c r="AP476" s="2">
        <v>1.4571329355239899</v>
      </c>
    </row>
    <row r="477" spans="1:42" x14ac:dyDescent="0.3">
      <c r="A477" t="s">
        <v>196</v>
      </c>
      <c r="B477" s="3">
        <v>2016</v>
      </c>
      <c r="C477" s="3">
        <v>4.7535030000000003</v>
      </c>
      <c r="D477" s="3">
        <v>1722.72</v>
      </c>
      <c r="E477" t="s">
        <v>74</v>
      </c>
      <c r="G477" s="3">
        <v>148896.5</v>
      </c>
      <c r="H477" s="3">
        <v>345472.28125</v>
      </c>
      <c r="I477" s="3">
        <v>426103.5625</v>
      </c>
      <c r="J477" s="3">
        <v>431311.5625</v>
      </c>
      <c r="K477" s="3">
        <v>1589358.25</v>
      </c>
      <c r="L477" s="3">
        <v>2.3177614435553599E-2</v>
      </c>
      <c r="M477" s="3">
        <v>1.08625996112823</v>
      </c>
      <c r="N477" s="3">
        <v>0.84119725227356001</v>
      </c>
      <c r="O477" s="3">
        <v>142108.921875</v>
      </c>
      <c r="P477" s="3">
        <v>326724.96875</v>
      </c>
      <c r="Q477" s="3">
        <v>0.89132314920425404</v>
      </c>
      <c r="R477" s="3">
        <v>0.35904926061630299</v>
      </c>
      <c r="S477" s="3">
        <v>0.93391203880310103</v>
      </c>
      <c r="T477" s="3">
        <v>0.71750897169113204</v>
      </c>
      <c r="U477" s="3">
        <v>0.70884519815445002</v>
      </c>
      <c r="W477" t="s">
        <v>50</v>
      </c>
      <c r="X477" t="s">
        <v>51</v>
      </c>
      <c r="Y477" t="s">
        <v>52</v>
      </c>
      <c r="Z477" t="s">
        <v>53</v>
      </c>
      <c r="AA477" t="s">
        <v>53</v>
      </c>
      <c r="AC477" s="2">
        <v>0.57567948141048797</v>
      </c>
      <c r="AD477" s="2">
        <v>0.25244200229644798</v>
      </c>
      <c r="AE477" s="2">
        <v>0.45576283335685702</v>
      </c>
      <c r="AF477" s="2">
        <v>9.2775963246822399E-2</v>
      </c>
      <c r="AG477" s="2">
        <v>0.529091656208038</v>
      </c>
      <c r="AH477" s="2">
        <v>-0.355822414159775</v>
      </c>
      <c r="AI477" s="2">
        <v>2.57499758154154E-2</v>
      </c>
      <c r="AJ477" s="2">
        <v>0.92515380291785498</v>
      </c>
      <c r="AK477" s="2">
        <v>0.55359429313128194</v>
      </c>
      <c r="AL477" s="2">
        <v>0.95774316024245099</v>
      </c>
      <c r="AM477" s="2">
        <v>0.57847529649734497</v>
      </c>
      <c r="AN477" s="2">
        <v>0.53449386358261097</v>
      </c>
      <c r="AO477" s="2">
        <v>0.46434593200683599</v>
      </c>
      <c r="AP477" s="2">
        <v>1.0943638086319001</v>
      </c>
    </row>
    <row r="478" spans="1:42" x14ac:dyDescent="0.3">
      <c r="A478" t="s">
        <v>196</v>
      </c>
      <c r="B478" s="3">
        <v>2017</v>
      </c>
      <c r="C478" s="3">
        <v>4.8102609999999997</v>
      </c>
      <c r="D478" s="3">
        <v>1745.29</v>
      </c>
      <c r="E478" t="s">
        <v>74</v>
      </c>
      <c r="G478" s="3">
        <v>152203.28125</v>
      </c>
      <c r="H478" s="3">
        <v>355105.53125</v>
      </c>
      <c r="I478" s="3">
        <v>463214.9375</v>
      </c>
      <c r="J478" s="3">
        <v>467546.09375</v>
      </c>
      <c r="K478" s="3">
        <v>1723828.25</v>
      </c>
      <c r="L478" s="3">
        <v>2.6499999687075601E-2</v>
      </c>
      <c r="M478" s="3">
        <v>1.0324895381927499</v>
      </c>
      <c r="N478" s="3">
        <v>0.75518459081649802</v>
      </c>
      <c r="O478" s="3">
        <v>146941.765625</v>
      </c>
      <c r="P478" s="3">
        <v>339112.6875</v>
      </c>
      <c r="Q478" s="3">
        <v>0.90629458427429199</v>
      </c>
      <c r="R478" s="3">
        <v>0.34081816673278797</v>
      </c>
      <c r="S478" s="3">
        <v>0.97649925947189298</v>
      </c>
      <c r="T478" s="3">
        <v>0.75242042541503895</v>
      </c>
      <c r="U478" s="3">
        <v>0.74545037746429399</v>
      </c>
      <c r="W478" t="s">
        <v>51</v>
      </c>
      <c r="X478" t="s">
        <v>51</v>
      </c>
      <c r="Y478" t="s">
        <v>52</v>
      </c>
      <c r="Z478" t="s">
        <v>53</v>
      </c>
      <c r="AA478" t="s">
        <v>53</v>
      </c>
      <c r="AC478" s="2">
        <v>0.607210521424279</v>
      </c>
      <c r="AD478" s="2">
        <v>0.23538237810134899</v>
      </c>
      <c r="AE478" s="2">
        <v>0.43397268652915999</v>
      </c>
      <c r="AF478" s="2">
        <v>9.0154051780700697E-2</v>
      </c>
      <c r="AG478" s="2">
        <v>0.49648442864418002</v>
      </c>
      <c r="AH478" s="2">
        <v>-0.34809431433677701</v>
      </c>
      <c r="AI478" s="2">
        <v>9.2100709676742595E-2</v>
      </c>
      <c r="AJ478" s="2">
        <v>0.97256787250060395</v>
      </c>
      <c r="AK478" s="2">
        <v>0.58433199516353496</v>
      </c>
      <c r="AL478" s="2">
        <v>0.98676375965821606</v>
      </c>
      <c r="AM478" s="2">
        <v>0.59480625391006503</v>
      </c>
      <c r="AN478" s="2">
        <v>0.545795917510986</v>
      </c>
      <c r="AO478" s="2">
        <v>0.488646060228348</v>
      </c>
      <c r="AP478" s="2">
        <v>1.0816729068756099</v>
      </c>
    </row>
    <row r="479" spans="1:42" x14ac:dyDescent="0.3">
      <c r="A479" t="s">
        <v>196</v>
      </c>
      <c r="B479" s="3">
        <v>2018</v>
      </c>
      <c r="C479" s="3">
        <v>4.8725560000000003</v>
      </c>
      <c r="D479" s="3">
        <v>1758.46</v>
      </c>
      <c r="E479" t="s">
        <v>74</v>
      </c>
      <c r="G479" s="3">
        <v>156069.8125</v>
      </c>
      <c r="H479" s="3">
        <v>334853.9375</v>
      </c>
      <c r="I479" s="3">
        <v>477651.78125</v>
      </c>
      <c r="J479" s="3">
        <v>489715.21875</v>
      </c>
      <c r="K479" s="3">
        <v>1818278</v>
      </c>
      <c r="L479" s="3">
        <v>2.71143168210983E-2</v>
      </c>
      <c r="M479" s="3">
        <v>1.0204602479934699</v>
      </c>
      <c r="N479" s="3">
        <v>0.67166644334793102</v>
      </c>
      <c r="O479" s="3">
        <v>154418.15625</v>
      </c>
      <c r="P479" s="3">
        <v>330065.1875</v>
      </c>
      <c r="Q479" s="3">
        <v>0.925478756427765</v>
      </c>
      <c r="R479" s="3">
        <v>0.33142882585525502</v>
      </c>
      <c r="S479" s="3">
        <v>1.06187236309052</v>
      </c>
      <c r="T479" s="3">
        <v>0.82792788743972801</v>
      </c>
      <c r="U479" s="3">
        <v>0.80753302574157704</v>
      </c>
      <c r="W479" t="s">
        <v>50</v>
      </c>
      <c r="X479" t="s">
        <v>51</v>
      </c>
      <c r="Y479" t="s">
        <v>52</v>
      </c>
      <c r="Z479" t="s">
        <v>53</v>
      </c>
      <c r="AA479" t="s">
        <v>53</v>
      </c>
      <c r="AC479" s="2">
        <v>0.63880776594938404</v>
      </c>
      <c r="AD479" s="2">
        <v>0.22942195832729301</v>
      </c>
      <c r="AE479" s="2">
        <v>0.36507773399353</v>
      </c>
      <c r="AF479" s="2">
        <v>8.9273080229759202E-2</v>
      </c>
      <c r="AG479" s="2">
        <v>0.556682229042053</v>
      </c>
      <c r="AH479" s="2">
        <v>-0.38747146725654602</v>
      </c>
      <c r="AI479" s="2">
        <v>0.147016450762749</v>
      </c>
      <c r="AJ479" s="2">
        <v>1.0608760896887199</v>
      </c>
      <c r="AK479" s="2">
        <v>0.623705698597672</v>
      </c>
      <c r="AL479" s="2">
        <v>1.0644328072996101</v>
      </c>
      <c r="AM479" s="2">
        <v>0.61264985799789395</v>
      </c>
      <c r="AN479" s="2">
        <v>0.56353425979614302</v>
      </c>
      <c r="AO479" s="2">
        <v>0.52540707588195801</v>
      </c>
      <c r="AP479" s="2">
        <v>1.15297150611877</v>
      </c>
    </row>
    <row r="480" spans="1:42" x14ac:dyDescent="0.3">
      <c r="A480" t="s">
        <v>196</v>
      </c>
      <c r="B480" s="3">
        <v>2019</v>
      </c>
      <c r="C480" s="3">
        <v>4.9334910000000001</v>
      </c>
      <c r="D480" s="3">
        <v>1760.02</v>
      </c>
      <c r="E480" t="s">
        <v>74</v>
      </c>
      <c r="G480" s="3">
        <v>166493</v>
      </c>
      <c r="H480" s="3">
        <v>526323.375</v>
      </c>
      <c r="I480" s="3">
        <v>556779.4375</v>
      </c>
      <c r="J480" s="3">
        <v>565250.6875</v>
      </c>
      <c r="K480" s="3">
        <v>2164057.5</v>
      </c>
      <c r="L480" s="3">
        <v>3.7395644932985299E-2</v>
      </c>
      <c r="M480" s="3">
        <v>0.94402551651000999</v>
      </c>
      <c r="N480" s="3">
        <v>0.84585511684417702</v>
      </c>
      <c r="O480" s="3">
        <v>160188.515625</v>
      </c>
      <c r="P480" s="3">
        <v>470392.71875</v>
      </c>
      <c r="Q480" s="3">
        <v>0.85117250680923495</v>
      </c>
      <c r="R480" s="3">
        <v>0.32926738262176503</v>
      </c>
      <c r="S480" s="3">
        <v>0.99808251857757602</v>
      </c>
      <c r="T480" s="3">
        <v>0.73121386766433705</v>
      </c>
      <c r="U480" s="3">
        <v>0.72025531530380305</v>
      </c>
      <c r="W480" t="s">
        <v>50</v>
      </c>
      <c r="X480" t="s">
        <v>54</v>
      </c>
      <c r="Y480" t="s">
        <v>52</v>
      </c>
      <c r="Z480" t="s">
        <v>53</v>
      </c>
      <c r="AA480" t="s">
        <v>53</v>
      </c>
      <c r="AC480" s="2">
        <v>0.66789048832218301</v>
      </c>
      <c r="AD480" s="2">
        <v>0.210245177149773</v>
      </c>
      <c r="AE480" s="2">
        <v>0.636585533618927</v>
      </c>
      <c r="AF480" s="2">
        <v>8.4302008152008098E-2</v>
      </c>
      <c r="AG480" s="2">
        <v>0.51798725128173795</v>
      </c>
      <c r="AH480" s="2">
        <v>-0.33367589116096502</v>
      </c>
      <c r="AI480" s="2">
        <v>-0.1154440715909</v>
      </c>
      <c r="AJ480" s="2">
        <v>0.99294721351270898</v>
      </c>
      <c r="AK480" s="2">
        <v>0.60773411149926904</v>
      </c>
      <c r="AL480" s="2">
        <v>1.0108897880554999</v>
      </c>
      <c r="AM480" s="2">
        <v>0.58315330743789695</v>
      </c>
      <c r="AN480" s="2">
        <v>0.53800284862518299</v>
      </c>
      <c r="AO480" s="2">
        <v>0.50634413957595803</v>
      </c>
      <c r="AP480" s="2">
        <v>0.83056259155273404</v>
      </c>
    </row>
    <row r="481" spans="1:42" x14ac:dyDescent="0.3">
      <c r="A481" t="s">
        <v>196</v>
      </c>
      <c r="B481" s="3">
        <v>2020</v>
      </c>
      <c r="C481" s="3">
        <v>4.9826059999999996</v>
      </c>
      <c r="D481" s="3">
        <v>1635.62</v>
      </c>
      <c r="E481" t="s">
        <v>74</v>
      </c>
      <c r="G481" s="3">
        <v>154758.609375</v>
      </c>
      <c r="H481" s="3">
        <v>456266.46875</v>
      </c>
      <c r="I481" s="3">
        <v>571696.8125</v>
      </c>
      <c r="J481" s="3">
        <v>595618.9375</v>
      </c>
      <c r="K481" s="3">
        <v>2349105</v>
      </c>
      <c r="L481" s="3">
        <v>3.8924254477024099E-2</v>
      </c>
      <c r="M481" s="3">
        <v>0.97000253200530995</v>
      </c>
      <c r="N481" s="3">
        <v>0.71283060312271096</v>
      </c>
      <c r="O481" s="3">
        <v>153336.9375</v>
      </c>
      <c r="P481" s="3">
        <v>422190.1875</v>
      </c>
      <c r="Q481" s="3">
        <v>0.88451105356216397</v>
      </c>
      <c r="R481" s="3">
        <v>0.30254963040351901</v>
      </c>
      <c r="S481" s="3">
        <v>1.05349516868591</v>
      </c>
      <c r="T481" s="3">
        <v>0.76361376047134399</v>
      </c>
      <c r="U481" s="3">
        <v>0.73294436931610096</v>
      </c>
      <c r="W481" t="s">
        <v>50</v>
      </c>
      <c r="X481" t="s">
        <v>54</v>
      </c>
      <c r="Y481" t="s">
        <v>52</v>
      </c>
      <c r="Z481" t="s">
        <v>53</v>
      </c>
      <c r="AA481" t="s">
        <v>53</v>
      </c>
      <c r="AC481" s="2">
        <v>0.69298358430757401</v>
      </c>
      <c r="AD481" s="2">
        <v>0.172756507992744</v>
      </c>
      <c r="AE481" s="2">
        <v>0.50620931386947599</v>
      </c>
      <c r="AF481" s="2">
        <v>8.7071716785430894E-2</v>
      </c>
      <c r="AG481" s="2">
        <v>0.55743277072906505</v>
      </c>
      <c r="AH481" s="2">
        <v>-0.31231024861335799</v>
      </c>
      <c r="AI481" s="2">
        <v>-1.11601417884231E-2</v>
      </c>
      <c r="AJ481" s="2">
        <v>1.0487819974461099</v>
      </c>
      <c r="AK481" s="2">
        <v>0.61482278665507395</v>
      </c>
      <c r="AL481" s="2">
        <v>1.0628463433547199</v>
      </c>
      <c r="AM481" s="2">
        <v>0.586925268173218</v>
      </c>
      <c r="AN481" s="2">
        <v>0.54754561185836803</v>
      </c>
      <c r="AO481" s="2">
        <v>0.50694185495376598</v>
      </c>
      <c r="AP481" s="2">
        <v>0.92887544631957997</v>
      </c>
    </row>
    <row r="482" spans="1:42" x14ac:dyDescent="0.3">
      <c r="A482" t="s">
        <v>197</v>
      </c>
      <c r="B482" s="3">
        <v>2015</v>
      </c>
      <c r="C482" s="3">
        <v>82.619361999999995</v>
      </c>
      <c r="D482" s="3">
        <v>2347.41</v>
      </c>
      <c r="E482" t="s">
        <v>198</v>
      </c>
      <c r="G482" s="3">
        <v>976727.8125</v>
      </c>
      <c r="H482" s="3">
        <v>1312427.375</v>
      </c>
      <c r="I482" s="3">
        <v>1299782.75</v>
      </c>
      <c r="J482" s="3">
        <v>1289350.375</v>
      </c>
      <c r="K482" s="3">
        <v>8398127</v>
      </c>
      <c r="L482" s="3">
        <v>3.9900757372379303E-2</v>
      </c>
      <c r="M482" s="3">
        <v>0.82803612947464</v>
      </c>
      <c r="N482" s="3">
        <v>0.81314182281494096</v>
      </c>
      <c r="O482" s="3">
        <v>928868.25</v>
      </c>
      <c r="P482" s="3">
        <v>1109397.625</v>
      </c>
      <c r="Q482" s="3">
        <v>0.92670905590057395</v>
      </c>
      <c r="R482" s="3">
        <v>0.422887533903122</v>
      </c>
      <c r="S482" s="3">
        <v>0.29469320178031899</v>
      </c>
      <c r="T482" s="3">
        <v>0.32098454236984297</v>
      </c>
      <c r="U482" s="3">
        <v>0.32358172535896301</v>
      </c>
      <c r="W482" t="s">
        <v>50</v>
      </c>
      <c r="X482" t="s">
        <v>51</v>
      </c>
      <c r="Y482" t="s">
        <v>52</v>
      </c>
      <c r="Z482" t="s">
        <v>53</v>
      </c>
      <c r="AA482" t="s">
        <v>53</v>
      </c>
      <c r="AC482" s="2">
        <v>0.52691650894762798</v>
      </c>
      <c r="AD482" s="2">
        <v>0.51128107309341397</v>
      </c>
      <c r="AE482" s="2">
        <v>0.26036331057548501</v>
      </c>
      <c r="AF482" s="2">
        <v>0.24625375866890001</v>
      </c>
      <c r="AG482" s="2">
        <v>9.3852132558822604E-2</v>
      </c>
      <c r="AH482" s="2">
        <v>-5.4076243191957502E-2</v>
      </c>
      <c r="AI482" s="2">
        <v>-5.7674042880535098E-2</v>
      </c>
      <c r="AJ482" s="2">
        <v>0.33809679679148602</v>
      </c>
      <c r="AK482" s="2">
        <v>0.39748006985974299</v>
      </c>
      <c r="AL482" s="2">
        <v>0.204577033593076</v>
      </c>
      <c r="AM482" s="2">
        <v>0.49616968631744401</v>
      </c>
      <c r="AN482" s="2">
        <v>0.574229896068573</v>
      </c>
      <c r="AO482" s="2">
        <v>0.22278122603893299</v>
      </c>
      <c r="AP482" s="2">
        <v>0.80622500181198098</v>
      </c>
    </row>
    <row r="483" spans="1:42" x14ac:dyDescent="0.3">
      <c r="A483" t="s">
        <v>197</v>
      </c>
      <c r="B483" s="3">
        <v>2016</v>
      </c>
      <c r="C483" s="3">
        <v>83.812228000000005</v>
      </c>
      <c r="D483" s="3">
        <v>2254.4299999999998</v>
      </c>
      <c r="E483" t="s">
        <v>198</v>
      </c>
      <c r="G483" s="3">
        <v>1036429.875</v>
      </c>
      <c r="H483" s="3">
        <v>1364686.25</v>
      </c>
      <c r="I483" s="3">
        <v>1422612</v>
      </c>
      <c r="J483" s="3">
        <v>1401668.125</v>
      </c>
      <c r="K483" s="3">
        <v>8590431</v>
      </c>
      <c r="L483" s="3">
        <v>3.89502197504044E-2</v>
      </c>
      <c r="M483" s="3">
        <v>0.90081822872161899</v>
      </c>
      <c r="N483" s="3">
        <v>0.84794253110885598</v>
      </c>
      <c r="O483" s="3">
        <v>973370.8125</v>
      </c>
      <c r="P483" s="3">
        <v>1251522.375</v>
      </c>
      <c r="Q483" s="3">
        <v>1.0018728971481301</v>
      </c>
      <c r="R483" s="3">
        <v>0.40212500095367398</v>
      </c>
      <c r="S483" s="3">
        <v>0.30048549175262501</v>
      </c>
      <c r="T483" s="3">
        <v>0.32762491703033497</v>
      </c>
      <c r="U483" s="3">
        <v>0.33252030611038202</v>
      </c>
      <c r="W483" t="s">
        <v>50</v>
      </c>
      <c r="X483" t="s">
        <v>51</v>
      </c>
      <c r="Y483" t="s">
        <v>52</v>
      </c>
      <c r="Z483" t="s">
        <v>53</v>
      </c>
      <c r="AA483" t="s">
        <v>53</v>
      </c>
      <c r="AC483" s="2">
        <v>0.44533514705324601</v>
      </c>
      <c r="AD483" s="2">
        <v>0.48526394367218001</v>
      </c>
      <c r="AE483" s="2">
        <v>0.234189808368683</v>
      </c>
      <c r="AF483" s="2">
        <v>0.25416210293769798</v>
      </c>
      <c r="AG483" s="2">
        <v>0.126752734184265</v>
      </c>
      <c r="AH483" s="2">
        <v>-5.4307762533426299E-2</v>
      </c>
      <c r="AI483" s="2">
        <v>-4.6060841530561503E-2</v>
      </c>
      <c r="AJ483" s="2">
        <v>0.34973294918369502</v>
      </c>
      <c r="AK483" s="2">
        <v>0.41331431036003502</v>
      </c>
      <c r="AL483" s="2">
        <v>0.20645885622444299</v>
      </c>
      <c r="AM483" s="2">
        <v>0.46800476312637301</v>
      </c>
      <c r="AN483" s="2">
        <v>0.56097346544265803</v>
      </c>
      <c r="AO483" s="2">
        <v>0.21774330735206601</v>
      </c>
      <c r="AP483" s="2">
        <v>0.92603439092636097</v>
      </c>
    </row>
    <row r="484" spans="1:42" x14ac:dyDescent="0.3">
      <c r="A484" t="s">
        <v>197</v>
      </c>
      <c r="B484" s="3">
        <v>2017</v>
      </c>
      <c r="C484" s="3">
        <v>85.026753999999997</v>
      </c>
      <c r="D484" s="3">
        <v>2319.3200000000002</v>
      </c>
      <c r="E484" t="s">
        <v>198</v>
      </c>
      <c r="G484" s="3">
        <v>1033920.5625</v>
      </c>
      <c r="H484" s="3">
        <v>1407653.75</v>
      </c>
      <c r="I484" s="3">
        <v>1454563.625</v>
      </c>
      <c r="J484" s="3">
        <v>1432804.625</v>
      </c>
      <c r="K484" s="3">
        <v>9048772</v>
      </c>
      <c r="L484" s="3">
        <v>3.9131425321102101E-2</v>
      </c>
      <c r="M484" s="3">
        <v>0.86841392517089799</v>
      </c>
      <c r="N484" s="3">
        <v>0.82161784172058105</v>
      </c>
      <c r="O484" s="3">
        <v>982850.1875</v>
      </c>
      <c r="P484" s="3">
        <v>1285761.625</v>
      </c>
      <c r="Q484" s="3">
        <v>0.98793423175811801</v>
      </c>
      <c r="R484" s="3">
        <v>0.39986246824264499</v>
      </c>
      <c r="S484" s="3">
        <v>0.31656488776206998</v>
      </c>
      <c r="T484" s="3">
        <v>0.34629631042480502</v>
      </c>
      <c r="U484" s="3">
        <v>0.35155525803566001</v>
      </c>
      <c r="W484" t="s">
        <v>51</v>
      </c>
      <c r="X484" t="s">
        <v>51</v>
      </c>
      <c r="Y484" t="s">
        <v>52</v>
      </c>
      <c r="Z484" t="s">
        <v>53</v>
      </c>
      <c r="AA484" t="s">
        <v>53</v>
      </c>
      <c r="AC484" s="2">
        <v>0.45314725440416997</v>
      </c>
      <c r="AD484" s="2">
        <v>0.47384390234947199</v>
      </c>
      <c r="AE484" s="2">
        <v>0.26084026694297802</v>
      </c>
      <c r="AF484" s="2">
        <v>0.24776218831539201</v>
      </c>
      <c r="AG484" s="2">
        <v>0.15416060388088201</v>
      </c>
      <c r="AH484" s="2">
        <v>-6.1192531138658503E-2</v>
      </c>
      <c r="AI484" s="2">
        <v>-7.5414396822452601E-2</v>
      </c>
      <c r="AJ484" s="2">
        <v>0.36291960453884597</v>
      </c>
      <c r="AK484" s="2">
        <v>0.42854734023369701</v>
      </c>
      <c r="AL484" s="2">
        <v>0.227911713908483</v>
      </c>
      <c r="AM484" s="2">
        <v>0.47918793559074402</v>
      </c>
      <c r="AN484" s="2">
        <v>0.58866417407989502</v>
      </c>
      <c r="AO484" s="2">
        <v>0.228275045752525</v>
      </c>
      <c r="AP484" s="2">
        <v>0.96382713317871105</v>
      </c>
    </row>
    <row r="485" spans="1:42" x14ac:dyDescent="0.3">
      <c r="A485" t="s">
        <v>197</v>
      </c>
      <c r="B485" s="3">
        <v>2018</v>
      </c>
      <c r="C485" s="3">
        <v>86.117998</v>
      </c>
      <c r="D485" s="3">
        <v>2246.5500000000002</v>
      </c>
      <c r="E485" t="s">
        <v>198</v>
      </c>
      <c r="G485" s="3">
        <v>991739.125</v>
      </c>
      <c r="H485" s="3">
        <v>1289800.625</v>
      </c>
      <c r="I485" s="3">
        <v>1329972.625</v>
      </c>
      <c r="J485" s="3">
        <v>1263014</v>
      </c>
      <c r="K485" s="3">
        <v>8262228.5</v>
      </c>
      <c r="L485" s="3">
        <v>3.4337464720010799E-2</v>
      </c>
      <c r="M485" s="3">
        <v>0.809612035751343</v>
      </c>
      <c r="N485" s="3">
        <v>0.79586076736450195</v>
      </c>
      <c r="O485" s="3">
        <v>964673.875</v>
      </c>
      <c r="P485" s="3">
        <v>1249625.75</v>
      </c>
      <c r="Q485" s="3">
        <v>0.96979379653930697</v>
      </c>
      <c r="R485" s="3">
        <v>0.38453748822212203</v>
      </c>
      <c r="S485" s="3">
        <v>0.20379930734634399</v>
      </c>
      <c r="T485" s="3">
        <v>0.23830795288085899</v>
      </c>
      <c r="U485" s="3">
        <v>0.250941842794418</v>
      </c>
      <c r="W485" t="s">
        <v>67</v>
      </c>
      <c r="X485" t="s">
        <v>51</v>
      </c>
      <c r="Y485" t="s">
        <v>199</v>
      </c>
      <c r="Z485" t="s">
        <v>53</v>
      </c>
      <c r="AA485" t="s">
        <v>53</v>
      </c>
      <c r="AC485" s="2">
        <v>0.44467535752950099</v>
      </c>
      <c r="AD485" s="2">
        <v>0.51709997653961204</v>
      </c>
      <c r="AE485" s="2">
        <v>0.23599226772785201</v>
      </c>
      <c r="AF485" s="2">
        <v>0.268116295337677</v>
      </c>
      <c r="AG485" s="2">
        <v>8.5636690258979797E-2</v>
      </c>
      <c r="AH485" s="2">
        <v>-3.2407324761152302E-2</v>
      </c>
      <c r="AI485" s="2">
        <v>-7.4437879025936099E-2</v>
      </c>
      <c r="AJ485" s="2">
        <v>0.233050273066122</v>
      </c>
      <c r="AK485" s="2">
        <v>0.35312846482267601</v>
      </c>
      <c r="AL485" s="2">
        <v>0.14738469234474999</v>
      </c>
      <c r="AM485" s="2">
        <v>0.53495317697525002</v>
      </c>
      <c r="AN485" s="2">
        <v>0.60332995653152499</v>
      </c>
      <c r="AO485" s="2">
        <v>0.19275069236755399</v>
      </c>
      <c r="AP485" s="2">
        <v>0.67170768976211603</v>
      </c>
    </row>
    <row r="486" spans="1:42" x14ac:dyDescent="0.3">
      <c r="A486" t="s">
        <v>197</v>
      </c>
      <c r="B486" s="3">
        <v>2019</v>
      </c>
      <c r="C486" s="3">
        <v>87.051648</v>
      </c>
      <c r="D486" s="3">
        <v>2320.12</v>
      </c>
      <c r="E486" t="s">
        <v>198</v>
      </c>
      <c r="G486" s="3">
        <v>1021446.875</v>
      </c>
      <c r="H486" s="3">
        <v>1372750.625</v>
      </c>
      <c r="I486" s="3">
        <v>1350120.375</v>
      </c>
      <c r="J486" s="3">
        <v>1326975</v>
      </c>
      <c r="K486" s="3">
        <v>9252743</v>
      </c>
      <c r="L486" s="3">
        <v>3.6242540925741203E-2</v>
      </c>
      <c r="M486" s="3">
        <v>0.78039658069610596</v>
      </c>
      <c r="N486" s="3">
        <v>0.77686351537704501</v>
      </c>
      <c r="O486" s="3">
        <v>917010.4375</v>
      </c>
      <c r="P486" s="3">
        <v>1172889</v>
      </c>
      <c r="Q486" s="3">
        <v>0.91707843542098999</v>
      </c>
      <c r="R486" s="3">
        <v>0.41295495629310602</v>
      </c>
      <c r="S486" s="3">
        <v>0.19681574404239699</v>
      </c>
      <c r="T486" s="3">
        <v>0.231298848986626</v>
      </c>
      <c r="U486" s="3">
        <v>0.23533320426940901</v>
      </c>
      <c r="W486" t="s">
        <v>67</v>
      </c>
      <c r="X486" t="s">
        <v>54</v>
      </c>
      <c r="Y486" t="s">
        <v>199</v>
      </c>
      <c r="Z486" t="s">
        <v>53</v>
      </c>
      <c r="AA486" t="s">
        <v>53</v>
      </c>
      <c r="AC486" s="2">
        <v>0.43086471320554398</v>
      </c>
      <c r="AD486" s="2">
        <v>0.49102959036827099</v>
      </c>
      <c r="AE486" s="2">
        <v>0.26474031805992099</v>
      </c>
      <c r="AF486" s="2">
        <v>0.27872633934021002</v>
      </c>
      <c r="AG486" s="2">
        <v>6.3822492957115201E-2</v>
      </c>
      <c r="AH486" s="2">
        <v>-2.1187704056501399E-2</v>
      </c>
      <c r="AI486" s="2">
        <v>-7.7131018042564406E-2</v>
      </c>
      <c r="AJ486" s="2">
        <v>0.23520671747560601</v>
      </c>
      <c r="AK486" s="2">
        <v>0.33156156086473898</v>
      </c>
      <c r="AL486" s="2">
        <v>0.12918272982155801</v>
      </c>
      <c r="AM486" s="2">
        <v>0.50803381204605103</v>
      </c>
      <c r="AN486" s="2">
        <v>0.85979503393173196</v>
      </c>
      <c r="AO486" s="2">
        <v>0.18626452982425701</v>
      </c>
      <c r="AP486" s="2">
        <v>0.57532745599746704</v>
      </c>
    </row>
    <row r="487" spans="1:42" x14ac:dyDescent="0.3">
      <c r="A487" t="s">
        <v>197</v>
      </c>
      <c r="B487" s="3">
        <v>2020</v>
      </c>
      <c r="C487" s="3">
        <v>87.723443000000003</v>
      </c>
      <c r="D487" s="3">
        <v>2205.8000000000002</v>
      </c>
      <c r="E487" t="s">
        <v>198</v>
      </c>
      <c r="G487" s="3">
        <v>1277011.5</v>
      </c>
      <c r="H487" s="3">
        <v>1699828</v>
      </c>
      <c r="I487" s="3">
        <v>1651120.125</v>
      </c>
      <c r="J487" s="3">
        <v>1628977.625</v>
      </c>
      <c r="K487" s="3">
        <v>11568703</v>
      </c>
      <c r="L487" s="3">
        <v>4.0693707764148698E-2</v>
      </c>
      <c r="M487" s="3">
        <v>0.91873741149902299</v>
      </c>
      <c r="N487" s="3">
        <v>0.91969645023346003</v>
      </c>
      <c r="O487" s="3">
        <v>918749.5625</v>
      </c>
      <c r="P487" s="3">
        <v>1259989.125</v>
      </c>
      <c r="Q487" s="3">
        <v>0.97954970598220803</v>
      </c>
      <c r="R487" s="3">
        <v>0.39282485842704801</v>
      </c>
      <c r="S487" s="3">
        <v>0.15542033314704901</v>
      </c>
      <c r="T487" s="3">
        <v>0.198028549551964</v>
      </c>
      <c r="U487" s="3">
        <v>0.200720310211182</v>
      </c>
      <c r="W487" t="s">
        <v>67</v>
      </c>
      <c r="X487" t="s">
        <v>54</v>
      </c>
      <c r="Y487" t="s">
        <v>199</v>
      </c>
      <c r="Z487" t="s">
        <v>53</v>
      </c>
      <c r="AA487" t="s">
        <v>53</v>
      </c>
      <c r="AC487" s="2">
        <v>0.41711029811338801</v>
      </c>
      <c r="AD487" s="2">
        <v>0.51154524087905895</v>
      </c>
      <c r="AE487" s="2">
        <v>0.25955942273139998</v>
      </c>
      <c r="AF487" s="2">
        <v>0.27238908410072299</v>
      </c>
      <c r="AG487" s="2">
        <v>4.2719926685094799E-2</v>
      </c>
      <c r="AH487" s="2">
        <v>-1.19709437713027E-2</v>
      </c>
      <c r="AI487" s="2">
        <v>-7.4242725968360901E-2</v>
      </c>
      <c r="AJ487" s="2">
        <v>0.18155196500426701</v>
      </c>
      <c r="AK487" s="2">
        <v>0.32671597125924301</v>
      </c>
      <c r="AL487" s="2">
        <v>0.106345266099137</v>
      </c>
      <c r="AM487" s="2">
        <v>0.53545945882797197</v>
      </c>
      <c r="AN487" s="2">
        <v>1.1606431007385301</v>
      </c>
      <c r="AO487" s="2">
        <v>0.18587593734264399</v>
      </c>
      <c r="AP487" s="2">
        <v>0.57931947708129905</v>
      </c>
    </row>
    <row r="488" spans="1:42" x14ac:dyDescent="0.3">
      <c r="A488" t="s">
        <v>200</v>
      </c>
      <c r="B488" s="3">
        <v>2015</v>
      </c>
      <c r="C488" s="3">
        <v>37.560535000000002</v>
      </c>
      <c r="D488" s="3">
        <v>1740.61</v>
      </c>
      <c r="E488" t="s">
        <v>201</v>
      </c>
      <c r="G488" s="3">
        <v>316293.875</v>
      </c>
      <c r="H488" s="3">
        <v>401387.53125</v>
      </c>
      <c r="I488" s="3">
        <v>398999.3125</v>
      </c>
      <c r="J488" s="3">
        <v>411158.21875</v>
      </c>
      <c r="K488" s="3">
        <v>941981.375</v>
      </c>
      <c r="L488" s="3">
        <v>2.5521481409668902E-2</v>
      </c>
      <c r="M488" s="3">
        <v>0.59239655733108498</v>
      </c>
      <c r="N488" s="3">
        <v>0.55793029069900502</v>
      </c>
      <c r="O488" s="3">
        <v>422457.78125</v>
      </c>
      <c r="P488" s="3">
        <v>538145.375</v>
      </c>
      <c r="Q488" s="3">
        <v>1.0348048210144001</v>
      </c>
      <c r="R488" s="3">
        <v>0.296306312084198</v>
      </c>
      <c r="S488" s="3">
        <v>0.41639944911003102</v>
      </c>
      <c r="T488" s="3">
        <v>0.41798093914985701</v>
      </c>
      <c r="U488" s="3">
        <v>0.405620276927948</v>
      </c>
      <c r="W488" t="s">
        <v>50</v>
      </c>
      <c r="X488" t="s">
        <v>51</v>
      </c>
      <c r="Y488" t="s">
        <v>52</v>
      </c>
      <c r="Z488" t="s">
        <v>53</v>
      </c>
      <c r="AA488" t="s">
        <v>53</v>
      </c>
      <c r="AC488" s="2">
        <v>0.40997266465619198</v>
      </c>
      <c r="AD488" s="2">
        <v>0.57590776681900002</v>
      </c>
      <c r="AE488" s="2">
        <v>0.20696085691452001</v>
      </c>
      <c r="AF488" s="2">
        <v>0.193367600440979</v>
      </c>
      <c r="AG488" s="2">
        <v>0.26867103576660201</v>
      </c>
      <c r="AH488" s="2">
        <v>-0.180085510015488</v>
      </c>
      <c r="AI488" s="2">
        <v>-6.4821764826774597E-2</v>
      </c>
      <c r="AJ488" s="2">
        <v>0.41656064729387499</v>
      </c>
      <c r="AK488" s="2">
        <v>0.42385932319236802</v>
      </c>
      <c r="AL488" s="2">
        <v>0.41591937229138398</v>
      </c>
      <c r="AM488" s="2">
        <v>0.447218537330627</v>
      </c>
      <c r="AN488" s="2">
        <v>0.53468775749206499</v>
      </c>
      <c r="AO488" s="2">
        <v>0.30596590042114302</v>
      </c>
      <c r="AP488" s="2">
        <v>0.61436772346496604</v>
      </c>
    </row>
    <row r="489" spans="1:42" x14ac:dyDescent="0.3">
      <c r="A489" t="s">
        <v>200</v>
      </c>
      <c r="B489" s="3">
        <v>2016</v>
      </c>
      <c r="C489" s="3">
        <v>38.469627000000003</v>
      </c>
      <c r="D489" s="3">
        <v>1719.03</v>
      </c>
      <c r="E489" t="s">
        <v>201</v>
      </c>
      <c r="G489" s="3">
        <v>312803.03125</v>
      </c>
      <c r="H489" s="3">
        <v>380202.15625</v>
      </c>
      <c r="I489" s="3">
        <v>386853.59375</v>
      </c>
      <c r="J489" s="3">
        <v>395572.96875</v>
      </c>
      <c r="K489" s="3">
        <v>854984.25</v>
      </c>
      <c r="L489" s="3">
        <v>2.1538287401199299E-2</v>
      </c>
      <c r="M489" s="3">
        <v>0.61552381515502896</v>
      </c>
      <c r="N489" s="3">
        <v>0.57197207212448098</v>
      </c>
      <c r="O489" s="3">
        <v>483362.0625</v>
      </c>
      <c r="P489" s="3">
        <v>598232.8125</v>
      </c>
      <c r="Q489" s="3">
        <v>1.1365218162536601</v>
      </c>
      <c r="R489" s="3">
        <v>0.296306312084198</v>
      </c>
      <c r="S489" s="3">
        <v>0.422938972711563</v>
      </c>
      <c r="T489" s="3">
        <v>0.43066033720970198</v>
      </c>
      <c r="U489" s="3">
        <v>0.421167552471161</v>
      </c>
      <c r="W489" t="s">
        <v>50</v>
      </c>
      <c r="X489" t="s">
        <v>51</v>
      </c>
      <c r="Y489" t="s">
        <v>52</v>
      </c>
      <c r="Z489" t="s">
        <v>53</v>
      </c>
      <c r="AA489" t="s">
        <v>53</v>
      </c>
      <c r="AC489" s="2">
        <v>0.46351528950423199</v>
      </c>
      <c r="AD489" s="2">
        <v>0.60553431510925304</v>
      </c>
      <c r="AE489" s="2">
        <v>0.17038357257843001</v>
      </c>
      <c r="AF489" s="2">
        <v>0.185225024819374</v>
      </c>
      <c r="AG489" s="2">
        <v>0.2469592243433</v>
      </c>
      <c r="AH489" s="2">
        <v>-0.15949086844921101</v>
      </c>
      <c r="AI489" s="2">
        <v>-4.8611305654048899E-2</v>
      </c>
      <c r="AJ489" s="2">
        <v>0.41728977033735798</v>
      </c>
      <c r="AK489" s="2">
        <v>0.46649551249348398</v>
      </c>
      <c r="AL489" s="2">
        <v>0.44140718587689298</v>
      </c>
      <c r="AM489" s="2">
        <v>0.44808927178382901</v>
      </c>
      <c r="AN489" s="2">
        <v>0.52006024122238204</v>
      </c>
      <c r="AO489" s="2">
        <v>0.30950459837913502</v>
      </c>
      <c r="AP489" s="2">
        <v>0.70455878973007202</v>
      </c>
    </row>
    <row r="490" spans="1:42" x14ac:dyDescent="0.3">
      <c r="A490" t="s">
        <v>200</v>
      </c>
      <c r="B490" s="3">
        <v>2017</v>
      </c>
      <c r="C490" s="3">
        <v>39.337353</v>
      </c>
      <c r="D490" s="3">
        <v>1683.24</v>
      </c>
      <c r="E490" t="s">
        <v>201</v>
      </c>
      <c r="G490" s="3">
        <v>337912.96875</v>
      </c>
      <c r="H490" s="3">
        <v>425273.40625</v>
      </c>
      <c r="I490" s="3">
        <v>465267.03125</v>
      </c>
      <c r="J490" s="3">
        <v>468589.9375</v>
      </c>
      <c r="K490" s="3">
        <v>1151538.875</v>
      </c>
      <c r="L490" s="3">
        <v>2.6903495192527799E-2</v>
      </c>
      <c r="M490" s="3">
        <v>0.63775467872619596</v>
      </c>
      <c r="N490" s="3">
        <v>0.55739486217498802</v>
      </c>
      <c r="O490" s="3">
        <v>432346.96875</v>
      </c>
      <c r="P490" s="3">
        <v>546251.25</v>
      </c>
      <c r="Q490" s="3">
        <v>1.1016258001327499</v>
      </c>
      <c r="R490" s="3">
        <v>0.296306312084198</v>
      </c>
      <c r="S490" s="3">
        <v>0.40081569552421598</v>
      </c>
      <c r="T490" s="3">
        <v>0.40238752961158802</v>
      </c>
      <c r="U490" s="3">
        <v>0.39953410625457803</v>
      </c>
      <c r="W490" t="s">
        <v>51</v>
      </c>
      <c r="X490" t="s">
        <v>51</v>
      </c>
      <c r="Y490" t="s">
        <v>52</v>
      </c>
      <c r="Z490" t="s">
        <v>53</v>
      </c>
      <c r="AA490" t="s">
        <v>53</v>
      </c>
      <c r="AC490" s="2">
        <v>0.57066042368174497</v>
      </c>
      <c r="AD490" s="2">
        <v>0.55350816249847401</v>
      </c>
      <c r="AE490" s="2">
        <v>0.186432600021362</v>
      </c>
      <c r="AF490" s="2">
        <v>0.167619124054909</v>
      </c>
      <c r="AG490" s="2">
        <v>0.275313019752502</v>
      </c>
      <c r="AH490" s="2">
        <v>-0.14274750649928999</v>
      </c>
      <c r="AI490" s="2">
        <v>-4.0125399827957202E-2</v>
      </c>
      <c r="AJ490" s="2">
        <v>0.39653859943479303</v>
      </c>
      <c r="AK490" s="2">
        <v>0.408467410721847</v>
      </c>
      <c r="AL490" s="2">
        <v>0.41493945303011498</v>
      </c>
      <c r="AM490" s="2">
        <v>0.46530678868293801</v>
      </c>
      <c r="AN490" s="2">
        <v>0.54452955722808805</v>
      </c>
      <c r="AO490" s="2">
        <v>0.27407199144363398</v>
      </c>
      <c r="AP490" s="2">
        <v>0.61096340417861905</v>
      </c>
    </row>
    <row r="491" spans="1:42" x14ac:dyDescent="0.3">
      <c r="A491" t="s">
        <v>200</v>
      </c>
      <c r="B491" s="3">
        <v>2018</v>
      </c>
      <c r="C491" s="3">
        <v>40.265624000000003</v>
      </c>
      <c r="D491" s="3">
        <v>1656.06</v>
      </c>
      <c r="E491" t="s">
        <v>201</v>
      </c>
      <c r="G491" s="3">
        <v>357896.90625</v>
      </c>
      <c r="H491" s="3">
        <v>444814.15625</v>
      </c>
      <c r="I491" s="3">
        <v>536104.3125</v>
      </c>
      <c r="J491" s="3">
        <v>542282.3125</v>
      </c>
      <c r="K491" s="3">
        <v>1161243.625</v>
      </c>
      <c r="L491" s="3">
        <v>2.5810686871409399E-2</v>
      </c>
      <c r="M491" s="3">
        <v>0.73934727907180797</v>
      </c>
      <c r="N491" s="3">
        <v>0.58377736806869496</v>
      </c>
      <c r="O491" s="3">
        <v>392696.1875</v>
      </c>
      <c r="P491" s="3">
        <v>508916.625</v>
      </c>
      <c r="Q491" s="3">
        <v>1.0999611616134599</v>
      </c>
      <c r="R491" s="3">
        <v>0.296306312084198</v>
      </c>
      <c r="S491" s="3">
        <v>0.40673047304153398</v>
      </c>
      <c r="T491" s="3">
        <v>0.42411050200462302</v>
      </c>
      <c r="U491" s="3">
        <v>0.41927877068519598</v>
      </c>
      <c r="W491" t="s">
        <v>50</v>
      </c>
      <c r="X491" t="s">
        <v>51</v>
      </c>
      <c r="Y491" t="s">
        <v>52</v>
      </c>
      <c r="Z491" t="s">
        <v>53</v>
      </c>
      <c r="AA491" t="s">
        <v>53</v>
      </c>
      <c r="AC491" s="2">
        <v>0.56004819547707196</v>
      </c>
      <c r="AD491" s="2">
        <v>0.49010986089706399</v>
      </c>
      <c r="AE491" s="2">
        <v>0.160280421376228</v>
      </c>
      <c r="AF491" s="2">
        <v>0.16987279057502699</v>
      </c>
      <c r="AG491" s="2">
        <v>0.34250968694686901</v>
      </c>
      <c r="AH491" s="2">
        <v>-0.133530378341675</v>
      </c>
      <c r="AI491" s="2">
        <v>-2.92423889040947E-2</v>
      </c>
      <c r="AJ491" s="2">
        <v>0.40132864220853198</v>
      </c>
      <c r="AK491" s="2">
        <v>0.49567596714232098</v>
      </c>
      <c r="AL491" s="2">
        <v>0.42231556524497499</v>
      </c>
      <c r="AM491" s="2">
        <v>0.47656229138374301</v>
      </c>
      <c r="AN491" s="2">
        <v>0.59589374065399203</v>
      </c>
      <c r="AO491" s="2">
        <v>0.33442065119743303</v>
      </c>
      <c r="AP491" s="2">
        <v>0.73295640945434604</v>
      </c>
    </row>
    <row r="492" spans="1:42" x14ac:dyDescent="0.3">
      <c r="A492" t="s">
        <v>200</v>
      </c>
      <c r="B492" s="3">
        <v>2019</v>
      </c>
      <c r="C492" s="3">
        <v>41.192171000000002</v>
      </c>
      <c r="D492" s="3">
        <v>1633.6</v>
      </c>
      <c r="E492" t="s">
        <v>201</v>
      </c>
      <c r="G492" s="3">
        <v>391105.40625</v>
      </c>
      <c r="H492" s="3">
        <v>506417.53125</v>
      </c>
      <c r="I492" s="3">
        <v>548788.875</v>
      </c>
      <c r="J492" s="3">
        <v>562611.125</v>
      </c>
      <c r="K492" s="3">
        <v>1198175</v>
      </c>
      <c r="L492" s="3">
        <v>2.5255082175135599E-2</v>
      </c>
      <c r="M492" s="3">
        <v>0.76042628288268999</v>
      </c>
      <c r="N492" s="3">
        <v>0.65865474939346302</v>
      </c>
      <c r="O492" s="3">
        <v>441422.34375</v>
      </c>
      <c r="P492" s="3">
        <v>602590.875</v>
      </c>
      <c r="Q492" s="3">
        <v>1.1067464351654099</v>
      </c>
      <c r="R492" s="3">
        <v>0.296306312084198</v>
      </c>
      <c r="S492" s="3">
        <v>0.40381106734275801</v>
      </c>
      <c r="T492" s="3">
        <v>0.42573037743568398</v>
      </c>
      <c r="U492" s="3">
        <v>0.41527101397514299</v>
      </c>
      <c r="W492" t="s">
        <v>50</v>
      </c>
      <c r="X492" t="s">
        <v>54</v>
      </c>
      <c r="Y492" t="s">
        <v>52</v>
      </c>
      <c r="Z492" t="s">
        <v>53</v>
      </c>
      <c r="AA492" t="s">
        <v>53</v>
      </c>
      <c r="AC492" s="2">
        <v>0.54298372223083702</v>
      </c>
      <c r="AD492" s="2">
        <v>0.48265433311462402</v>
      </c>
      <c r="AE492" s="2">
        <v>0.204958841204643</v>
      </c>
      <c r="AF492" s="2">
        <v>0.21250684559345201</v>
      </c>
      <c r="AG492" s="2">
        <v>0.32347622513771102</v>
      </c>
      <c r="AH492" s="2">
        <v>-0.171677216887474</v>
      </c>
      <c r="AI492" s="2">
        <v>-5.1919050514698001E-2</v>
      </c>
      <c r="AJ492" s="2">
        <v>0.40123428561143698</v>
      </c>
      <c r="AK492" s="2">
        <v>0.50007431289328996</v>
      </c>
      <c r="AL492" s="2">
        <v>0.409663605469613</v>
      </c>
      <c r="AM492" s="2">
        <v>0.46947285532951399</v>
      </c>
      <c r="AN492" s="2">
        <v>0.57223808765411399</v>
      </c>
      <c r="AO492" s="2">
        <v>0.33790192008018499</v>
      </c>
      <c r="AP492" s="2">
        <v>0.74044215679168701</v>
      </c>
    </row>
    <row r="493" spans="1:42" x14ac:dyDescent="0.3">
      <c r="A493" t="s">
        <v>200</v>
      </c>
      <c r="B493" s="3">
        <v>2020</v>
      </c>
      <c r="C493" s="3">
        <v>42.116605</v>
      </c>
      <c r="D493" s="3">
        <v>1581.58</v>
      </c>
      <c r="E493" t="s">
        <v>201</v>
      </c>
      <c r="G493" s="3">
        <v>400365.15625</v>
      </c>
      <c r="H493" s="3">
        <v>508220.03125</v>
      </c>
      <c r="I493" s="3">
        <v>496660</v>
      </c>
      <c r="J493" s="3">
        <v>503987.5625</v>
      </c>
      <c r="K493" s="3">
        <v>1580680.25</v>
      </c>
      <c r="L493" s="3">
        <v>3.0561704188585299E-2</v>
      </c>
      <c r="M493" s="3">
        <v>0.61437034606933605</v>
      </c>
      <c r="N493" s="3">
        <v>0.59432721138000499</v>
      </c>
      <c r="O493" s="3">
        <v>467721</v>
      </c>
      <c r="P493" s="3">
        <v>582532.5</v>
      </c>
      <c r="Q493" s="3">
        <v>0.996101975440979</v>
      </c>
      <c r="R493" s="3">
        <v>0.296306312084198</v>
      </c>
      <c r="S493" s="3">
        <v>0.371275544166565</v>
      </c>
      <c r="T493" s="3">
        <v>0.36428159475326499</v>
      </c>
      <c r="U493" s="3">
        <v>0.358985245227814</v>
      </c>
      <c r="W493" t="s">
        <v>50</v>
      </c>
      <c r="X493" t="s">
        <v>54</v>
      </c>
      <c r="Y493" t="s">
        <v>52</v>
      </c>
      <c r="Z493" t="s">
        <v>53</v>
      </c>
      <c r="AA493" t="s">
        <v>53</v>
      </c>
      <c r="AC493" s="2">
        <v>0.50851621277639503</v>
      </c>
      <c r="AD493" s="2">
        <v>0.542397201061249</v>
      </c>
      <c r="AE493" s="2">
        <v>0.214003056287766</v>
      </c>
      <c r="AF493" s="2">
        <v>0.25199773907661399</v>
      </c>
      <c r="AG493" s="2">
        <v>0.20246934890747101</v>
      </c>
      <c r="AH493" s="2">
        <v>-0.15214106440544101</v>
      </c>
      <c r="AI493" s="2">
        <v>-5.8726295828819303E-2</v>
      </c>
      <c r="AJ493" s="2">
        <v>0.38989121305038099</v>
      </c>
      <c r="AK493" s="2">
        <v>0.338319512955298</v>
      </c>
      <c r="AL493" s="2">
        <v>0.33120733410661102</v>
      </c>
      <c r="AM493" s="2">
        <v>0.44985556602478</v>
      </c>
      <c r="AN493" s="2">
        <v>0.51501989364624001</v>
      </c>
      <c r="AO493" s="2">
        <v>0.22491759061813399</v>
      </c>
      <c r="AP493" s="2">
        <v>0.49468350410461398</v>
      </c>
    </row>
    <row r="494" spans="1:42" x14ac:dyDescent="0.3">
      <c r="A494" t="s">
        <v>202</v>
      </c>
      <c r="B494" s="3">
        <v>2015</v>
      </c>
      <c r="C494" s="3">
        <v>0.33095200000000002</v>
      </c>
      <c r="D494" s="3">
        <v>1511.4</v>
      </c>
      <c r="E494" t="s">
        <v>203</v>
      </c>
      <c r="G494" s="3">
        <v>12678.4970703125</v>
      </c>
      <c r="H494" s="3">
        <v>16707.271484375</v>
      </c>
      <c r="I494" s="3">
        <v>18059.03125</v>
      </c>
      <c r="J494" s="3">
        <v>16599.380859375</v>
      </c>
      <c r="K494" s="3">
        <v>86695.8984375</v>
      </c>
      <c r="L494" s="3">
        <v>9.9099357612431093E-4</v>
      </c>
      <c r="M494" s="3">
        <v>0.89662182331085205</v>
      </c>
      <c r="N494" s="3">
        <v>0.87063336372375499</v>
      </c>
      <c r="O494" s="3">
        <v>13349.0517578125</v>
      </c>
      <c r="P494" s="3">
        <v>18707.78515625</v>
      </c>
      <c r="Q494" s="3">
        <v>0.96486765146255504</v>
      </c>
      <c r="R494" s="3">
        <v>0.617417812347412</v>
      </c>
      <c r="S494" s="3">
        <v>1.01013791561127</v>
      </c>
      <c r="T494" s="3">
        <v>0.96999716758728005</v>
      </c>
      <c r="U494" s="3">
        <v>1.05529308319092</v>
      </c>
      <c r="W494" t="s">
        <v>50</v>
      </c>
      <c r="X494" t="s">
        <v>51</v>
      </c>
      <c r="Y494" t="s">
        <v>52</v>
      </c>
      <c r="Z494" t="s">
        <v>53</v>
      </c>
      <c r="AA494" t="s">
        <v>53</v>
      </c>
      <c r="AC494" s="2">
        <v>0.74456963596099301</v>
      </c>
      <c r="AD494" s="2">
        <v>0.525892853736877</v>
      </c>
      <c r="AE494" s="2">
        <v>0.242706254124641</v>
      </c>
      <c r="AF494" s="2">
        <v>0.237900525331497</v>
      </c>
      <c r="AG494" s="2">
        <v>0.49511969089508101</v>
      </c>
      <c r="AH494" s="2">
        <v>-0.60863363742828402</v>
      </c>
      <c r="AI494" s="2">
        <v>0.10701435059309</v>
      </c>
      <c r="AJ494" s="2">
        <v>0.99698913580767201</v>
      </c>
      <c r="AK494" s="2">
        <v>0.84367473137502802</v>
      </c>
      <c r="AL494" s="2">
        <v>1.03920423332497</v>
      </c>
      <c r="AM494" s="2">
        <v>0.57454293966293302</v>
      </c>
      <c r="AN494" s="2">
        <v>0.523151874542236</v>
      </c>
      <c r="AO494" s="2">
        <v>0.80177581310272195</v>
      </c>
      <c r="AP494" s="2">
        <v>0.90352636575698897</v>
      </c>
    </row>
    <row r="495" spans="1:42" x14ac:dyDescent="0.3">
      <c r="A495" t="s">
        <v>202</v>
      </c>
      <c r="B495" s="3">
        <v>2016</v>
      </c>
      <c r="C495" s="3">
        <v>0.33557399999999998</v>
      </c>
      <c r="D495" s="3">
        <v>1519.99</v>
      </c>
      <c r="E495" t="s">
        <v>203</v>
      </c>
      <c r="G495" s="3">
        <v>12943.0546875</v>
      </c>
      <c r="H495" s="3">
        <v>17885.05859375</v>
      </c>
      <c r="I495" s="3">
        <v>19156.072265625</v>
      </c>
      <c r="J495" s="3">
        <v>16991.947265625</v>
      </c>
      <c r="K495" s="3">
        <v>92267.484375</v>
      </c>
      <c r="L495" s="3">
        <v>1.04930601082742E-3</v>
      </c>
      <c r="M495" s="3">
        <v>0.86091017723083496</v>
      </c>
      <c r="N495" s="3">
        <v>0.87608605623245195</v>
      </c>
      <c r="O495" s="3">
        <v>13993.1015625</v>
      </c>
      <c r="P495" s="3">
        <v>20132.87109375</v>
      </c>
      <c r="Q495" s="3">
        <v>0.97855234146118197</v>
      </c>
      <c r="R495" s="3">
        <v>0.617417812347412</v>
      </c>
      <c r="S495" s="3">
        <v>1.1612036228179901</v>
      </c>
      <c r="T495" s="3">
        <v>1.08546090126038</v>
      </c>
      <c r="U495" s="3">
        <v>1.2237071990966799</v>
      </c>
      <c r="W495" t="s">
        <v>50</v>
      </c>
      <c r="X495" t="s">
        <v>51</v>
      </c>
      <c r="Y495" t="s">
        <v>52</v>
      </c>
      <c r="Z495" t="s">
        <v>53</v>
      </c>
      <c r="AA495" t="s">
        <v>53</v>
      </c>
      <c r="AC495" s="2">
        <v>0.71765103875457403</v>
      </c>
      <c r="AD495" s="2">
        <v>0.51765596866607699</v>
      </c>
      <c r="AE495" s="2">
        <v>0.29084381461143499</v>
      </c>
      <c r="AF495" s="2">
        <v>0.24406100809574099</v>
      </c>
      <c r="AG495" s="2">
        <v>0.45789802074432401</v>
      </c>
      <c r="AH495" s="2">
        <v>-0.63709408044815097</v>
      </c>
      <c r="AI495" s="2">
        <v>0.12663522362709001</v>
      </c>
      <c r="AJ495" s="2">
        <v>1.1647437778504599</v>
      </c>
      <c r="AK495" s="2">
        <v>0.88709147952528999</v>
      </c>
      <c r="AL495" s="2">
        <v>1.15369494575204</v>
      </c>
      <c r="AM495" s="2">
        <v>0.57190215587616</v>
      </c>
      <c r="AN495" s="2">
        <v>0.52683538198471103</v>
      </c>
      <c r="AO495" s="2">
        <v>0.866571664810181</v>
      </c>
      <c r="AP495" s="2">
        <v>0.98131060600280795</v>
      </c>
    </row>
    <row r="496" spans="1:42" x14ac:dyDescent="0.3">
      <c r="A496" t="s">
        <v>202</v>
      </c>
      <c r="B496" s="3">
        <v>2017</v>
      </c>
      <c r="C496" s="3">
        <v>0.34353099999999998</v>
      </c>
      <c r="D496" s="3">
        <v>1507.08</v>
      </c>
      <c r="E496" t="s">
        <v>203</v>
      </c>
      <c r="G496" s="3">
        <v>13988.759765625</v>
      </c>
      <c r="H496" s="3">
        <v>19545.275390625</v>
      </c>
      <c r="I496" s="3">
        <v>20463.158203125</v>
      </c>
      <c r="J496" s="3">
        <v>17561.93359375</v>
      </c>
      <c r="K496" s="3">
        <v>96070.5859375</v>
      </c>
      <c r="L496" s="3">
        <v>1.09591707587242E-3</v>
      </c>
      <c r="M496" s="3">
        <v>0.84020596742630005</v>
      </c>
      <c r="N496" s="3">
        <v>0.90051245689392101</v>
      </c>
      <c r="O496" s="3">
        <v>14880.126953125</v>
      </c>
      <c r="P496" s="3">
        <v>21555.0390625</v>
      </c>
      <c r="Q496" s="3">
        <v>0.983256995677948</v>
      </c>
      <c r="R496" s="3">
        <v>0.617417812347412</v>
      </c>
      <c r="S496" s="3">
        <v>1.3041045665741</v>
      </c>
      <c r="T496" s="3">
        <v>1.20842957496643</v>
      </c>
      <c r="U496" s="3">
        <v>1.4080616235732999</v>
      </c>
      <c r="W496" t="s">
        <v>51</v>
      </c>
      <c r="X496" t="s">
        <v>51</v>
      </c>
      <c r="Y496" t="s">
        <v>52</v>
      </c>
      <c r="Z496" t="s">
        <v>53</v>
      </c>
      <c r="AA496" t="s">
        <v>53</v>
      </c>
      <c r="AC496" s="2">
        <v>0.72097188910990995</v>
      </c>
      <c r="AD496" s="2">
        <v>0.54077190160751298</v>
      </c>
      <c r="AE496" s="2">
        <v>0.31639549136161799</v>
      </c>
      <c r="AF496" s="2">
        <v>0.25576680898666398</v>
      </c>
      <c r="AG496" s="2">
        <v>0.48230472207069403</v>
      </c>
      <c r="AH496" s="2">
        <v>-0.72453820705413796</v>
      </c>
      <c r="AI496" s="2">
        <v>0.12929938733577701</v>
      </c>
      <c r="AJ496" s="2">
        <v>1.30439331898704</v>
      </c>
      <c r="AK496" s="2">
        <v>0.96756396424098101</v>
      </c>
      <c r="AL496" s="2">
        <v>1.3034939697625201</v>
      </c>
      <c r="AM496" s="2">
        <v>0.57644498348236095</v>
      </c>
      <c r="AN496" s="2">
        <v>0.54783111810684204</v>
      </c>
      <c r="AO496" s="2">
        <v>0.97488433122634899</v>
      </c>
      <c r="AP496" s="2">
        <v>1.0770466327667201</v>
      </c>
    </row>
    <row r="497" spans="1:42" x14ac:dyDescent="0.3">
      <c r="A497" t="s">
        <v>202</v>
      </c>
      <c r="B497" s="3">
        <v>2018</v>
      </c>
      <c r="C497" s="3">
        <v>0.352854</v>
      </c>
      <c r="D497" s="3">
        <v>1496.46</v>
      </c>
      <c r="E497" t="s">
        <v>203</v>
      </c>
      <c r="G497" s="3">
        <v>14400.4853515625</v>
      </c>
      <c r="H497" s="3">
        <v>20783.98828125</v>
      </c>
      <c r="I497" s="3">
        <v>21528.1328125</v>
      </c>
      <c r="J497" s="3">
        <v>18625.423828125</v>
      </c>
      <c r="K497" s="3">
        <v>111524.171875</v>
      </c>
      <c r="L497" s="3">
        <v>1.2177313910797199E-3</v>
      </c>
      <c r="M497" s="3">
        <v>0.82307070493698098</v>
      </c>
      <c r="N497" s="3">
        <v>0.88410872220992998</v>
      </c>
      <c r="O497" s="3">
        <v>15596.306640625</v>
      </c>
      <c r="P497" s="3">
        <v>22531.40625</v>
      </c>
      <c r="Q497" s="3">
        <v>1.0009459257125899</v>
      </c>
      <c r="R497" s="3">
        <v>0.617417812347412</v>
      </c>
      <c r="S497" s="3">
        <v>1.3573844432830799</v>
      </c>
      <c r="T497" s="3">
        <v>1.2198387384414699</v>
      </c>
      <c r="U497" s="3">
        <v>1.40994656085968</v>
      </c>
      <c r="W497" t="s">
        <v>50</v>
      </c>
      <c r="X497" t="s">
        <v>51</v>
      </c>
      <c r="Y497" t="s">
        <v>52</v>
      </c>
      <c r="Z497" t="s">
        <v>53</v>
      </c>
      <c r="AA497" t="s">
        <v>53</v>
      </c>
      <c r="AC497" s="2">
        <v>0.73844869453617801</v>
      </c>
      <c r="AD497" s="2">
        <v>0.52895760536193903</v>
      </c>
      <c r="AE497" s="2">
        <v>0.34273058176040699</v>
      </c>
      <c r="AF497" s="2">
        <v>0.244205176830292</v>
      </c>
      <c r="AG497" s="2">
        <v>0.50216197967529297</v>
      </c>
      <c r="AH497" s="2">
        <v>-0.73352360725402799</v>
      </c>
      <c r="AI497" s="2">
        <v>0.11546824872493699</v>
      </c>
      <c r="AJ497" s="2">
        <v>1.3404030807502201</v>
      </c>
      <c r="AK497" s="2">
        <v>0.90955082906359297</v>
      </c>
      <c r="AL497" s="2">
        <v>1.39416659362399</v>
      </c>
      <c r="AM497" s="2">
        <v>0.59462076425552401</v>
      </c>
      <c r="AN497" s="2">
        <v>0.56257706880569502</v>
      </c>
      <c r="AO497" s="2">
        <v>0.89255297183990501</v>
      </c>
      <c r="AP497" s="2">
        <v>0.97554600238800104</v>
      </c>
    </row>
    <row r="498" spans="1:42" x14ac:dyDescent="0.3">
      <c r="A498" t="s">
        <v>202</v>
      </c>
      <c r="B498" s="3">
        <v>2019</v>
      </c>
      <c r="C498" s="3">
        <v>0.36070000000000002</v>
      </c>
      <c r="D498" s="3">
        <v>1480.15</v>
      </c>
      <c r="E498" t="s">
        <v>203</v>
      </c>
      <c r="G498" s="3">
        <v>15546.091796875</v>
      </c>
      <c r="H498" s="3">
        <v>21879.21484375</v>
      </c>
      <c r="I498" s="3">
        <v>22925.478515625</v>
      </c>
      <c r="J498" s="3">
        <v>21034.923828125</v>
      </c>
      <c r="K498" s="3">
        <v>121956.7265625</v>
      </c>
      <c r="L498" s="3">
        <v>1.27102283295244E-3</v>
      </c>
      <c r="M498" s="3">
        <v>0.897191882133484</v>
      </c>
      <c r="N498" s="3">
        <v>0.89800083637237604</v>
      </c>
      <c r="O498" s="3">
        <v>15975.76171875</v>
      </c>
      <c r="P498" s="3">
        <v>22632.47265625</v>
      </c>
      <c r="Q498" s="3">
        <v>1.01408731937408</v>
      </c>
      <c r="R498" s="3">
        <v>0.617417812347412</v>
      </c>
      <c r="S498" s="3">
        <v>1.1869488954544101</v>
      </c>
      <c r="T498" s="3">
        <v>1.0765901803970299</v>
      </c>
      <c r="U498" s="3">
        <v>1.17335057258606</v>
      </c>
      <c r="W498" t="s">
        <v>50</v>
      </c>
      <c r="X498" t="s">
        <v>54</v>
      </c>
      <c r="Y498" t="s">
        <v>52</v>
      </c>
      <c r="Z498" t="s">
        <v>53</v>
      </c>
      <c r="AA498" t="s">
        <v>53</v>
      </c>
      <c r="AC498" s="2">
        <v>0.76854160917984404</v>
      </c>
      <c r="AD498" s="2">
        <v>0.49964249134063698</v>
      </c>
      <c r="AE498" s="2">
        <v>0.301076620817184</v>
      </c>
      <c r="AF498" s="2">
        <v>0.23941853642463701</v>
      </c>
      <c r="AG498" s="2">
        <v>0.44717067480087302</v>
      </c>
      <c r="AH498" s="2">
        <v>-0.58766907453536998</v>
      </c>
      <c r="AI498" s="2">
        <v>0.100360788404942</v>
      </c>
      <c r="AJ498" s="2">
        <v>1.1783054592889599</v>
      </c>
      <c r="AK498" s="2">
        <v>0.80568963356753198</v>
      </c>
      <c r="AL498" s="2">
        <v>1.2049867597478401</v>
      </c>
      <c r="AM498" s="2">
        <v>0.55584186315536499</v>
      </c>
      <c r="AN498" s="2">
        <v>0.53221404552459695</v>
      </c>
      <c r="AO498" s="2">
        <v>0.76478540897369396</v>
      </c>
      <c r="AP498" s="2">
        <v>0.84499961137771595</v>
      </c>
    </row>
    <row r="499" spans="1:42" x14ac:dyDescent="0.3">
      <c r="A499" t="s">
        <v>202</v>
      </c>
      <c r="B499" s="3">
        <v>2020</v>
      </c>
      <c r="C499" s="3">
        <v>0.366614</v>
      </c>
      <c r="D499" s="3">
        <v>1464.42</v>
      </c>
      <c r="E499" t="s">
        <v>203</v>
      </c>
      <c r="G499" s="3">
        <v>16039.8056640625</v>
      </c>
      <c r="H499" s="3">
        <v>21847.078125</v>
      </c>
      <c r="I499" s="3">
        <v>21554.841796875</v>
      </c>
      <c r="J499" s="3">
        <v>19888.34765625</v>
      </c>
      <c r="K499" s="3">
        <v>125854.4609375</v>
      </c>
      <c r="L499" s="3">
        <v>1.2247856939211501E-3</v>
      </c>
      <c r="M499" s="3">
        <v>0.86981004476547197</v>
      </c>
      <c r="N499" s="3">
        <v>0.91660571098327603</v>
      </c>
      <c r="O499" s="3">
        <v>15910.59765625</v>
      </c>
      <c r="P499" s="3">
        <v>22243.720703125</v>
      </c>
      <c r="Q499" s="3">
        <v>0.97097086906433105</v>
      </c>
      <c r="R499" s="3">
        <v>0.617417812347412</v>
      </c>
      <c r="S499" s="3">
        <v>1.0792101621627801</v>
      </c>
      <c r="T499" s="3">
        <v>1.00348472595215</v>
      </c>
      <c r="U499" s="3">
        <v>1.08756911754608</v>
      </c>
      <c r="W499" t="s">
        <v>50</v>
      </c>
      <c r="X499" t="s">
        <v>54</v>
      </c>
      <c r="Y499" t="s">
        <v>52</v>
      </c>
      <c r="Z499" t="s">
        <v>53</v>
      </c>
      <c r="AA499" t="s">
        <v>53</v>
      </c>
      <c r="AC499" s="2">
        <v>0.77974921916683204</v>
      </c>
      <c r="AD499" s="2">
        <v>0.53279060125350997</v>
      </c>
      <c r="AE499" s="2">
        <v>0.29199373722076399</v>
      </c>
      <c r="AF499" s="2">
        <v>0.27370199561119102</v>
      </c>
      <c r="AG499" s="2">
        <v>0.32705926895141602</v>
      </c>
      <c r="AH499" s="2">
        <v>-0.48659613728523299</v>
      </c>
      <c r="AI499" s="2">
        <v>6.1050564050674397E-2</v>
      </c>
      <c r="AJ499" s="2">
        <v>1.0606191591176199</v>
      </c>
      <c r="AK499" s="2">
        <v>0.79432958318193403</v>
      </c>
      <c r="AL499" s="2">
        <v>1.1153994393684501</v>
      </c>
      <c r="AM499" s="2">
        <v>0.53676480054855402</v>
      </c>
      <c r="AN499" s="2">
        <v>0.52753341197967496</v>
      </c>
      <c r="AO499" s="2">
        <v>0.72232347726821899</v>
      </c>
      <c r="AP499" s="2">
        <v>0.802315533161163</v>
      </c>
    </row>
    <row r="500" spans="1:42" x14ac:dyDescent="0.3">
      <c r="A500" t="s">
        <v>204</v>
      </c>
      <c r="B500" s="3">
        <v>2015</v>
      </c>
      <c r="C500" s="3">
        <v>8.0529080000000004</v>
      </c>
      <c r="D500" s="3">
        <v>1909.51</v>
      </c>
      <c r="E500" t="s">
        <v>205</v>
      </c>
      <c r="G500" s="3">
        <v>236482.40625</v>
      </c>
      <c r="H500" s="3">
        <v>326163.84375</v>
      </c>
      <c r="I500" s="3">
        <v>336701.3125</v>
      </c>
      <c r="J500" s="3">
        <v>326583.15625</v>
      </c>
      <c r="K500" s="3">
        <v>1319376.5</v>
      </c>
      <c r="L500" s="3">
        <v>1.6182422637939502E-2</v>
      </c>
      <c r="M500" s="3">
        <v>0.72930753231048595</v>
      </c>
      <c r="N500" s="3">
        <v>0.70269250869750999</v>
      </c>
      <c r="O500" s="3">
        <v>239818.203125</v>
      </c>
      <c r="P500" s="3">
        <v>314033.46875</v>
      </c>
      <c r="Q500" s="3">
        <v>0.95580869913101196</v>
      </c>
      <c r="R500" s="3">
        <v>0.518998682498932</v>
      </c>
      <c r="S500" s="3">
        <v>0.95956796407699596</v>
      </c>
      <c r="T500" s="3">
        <v>0.90130317211151101</v>
      </c>
      <c r="U500" s="3">
        <v>0.92922729253768899</v>
      </c>
      <c r="W500" t="s">
        <v>50</v>
      </c>
      <c r="X500" t="s">
        <v>51</v>
      </c>
      <c r="Y500" t="s">
        <v>52</v>
      </c>
      <c r="Z500" t="s">
        <v>53</v>
      </c>
      <c r="AA500" t="s">
        <v>53</v>
      </c>
      <c r="AC500" s="2">
        <v>0.805802906922096</v>
      </c>
      <c r="AD500" s="2">
        <v>0.50621473789215099</v>
      </c>
      <c r="AE500" s="2">
        <v>0.27460518479347201</v>
      </c>
      <c r="AF500" s="2">
        <v>0.21789607405662501</v>
      </c>
      <c r="AG500" s="2">
        <v>0.3287173807621</v>
      </c>
      <c r="AH500" s="2">
        <v>-0.352157533168793</v>
      </c>
      <c r="AI500" s="2">
        <v>2.4724151939153699E-2</v>
      </c>
      <c r="AJ500" s="2">
        <v>0.96994931289029596</v>
      </c>
      <c r="AK500" s="2">
        <v>0.74766380350483896</v>
      </c>
      <c r="AL500" s="2">
        <v>0.93545015792953001</v>
      </c>
      <c r="AM500" s="2">
        <v>0.59674048423767101</v>
      </c>
      <c r="AN500" s="2">
        <v>0.53967899084091198</v>
      </c>
      <c r="AO500" s="2">
        <v>0.62086689472198497</v>
      </c>
      <c r="AP500" s="2">
        <v>1.2051481008529701</v>
      </c>
    </row>
    <row r="501" spans="1:42" x14ac:dyDescent="0.3">
      <c r="A501" t="s">
        <v>204</v>
      </c>
      <c r="B501" s="3">
        <v>2016</v>
      </c>
      <c r="C501" s="3">
        <v>8.2100050000000007</v>
      </c>
      <c r="D501" s="3">
        <v>1936.31</v>
      </c>
      <c r="E501" t="s">
        <v>205</v>
      </c>
      <c r="G501" s="3">
        <v>257776.984375</v>
      </c>
      <c r="H501" s="3">
        <v>355108.6875</v>
      </c>
      <c r="I501" s="3">
        <v>361864.1875</v>
      </c>
      <c r="J501" s="3">
        <v>349106.875</v>
      </c>
      <c r="K501" s="3">
        <v>1370758.75</v>
      </c>
      <c r="L501" s="3">
        <v>1.6351761296391501E-2</v>
      </c>
      <c r="M501" s="3">
        <v>0.74736487865447998</v>
      </c>
      <c r="N501" s="3">
        <v>0.73498344421386697</v>
      </c>
      <c r="O501" s="3">
        <v>253483.734375</v>
      </c>
      <c r="P501" s="3">
        <v>335353.875</v>
      </c>
      <c r="Q501" s="3">
        <v>0.95128923654556297</v>
      </c>
      <c r="R501" s="3">
        <v>0.52646374702453602</v>
      </c>
      <c r="S501" s="3">
        <v>0.93754458427429199</v>
      </c>
      <c r="T501" s="3">
        <v>0.88967663049697898</v>
      </c>
      <c r="U501" s="3">
        <v>0.92218792438507102</v>
      </c>
      <c r="W501" t="s">
        <v>50</v>
      </c>
      <c r="X501" t="s">
        <v>51</v>
      </c>
      <c r="Y501" t="s">
        <v>52</v>
      </c>
      <c r="Z501" t="s">
        <v>53</v>
      </c>
      <c r="AA501" t="s">
        <v>53</v>
      </c>
      <c r="AC501" s="2">
        <v>0.80459069902699398</v>
      </c>
      <c r="AD501" s="2">
        <v>0.52282243967056297</v>
      </c>
      <c r="AE501" s="2">
        <v>0.27880200743675199</v>
      </c>
      <c r="AF501" s="2">
        <v>0.21556743979453999</v>
      </c>
      <c r="AG501" s="2">
        <v>0.29607415199279802</v>
      </c>
      <c r="AH501" s="2">
        <v>-0.34818640351295499</v>
      </c>
      <c r="AI501" s="2">
        <v>3.4920312464237199E-2</v>
      </c>
      <c r="AJ501" s="2">
        <v>0.93724204915797804</v>
      </c>
      <c r="AK501" s="2">
        <v>0.76290153373921099</v>
      </c>
      <c r="AL501" s="2">
        <v>0.93827827816742004</v>
      </c>
      <c r="AM501" s="2">
        <v>0.58600717782974199</v>
      </c>
      <c r="AN501" s="2">
        <v>0.54134416580200195</v>
      </c>
      <c r="AO501" s="2">
        <v>0.62805098295211803</v>
      </c>
      <c r="AP501" s="2">
        <v>1.2067847251892101</v>
      </c>
    </row>
    <row r="502" spans="1:42" x14ac:dyDescent="0.3">
      <c r="A502" t="s">
        <v>204</v>
      </c>
      <c r="B502" s="3">
        <v>2017</v>
      </c>
      <c r="C502" s="3">
        <v>8.3617969999999993</v>
      </c>
      <c r="D502" s="3">
        <v>1932.07</v>
      </c>
      <c r="E502" t="s">
        <v>205</v>
      </c>
      <c r="G502" s="3">
        <v>267580.6875</v>
      </c>
      <c r="H502" s="3">
        <v>367111.21875</v>
      </c>
      <c r="I502" s="3">
        <v>374309.09375</v>
      </c>
      <c r="J502" s="3">
        <v>356214.15625</v>
      </c>
      <c r="K502" s="3">
        <v>1346747.875</v>
      </c>
      <c r="L502" s="3">
        <v>1.5930987894535099E-2</v>
      </c>
      <c r="M502" s="3">
        <v>0.74693375825882002</v>
      </c>
      <c r="N502" s="3">
        <v>0.74131554365158103</v>
      </c>
      <c r="O502" s="3">
        <v>262642.03125</v>
      </c>
      <c r="P502" s="3">
        <v>349584.9375</v>
      </c>
      <c r="Q502" s="3">
        <v>0.95551019906997703</v>
      </c>
      <c r="R502" s="3">
        <v>0.53546828031539895</v>
      </c>
      <c r="S502" s="3">
        <v>1.00339531898499</v>
      </c>
      <c r="T502" s="3">
        <v>0.95765531063079801</v>
      </c>
      <c r="U502" s="3">
        <v>1.00630223751068</v>
      </c>
      <c r="W502" t="s">
        <v>51</v>
      </c>
      <c r="X502" t="s">
        <v>51</v>
      </c>
      <c r="Y502" t="s">
        <v>52</v>
      </c>
      <c r="Z502" t="s">
        <v>53</v>
      </c>
      <c r="AA502" t="s">
        <v>53</v>
      </c>
      <c r="AC502" s="2">
        <v>0.80622968209012202</v>
      </c>
      <c r="AD502" s="2">
        <v>0.52617639303207397</v>
      </c>
      <c r="AE502" s="2">
        <v>0.279412060976028</v>
      </c>
      <c r="AF502" s="2">
        <v>0.22500285506248499</v>
      </c>
      <c r="AG502" s="2">
        <v>0.28735029697418202</v>
      </c>
      <c r="AH502" s="2">
        <v>-0.35939383506774902</v>
      </c>
      <c r="AI502" s="2">
        <v>4.1452247649431201E-2</v>
      </c>
      <c r="AJ502" s="2">
        <v>1.0099912028988001</v>
      </c>
      <c r="AK502" s="2">
        <v>0.83468657469985197</v>
      </c>
      <c r="AL502" s="2">
        <v>0.98797058112958103</v>
      </c>
      <c r="AM502" s="2">
        <v>0.59741294384002697</v>
      </c>
      <c r="AN502" s="2">
        <v>0.53987926244735696</v>
      </c>
      <c r="AO502" s="2">
        <v>0.71078306436538696</v>
      </c>
      <c r="AP502" s="2">
        <v>1.3040844202041599</v>
      </c>
    </row>
    <row r="503" spans="1:42" x14ac:dyDescent="0.3">
      <c r="A503" t="s">
        <v>204</v>
      </c>
      <c r="B503" s="3">
        <v>2018</v>
      </c>
      <c r="C503" s="3">
        <v>8.5100669999999994</v>
      </c>
      <c r="D503" s="3">
        <v>1926.48</v>
      </c>
      <c r="E503" t="s">
        <v>205</v>
      </c>
      <c r="G503" s="3">
        <v>269820.21875</v>
      </c>
      <c r="H503" s="3">
        <v>370698.46875</v>
      </c>
      <c r="I503" s="3">
        <v>373886.75</v>
      </c>
      <c r="J503" s="3">
        <v>344090.875</v>
      </c>
      <c r="K503" s="3">
        <v>1314293.125</v>
      </c>
      <c r="L503" s="3">
        <v>1.5397975221276301E-2</v>
      </c>
      <c r="M503" s="3">
        <v>0.71060425043106101</v>
      </c>
      <c r="N503" s="3">
        <v>0.73692137002945002</v>
      </c>
      <c r="O503" s="3">
        <v>272282.1875</v>
      </c>
      <c r="P503" s="3">
        <v>365394.46875</v>
      </c>
      <c r="Q503" s="3">
        <v>0.95775616168975797</v>
      </c>
      <c r="R503" s="3">
        <v>0.54180872440338101</v>
      </c>
      <c r="S503" s="3">
        <v>1.04623687267303</v>
      </c>
      <c r="T503" s="3">
        <v>1.0064789056778001</v>
      </c>
      <c r="U503" s="3">
        <v>1.09363317489624</v>
      </c>
      <c r="W503" t="s">
        <v>50</v>
      </c>
      <c r="X503" t="s">
        <v>51</v>
      </c>
      <c r="Y503" t="s">
        <v>52</v>
      </c>
      <c r="Z503" t="s">
        <v>53</v>
      </c>
      <c r="AA503" t="s">
        <v>53</v>
      </c>
      <c r="AC503" s="2">
        <v>0.81085705078475501</v>
      </c>
      <c r="AD503" s="2">
        <v>0.54066163301467896</v>
      </c>
      <c r="AE503" s="2">
        <v>0.29317328333854697</v>
      </c>
      <c r="AF503" s="2">
        <v>0.24349233508109999</v>
      </c>
      <c r="AG503" s="2">
        <v>0.28931951522827198</v>
      </c>
      <c r="AH503" s="2">
        <v>-0.41417855024337802</v>
      </c>
      <c r="AI503" s="2">
        <v>4.7531735152006198E-2</v>
      </c>
      <c r="AJ503" s="2">
        <v>1.0644843612878101</v>
      </c>
      <c r="AK503" s="2">
        <v>0.90013803840213502</v>
      </c>
      <c r="AL503" s="2">
        <v>1.0057194184896101</v>
      </c>
      <c r="AM503" s="2">
        <v>0.62184870243072499</v>
      </c>
      <c r="AN503" s="2">
        <v>0.53737550973892201</v>
      </c>
      <c r="AO503" s="2">
        <v>0.77957850694656405</v>
      </c>
      <c r="AP503" s="2">
        <v>1.3240175247192401</v>
      </c>
    </row>
    <row r="504" spans="1:42" x14ac:dyDescent="0.3">
      <c r="A504" t="s">
        <v>204</v>
      </c>
      <c r="B504" s="3">
        <v>2019</v>
      </c>
      <c r="C504" s="3">
        <v>8.6574740000000006</v>
      </c>
      <c r="D504" s="3">
        <v>1907.12</v>
      </c>
      <c r="E504" t="s">
        <v>205</v>
      </c>
      <c r="G504" s="3">
        <v>278808.71875</v>
      </c>
      <c r="H504" s="3">
        <v>380087.15625</v>
      </c>
      <c r="I504" s="3">
        <v>387196.6875</v>
      </c>
      <c r="J504" s="3">
        <v>348039.3125</v>
      </c>
      <c r="K504" s="3">
        <v>1301774.875</v>
      </c>
      <c r="L504" s="3">
        <v>1.49000594392419E-2</v>
      </c>
      <c r="M504" s="3">
        <v>0.70987749099731501</v>
      </c>
      <c r="N504" s="3">
        <v>0.74599987268447898</v>
      </c>
      <c r="O504" s="3">
        <v>282252.1875</v>
      </c>
      <c r="P504" s="3">
        <v>380306.34375</v>
      </c>
      <c r="Q504" s="3">
        <v>0.96564459800720204</v>
      </c>
      <c r="R504" s="3">
        <v>0.53482401371002197</v>
      </c>
      <c r="S504" s="3">
        <v>1.0677006244659399</v>
      </c>
      <c r="T504" s="3">
        <v>1.03549587726593</v>
      </c>
      <c r="U504" s="3">
        <v>1.1519979238510101</v>
      </c>
      <c r="W504" t="s">
        <v>50</v>
      </c>
      <c r="X504" t="s">
        <v>54</v>
      </c>
      <c r="Y504" t="s">
        <v>52</v>
      </c>
      <c r="Z504" t="s">
        <v>53</v>
      </c>
      <c r="AA504" t="s">
        <v>53</v>
      </c>
      <c r="AC504" s="2">
        <v>0.83281431034897502</v>
      </c>
      <c r="AD504" s="2">
        <v>0.55494427680969205</v>
      </c>
      <c r="AE504" s="2">
        <v>0.29099714756012002</v>
      </c>
      <c r="AF504" s="2">
        <v>0.24613972008228299</v>
      </c>
      <c r="AG504" s="2">
        <v>0.27060741186142001</v>
      </c>
      <c r="AH504" s="2">
        <v>-0.42616921663284302</v>
      </c>
      <c r="AI504" s="2">
        <v>6.3480652868747697E-2</v>
      </c>
      <c r="AJ504" s="2">
        <v>1.0815768396169401</v>
      </c>
      <c r="AK504" s="2">
        <v>0.94683971228199704</v>
      </c>
      <c r="AL504" s="2">
        <v>1.0364155743651899</v>
      </c>
      <c r="AM504" s="2">
        <v>0.62101519107818604</v>
      </c>
      <c r="AN504" s="2">
        <v>0.516293704509735</v>
      </c>
      <c r="AO504" s="2">
        <v>0.83126437664032005</v>
      </c>
      <c r="AP504" s="2">
        <v>1.42372369766235</v>
      </c>
    </row>
    <row r="505" spans="1:42" x14ac:dyDescent="0.3">
      <c r="A505" t="s">
        <v>204</v>
      </c>
      <c r="B505" s="3">
        <v>2020</v>
      </c>
      <c r="C505" s="3">
        <v>8.800376</v>
      </c>
      <c r="D505" s="3">
        <v>1775.49</v>
      </c>
      <c r="E505" t="s">
        <v>205</v>
      </c>
      <c r="G505" s="3">
        <v>269780.71875</v>
      </c>
      <c r="H505" s="3">
        <v>366970.84375</v>
      </c>
      <c r="I505" s="3">
        <v>382537.59375</v>
      </c>
      <c r="J505" s="3">
        <v>347303.78125</v>
      </c>
      <c r="K505" s="3">
        <v>1284745</v>
      </c>
      <c r="L505" s="3">
        <v>1.407865062356E-2</v>
      </c>
      <c r="M505" s="3">
        <v>0.738076031208038</v>
      </c>
      <c r="N505" s="3">
        <v>0.74814707040786699</v>
      </c>
      <c r="O505" s="3">
        <v>269960.65625</v>
      </c>
      <c r="P505" s="3">
        <v>368966.375</v>
      </c>
      <c r="Q505" s="3">
        <v>0.970708549022675</v>
      </c>
      <c r="R505" s="3">
        <v>0.51269352436065696</v>
      </c>
      <c r="S505" s="3">
        <v>1.09611296653748</v>
      </c>
      <c r="T505" s="3">
        <v>1.08014523983002</v>
      </c>
      <c r="U505" s="3">
        <v>1.18972563743591</v>
      </c>
      <c r="W505" t="s">
        <v>50</v>
      </c>
      <c r="X505" t="s">
        <v>54</v>
      </c>
      <c r="Y505" t="s">
        <v>52</v>
      </c>
      <c r="Z505" t="s">
        <v>53</v>
      </c>
      <c r="AA505" t="s">
        <v>53</v>
      </c>
      <c r="AC505" s="2">
        <v>0.84168599155474</v>
      </c>
      <c r="AD505" s="2">
        <v>0.51036649942398105</v>
      </c>
      <c r="AE505" s="2">
        <v>0.27984187006950401</v>
      </c>
      <c r="AF505" s="2">
        <v>0.26641950011253401</v>
      </c>
      <c r="AG505" s="2">
        <v>0.26315322518348699</v>
      </c>
      <c r="AH505" s="2">
        <v>-0.38672265410423301</v>
      </c>
      <c r="AI505" s="2">
        <v>6.6941536962986006E-2</v>
      </c>
      <c r="AJ505" s="2">
        <v>1.12603735241859</v>
      </c>
      <c r="AK505" s="2">
        <v>1.03582218180186</v>
      </c>
      <c r="AL505" s="2">
        <v>1.03878831222148</v>
      </c>
      <c r="AM505" s="2">
        <v>0.62241196632385298</v>
      </c>
      <c r="AN505" s="2">
        <v>0.504283547401428</v>
      </c>
      <c r="AO505" s="2">
        <v>0.90910458564758301</v>
      </c>
      <c r="AP505" s="2">
        <v>1.69833147525787</v>
      </c>
    </row>
    <row r="506" spans="1:42" x14ac:dyDescent="0.3">
      <c r="A506" t="s">
        <v>206</v>
      </c>
      <c r="B506" s="3">
        <v>2015</v>
      </c>
      <c r="C506" s="3">
        <v>60.575316000000001</v>
      </c>
      <c r="D506" s="3">
        <v>1688.08</v>
      </c>
      <c r="E506" t="s">
        <v>74</v>
      </c>
      <c r="G506" s="3">
        <v>1852594.75</v>
      </c>
      <c r="H506" s="3">
        <v>2439391.5</v>
      </c>
      <c r="I506" s="3">
        <v>2511019</v>
      </c>
      <c r="J506" s="3">
        <v>2453912.75</v>
      </c>
      <c r="K506" s="3">
        <v>18234838</v>
      </c>
      <c r="L506" s="3">
        <v>0.19344936311245001</v>
      </c>
      <c r="M506" s="3">
        <v>0.753653764724731</v>
      </c>
      <c r="N506" s="3">
        <v>0.72278076410293601</v>
      </c>
      <c r="O506" s="3">
        <v>2016121.375</v>
      </c>
      <c r="P506" s="3">
        <v>2706628.75</v>
      </c>
      <c r="Q506" s="3">
        <v>1.02009105682373</v>
      </c>
      <c r="R506" s="3">
        <v>0.53630870580673196</v>
      </c>
      <c r="S506" s="3">
        <v>0.79557192325591997</v>
      </c>
      <c r="T506" s="3">
        <v>0.73493188619613703</v>
      </c>
      <c r="U506" s="3">
        <v>0.75203490257263195</v>
      </c>
      <c r="W506" t="s">
        <v>50</v>
      </c>
      <c r="X506" t="s">
        <v>51</v>
      </c>
      <c r="Y506" t="s">
        <v>52</v>
      </c>
      <c r="Z506" t="s">
        <v>53</v>
      </c>
      <c r="AA506" t="s">
        <v>53</v>
      </c>
      <c r="AC506" s="2">
        <v>0.81321984475687603</v>
      </c>
      <c r="AD506" s="2">
        <v>0.59025800228118896</v>
      </c>
      <c r="AE506" s="2">
        <v>0.23912695050239599</v>
      </c>
      <c r="AF506" s="2">
        <v>0.16469745337963099</v>
      </c>
      <c r="AG506" s="2">
        <v>0.30690136551857</v>
      </c>
      <c r="AH506" s="2">
        <v>-0.30455222725868197</v>
      </c>
      <c r="AI506" s="2">
        <v>3.5684811882674698E-3</v>
      </c>
      <c r="AJ506" s="2">
        <v>0.77328458463036998</v>
      </c>
      <c r="AK506" s="2">
        <v>0.54348346529132097</v>
      </c>
      <c r="AL506" s="2">
        <v>0.87544726304953102</v>
      </c>
      <c r="AM506" s="2">
        <v>0.606803119182587</v>
      </c>
      <c r="AN506" s="2">
        <v>0.549857437610626</v>
      </c>
      <c r="AO506" s="2">
        <v>0.424647897481918</v>
      </c>
      <c r="AP506" s="2">
        <v>0.59099084138870195</v>
      </c>
    </row>
    <row r="507" spans="1:42" x14ac:dyDescent="0.3">
      <c r="A507" t="s">
        <v>206</v>
      </c>
      <c r="B507" s="3">
        <v>2016</v>
      </c>
      <c r="C507" s="3">
        <v>60.478107000000001</v>
      </c>
      <c r="D507" s="3">
        <v>1692.14</v>
      </c>
      <c r="E507" t="s">
        <v>74</v>
      </c>
      <c r="G507" s="3">
        <v>1917005.5</v>
      </c>
      <c r="H507" s="3">
        <v>2556709.25</v>
      </c>
      <c r="I507" s="3">
        <v>2640283.5</v>
      </c>
      <c r="J507" s="3">
        <v>2596094.75</v>
      </c>
      <c r="K507" s="3">
        <v>19393668</v>
      </c>
      <c r="L507" s="3">
        <v>0.201343923807144</v>
      </c>
      <c r="M507" s="3">
        <v>0.76062256097793601</v>
      </c>
      <c r="N507" s="3">
        <v>0.72422224283218395</v>
      </c>
      <c r="O507" s="3">
        <v>2034158.125</v>
      </c>
      <c r="P507" s="3">
        <v>2750800.75</v>
      </c>
      <c r="Q507" s="3">
        <v>1.017045378685</v>
      </c>
      <c r="R507" s="3">
        <v>0.52749973535537698</v>
      </c>
      <c r="S507" s="3">
        <v>0.77888923883438099</v>
      </c>
      <c r="T507" s="3">
        <v>0.71473813056945801</v>
      </c>
      <c r="U507" s="3">
        <v>0.726903796195984</v>
      </c>
      <c r="W507" t="s">
        <v>50</v>
      </c>
      <c r="X507" t="s">
        <v>51</v>
      </c>
      <c r="Y507" t="s">
        <v>52</v>
      </c>
      <c r="Z507" t="s">
        <v>53</v>
      </c>
      <c r="AA507" t="s">
        <v>53</v>
      </c>
      <c r="AC507" s="2">
        <v>0.81785461683488603</v>
      </c>
      <c r="AD507" s="2">
        <v>0.57761257886886597</v>
      </c>
      <c r="AE507" s="2">
        <v>0.246409982442856</v>
      </c>
      <c r="AF507" s="2">
        <v>0.16080634295940399</v>
      </c>
      <c r="AG507" s="2">
        <v>0.29724740982055697</v>
      </c>
      <c r="AH507" s="2">
        <v>-0.28458636999130299</v>
      </c>
      <c r="AI507" s="2">
        <v>2.5100240018218799E-3</v>
      </c>
      <c r="AJ507" s="2">
        <v>0.75488421723884402</v>
      </c>
      <c r="AK507" s="2">
        <v>0.52249594013897005</v>
      </c>
      <c r="AL507" s="2">
        <v>0.86511466315171504</v>
      </c>
      <c r="AM507" s="2">
        <v>0.59826171398162797</v>
      </c>
      <c r="AN507" s="2">
        <v>0.55043822526931796</v>
      </c>
      <c r="AO507" s="2">
        <v>0.40137743949890098</v>
      </c>
      <c r="AP507" s="2">
        <v>0.57322394847869895</v>
      </c>
    </row>
    <row r="508" spans="1:42" x14ac:dyDescent="0.3">
      <c r="A508" t="s">
        <v>206</v>
      </c>
      <c r="B508" s="3">
        <v>2017</v>
      </c>
      <c r="C508" s="3">
        <v>60.390318000000001</v>
      </c>
      <c r="D508" s="3">
        <v>1690.7</v>
      </c>
      <c r="E508" t="s">
        <v>74</v>
      </c>
      <c r="G508" s="3">
        <v>1956236.25</v>
      </c>
      <c r="H508" s="3">
        <v>2629097.5</v>
      </c>
      <c r="I508" s="3">
        <v>2701963.25</v>
      </c>
      <c r="J508" s="3">
        <v>2663735.5</v>
      </c>
      <c r="K508" s="3">
        <v>19049328</v>
      </c>
      <c r="L508" s="3">
        <v>0.19855239987373399</v>
      </c>
      <c r="M508" s="3">
        <v>0.76662665605545</v>
      </c>
      <c r="N508" s="3">
        <v>0.72867459058761597</v>
      </c>
      <c r="O508" s="3">
        <v>2054348.625</v>
      </c>
      <c r="P508" s="3">
        <v>2794749.75</v>
      </c>
      <c r="Q508" s="3">
        <v>1.01994824409485</v>
      </c>
      <c r="R508" s="3">
        <v>0.53014105558395397</v>
      </c>
      <c r="S508" s="3">
        <v>0.79719740152358998</v>
      </c>
      <c r="T508" s="3">
        <v>0.72936624288559004</v>
      </c>
      <c r="U508" s="3">
        <v>0.73983359336853005</v>
      </c>
      <c r="W508" t="s">
        <v>51</v>
      </c>
      <c r="X508" t="s">
        <v>51</v>
      </c>
      <c r="Y508" t="s">
        <v>52</v>
      </c>
      <c r="Z508" t="s">
        <v>53</v>
      </c>
      <c r="AA508" t="s">
        <v>53</v>
      </c>
      <c r="AC508" s="2">
        <v>0.82092852397351002</v>
      </c>
      <c r="AD508" s="2">
        <v>0.57446789741516102</v>
      </c>
      <c r="AE508" s="2">
        <v>0.25260061025619501</v>
      </c>
      <c r="AF508" s="2">
        <v>0.15992791950702701</v>
      </c>
      <c r="AG508" s="2">
        <v>0.304215788841248</v>
      </c>
      <c r="AH508" s="2">
        <v>-0.29085642099380499</v>
      </c>
      <c r="AI508" s="2">
        <v>-3.5579819814302E-4</v>
      </c>
      <c r="AJ508" s="2">
        <v>0.77446706931144804</v>
      </c>
      <c r="AK508" s="2">
        <v>0.53215818698652695</v>
      </c>
      <c r="AL508" s="2">
        <v>0.87884573212556405</v>
      </c>
      <c r="AM508" s="2">
        <v>0.62618589401245095</v>
      </c>
      <c r="AN508" s="2">
        <v>0.58544617891311701</v>
      </c>
      <c r="AO508" s="2">
        <v>0.42280635237693798</v>
      </c>
      <c r="AP508" s="2">
        <v>0.58184987306594904</v>
      </c>
    </row>
    <row r="509" spans="1:42" x14ac:dyDescent="0.3">
      <c r="A509" t="s">
        <v>206</v>
      </c>
      <c r="B509" s="3">
        <v>2018</v>
      </c>
      <c r="C509" s="3">
        <v>60.277498999999999</v>
      </c>
      <c r="D509" s="3">
        <v>1690.24</v>
      </c>
      <c r="E509" t="s">
        <v>74</v>
      </c>
      <c r="G509" s="3">
        <v>1952889</v>
      </c>
      <c r="H509" s="3">
        <v>2646202.25</v>
      </c>
      <c r="I509" s="3">
        <v>2709940.5</v>
      </c>
      <c r="J509" s="3">
        <v>2671320.75</v>
      </c>
      <c r="K509" s="3">
        <v>18893060</v>
      </c>
      <c r="L509" s="3">
        <v>0.19402328133583099</v>
      </c>
      <c r="M509" s="3">
        <v>0.76049470901489302</v>
      </c>
      <c r="N509" s="3">
        <v>0.72516894340515103</v>
      </c>
      <c r="O509" s="3">
        <v>2062214.25</v>
      </c>
      <c r="P509" s="3">
        <v>2823374</v>
      </c>
      <c r="Q509" s="3">
        <v>1.0150014162063601</v>
      </c>
      <c r="R509" s="3">
        <v>0.53489744663238503</v>
      </c>
      <c r="S509" s="3">
        <v>0.84914356470107999</v>
      </c>
      <c r="T509" s="3">
        <v>0.77471631765365601</v>
      </c>
      <c r="U509" s="3">
        <v>0.78591662645339999</v>
      </c>
      <c r="W509" t="s">
        <v>50</v>
      </c>
      <c r="X509" t="s">
        <v>51</v>
      </c>
      <c r="Y509" t="s">
        <v>52</v>
      </c>
      <c r="Z509" t="s">
        <v>53</v>
      </c>
      <c r="AA509" t="s">
        <v>53</v>
      </c>
      <c r="AC509" s="2">
        <v>0.82386844234308299</v>
      </c>
      <c r="AD509" s="2">
        <v>0.57427555322647095</v>
      </c>
      <c r="AE509" s="2">
        <v>0.2595394551754</v>
      </c>
      <c r="AF509" s="2">
        <v>0.156781882047653</v>
      </c>
      <c r="AG509" s="2">
        <v>0.31648561358451799</v>
      </c>
      <c r="AH509" s="2">
        <v>-0.30853682756424</v>
      </c>
      <c r="AI509" s="2">
        <v>1.4543181750923399E-3</v>
      </c>
      <c r="AJ509" s="2">
        <v>0.82252025604928602</v>
      </c>
      <c r="AK509" s="2">
        <v>0.56507356142271703</v>
      </c>
      <c r="AL509" s="2">
        <v>0.94666198693307602</v>
      </c>
      <c r="AM509" s="2">
        <v>0.65044295787811302</v>
      </c>
      <c r="AN509" s="2">
        <v>0.61099302768707298</v>
      </c>
      <c r="AO509" s="2">
        <v>0.45248925685882602</v>
      </c>
      <c r="AP509" s="2">
        <v>0.59506320953369096</v>
      </c>
    </row>
    <row r="510" spans="1:42" x14ac:dyDescent="0.3">
      <c r="A510" t="s">
        <v>206</v>
      </c>
      <c r="B510" s="3">
        <v>2019</v>
      </c>
      <c r="C510" s="3">
        <v>60.130136</v>
      </c>
      <c r="D510" s="3">
        <v>1680.49</v>
      </c>
      <c r="E510" t="s">
        <v>74</v>
      </c>
      <c r="G510" s="3">
        <v>2058397.375</v>
      </c>
      <c r="H510" s="3">
        <v>2744361.75</v>
      </c>
      <c r="I510" s="3">
        <v>2835247.25</v>
      </c>
      <c r="J510" s="3">
        <v>2799146</v>
      </c>
      <c r="K510" s="3">
        <v>18839938</v>
      </c>
      <c r="L510" s="3">
        <v>0.18920794129371599</v>
      </c>
      <c r="M510" s="3">
        <v>0.79116553068161</v>
      </c>
      <c r="N510" s="3">
        <v>0.74642056226730402</v>
      </c>
      <c r="O510" s="3">
        <v>2059777.75</v>
      </c>
      <c r="P510" s="3">
        <v>2815600</v>
      </c>
      <c r="Q510" s="3">
        <v>1.0114431381225599</v>
      </c>
      <c r="R510" s="3">
        <v>0.53716617822647095</v>
      </c>
      <c r="S510" s="3">
        <v>0.769522905349731</v>
      </c>
      <c r="T510" s="3">
        <v>0.71232122182846103</v>
      </c>
      <c r="U510" s="3">
        <v>0.72150820493698098</v>
      </c>
      <c r="W510" t="s">
        <v>50</v>
      </c>
      <c r="X510" t="s">
        <v>54</v>
      </c>
      <c r="Y510" t="s">
        <v>52</v>
      </c>
      <c r="Z510" t="s">
        <v>53</v>
      </c>
      <c r="AA510" t="s">
        <v>53</v>
      </c>
      <c r="AC510" s="2">
        <v>0.83625432656322696</v>
      </c>
      <c r="AD510" s="2">
        <v>0.57989662885665905</v>
      </c>
      <c r="AE510" s="2">
        <v>0.24506200850009899</v>
      </c>
      <c r="AF510" s="2">
        <v>0.155469596385956</v>
      </c>
      <c r="AG510" s="2">
        <v>0.30996927618980402</v>
      </c>
      <c r="AH510" s="2">
        <v>-0.29317909479141202</v>
      </c>
      <c r="AI510" s="2">
        <v>2.7815592475235501E-3</v>
      </c>
      <c r="AJ510" s="2">
        <v>0.74332160464721597</v>
      </c>
      <c r="AK510" s="2">
        <v>0.54067422359208195</v>
      </c>
      <c r="AL510" s="2">
        <v>0.867252870670293</v>
      </c>
      <c r="AM510" s="2">
        <v>0.61393934488296498</v>
      </c>
      <c r="AN510" s="2">
        <v>0.57705646753311202</v>
      </c>
      <c r="AO510" s="2">
        <v>0.43536689877510099</v>
      </c>
      <c r="AP510" s="2">
        <v>0.56191283464431796</v>
      </c>
    </row>
    <row r="511" spans="1:42" x14ac:dyDescent="0.3">
      <c r="A511" t="s">
        <v>206</v>
      </c>
      <c r="B511" s="3">
        <v>2020</v>
      </c>
      <c r="C511" s="3">
        <v>59.912768999999997</v>
      </c>
      <c r="D511" s="3">
        <v>1513.93</v>
      </c>
      <c r="E511" t="s">
        <v>74</v>
      </c>
      <c r="G511" s="3">
        <v>1909414.625</v>
      </c>
      <c r="H511" s="3">
        <v>2527090.5</v>
      </c>
      <c r="I511" s="3">
        <v>2619078.5</v>
      </c>
      <c r="J511" s="3">
        <v>2574953.5</v>
      </c>
      <c r="K511" s="3">
        <v>19010734</v>
      </c>
      <c r="L511" s="3">
        <v>0.182096913456917</v>
      </c>
      <c r="M511" s="3">
        <v>0.77429032325744596</v>
      </c>
      <c r="N511" s="3">
        <v>0.72898536920547496</v>
      </c>
      <c r="O511" s="3">
        <v>1895790.5</v>
      </c>
      <c r="P511" s="3">
        <v>2580843.25</v>
      </c>
      <c r="Q511" s="3">
        <v>0.980948805809021</v>
      </c>
      <c r="R511" s="3">
        <v>0.53855013847351096</v>
      </c>
      <c r="S511" s="3">
        <v>0.78509509563446001</v>
      </c>
      <c r="T511" s="3">
        <v>0.72830235958099399</v>
      </c>
      <c r="U511" s="3">
        <v>0.74078273773193404</v>
      </c>
      <c r="W511" t="s">
        <v>50</v>
      </c>
      <c r="X511" t="s">
        <v>54</v>
      </c>
      <c r="Y511" t="s">
        <v>52</v>
      </c>
      <c r="Z511" t="s">
        <v>53</v>
      </c>
      <c r="AA511" t="s">
        <v>53</v>
      </c>
      <c r="AC511" s="2">
        <v>0.84180991833704399</v>
      </c>
      <c r="AD511" s="2">
        <v>0.56719470024108898</v>
      </c>
      <c r="AE511" s="2">
        <v>0.239878475666046</v>
      </c>
      <c r="AF511" s="2">
        <v>0.17433892190456399</v>
      </c>
      <c r="AG511" s="2">
        <v>0.28953862190246599</v>
      </c>
      <c r="AH511" s="2">
        <v>-0.27436393499374401</v>
      </c>
      <c r="AI511" s="2">
        <v>3.4132280852645601E-3</v>
      </c>
      <c r="AJ511" s="2">
        <v>0.75564045433454197</v>
      </c>
      <c r="AK511" s="2">
        <v>0.55273981671065497</v>
      </c>
      <c r="AL511" s="2">
        <v>0.88092280831038305</v>
      </c>
      <c r="AM511" s="2">
        <v>0.62632721662521396</v>
      </c>
      <c r="AN511" s="2">
        <v>0.57535409927368197</v>
      </c>
      <c r="AO511" s="2">
        <v>0.44197657704353299</v>
      </c>
      <c r="AP511" s="2">
        <v>0.57399368286132801</v>
      </c>
    </row>
    <row r="512" spans="1:42" x14ac:dyDescent="0.3">
      <c r="A512" t="s">
        <v>207</v>
      </c>
      <c r="B512" s="3">
        <v>2015</v>
      </c>
      <c r="C512" s="3">
        <v>2.8025340000000001</v>
      </c>
      <c r="D512" s="3">
        <v>1918.43</v>
      </c>
      <c r="E512" t="s">
        <v>208</v>
      </c>
      <c r="G512" s="3">
        <v>25640.072265625</v>
      </c>
      <c r="H512" s="3">
        <v>30460.8203125</v>
      </c>
      <c r="I512" s="3">
        <v>26197.408203125</v>
      </c>
      <c r="J512" s="3">
        <v>25014.2421875</v>
      </c>
      <c r="K512" s="3">
        <v>172905.390625</v>
      </c>
      <c r="L512" s="3">
        <v>1.64009956642985E-3</v>
      </c>
      <c r="M512" s="3">
        <v>0.38135281205177302</v>
      </c>
      <c r="N512" s="3">
        <v>0.448016107082367</v>
      </c>
      <c r="O512" s="3">
        <v>25589.22265625</v>
      </c>
      <c r="P512" s="3">
        <v>30101.294921875</v>
      </c>
      <c r="Q512" s="3">
        <v>1.0661135911941499</v>
      </c>
      <c r="R512" s="3">
        <v>0.59304797649383501</v>
      </c>
      <c r="S512" s="3">
        <v>0.52528965473175104</v>
      </c>
      <c r="T512" s="3">
        <v>0.54161620140075695</v>
      </c>
      <c r="U512" s="3">
        <v>0.56723451614379905</v>
      </c>
      <c r="W512" t="s">
        <v>50</v>
      </c>
      <c r="X512" t="s">
        <v>51</v>
      </c>
      <c r="Y512" t="s">
        <v>52</v>
      </c>
      <c r="Z512" t="s">
        <v>53</v>
      </c>
      <c r="AA512" t="s">
        <v>53</v>
      </c>
      <c r="AC512" s="2">
        <v>0.42960569526055498</v>
      </c>
      <c r="AD512" s="2">
        <v>0.84220039844512895</v>
      </c>
      <c r="AE512" s="2">
        <v>0.19272014498710599</v>
      </c>
      <c r="AF512" s="2">
        <v>0.18281856179237399</v>
      </c>
      <c r="AG512" s="2">
        <v>0.29773110151290899</v>
      </c>
      <c r="AH512" s="2">
        <v>-0.51547020673751798</v>
      </c>
      <c r="AI512" s="2">
        <v>6.0265730123312802E-13</v>
      </c>
      <c r="AJ512" s="2">
        <v>0.54626269765837898</v>
      </c>
      <c r="AK512" s="2">
        <v>0.62845210167658705</v>
      </c>
      <c r="AL512" s="2">
        <v>0.42867204569817002</v>
      </c>
      <c r="AM512" s="2">
        <v>0.57006454467773404</v>
      </c>
      <c r="AN512" s="2">
        <v>0.50834882259368896</v>
      </c>
      <c r="AO512" s="2">
        <v>0.42797046899795499</v>
      </c>
      <c r="AP512" s="2">
        <v>0.470375806093216</v>
      </c>
    </row>
    <row r="513" spans="1:42" x14ac:dyDescent="0.3">
      <c r="A513" t="s">
        <v>207</v>
      </c>
      <c r="B513" s="3">
        <v>2016</v>
      </c>
      <c r="C513" s="3">
        <v>2.8099150000000002</v>
      </c>
      <c r="D513" s="3">
        <v>1936.99</v>
      </c>
      <c r="E513" t="s">
        <v>208</v>
      </c>
      <c r="G513" s="3">
        <v>26109.068359375</v>
      </c>
      <c r="H513" s="3">
        <v>30790.173828125</v>
      </c>
      <c r="I513" s="3">
        <v>27289.408203125</v>
      </c>
      <c r="J513" s="3">
        <v>25604.1171875</v>
      </c>
      <c r="K513" s="3">
        <v>170795.890625</v>
      </c>
      <c r="L513" s="3">
        <v>1.5769533347338399E-3</v>
      </c>
      <c r="M513" s="3">
        <v>0.38442471623420699</v>
      </c>
      <c r="N513" s="3">
        <v>0.446946531534195</v>
      </c>
      <c r="O513" s="3">
        <v>25604.5703125</v>
      </c>
      <c r="P513" s="3">
        <v>30110.1953125</v>
      </c>
      <c r="Q513" s="3">
        <v>1.05198466777802</v>
      </c>
      <c r="R513" s="3">
        <v>0.59659200906753496</v>
      </c>
      <c r="S513" s="3">
        <v>0.49355274438857999</v>
      </c>
      <c r="T513" s="3">
        <v>0.51584494113922097</v>
      </c>
      <c r="U513" s="3">
        <v>0.54979836940765403</v>
      </c>
      <c r="W513" t="s">
        <v>50</v>
      </c>
      <c r="X513" t="s">
        <v>51</v>
      </c>
      <c r="Y513" t="s">
        <v>52</v>
      </c>
      <c r="Z513" t="s">
        <v>53</v>
      </c>
      <c r="AA513" t="s">
        <v>53</v>
      </c>
      <c r="AC513" s="2">
        <v>0.41068271933121098</v>
      </c>
      <c r="AD513" s="2">
        <v>0.836364805698395</v>
      </c>
      <c r="AE513" s="2">
        <v>0.18282625079154999</v>
      </c>
      <c r="AF513" s="2">
        <v>0.18335670232772799</v>
      </c>
      <c r="AG513" s="2">
        <v>0.30970376729965199</v>
      </c>
      <c r="AH513" s="2">
        <v>-0.512251436710358</v>
      </c>
      <c r="AI513" s="2">
        <v>0</v>
      </c>
      <c r="AJ513" s="2">
        <v>0.51077540355451601</v>
      </c>
      <c r="AK513" s="2">
        <v>0.64018067641715004</v>
      </c>
      <c r="AL513" s="2">
        <v>0.41499308279643399</v>
      </c>
      <c r="AM513" s="2">
        <v>0.56476467847824097</v>
      </c>
      <c r="AN513" s="2">
        <v>0.47913870215415999</v>
      </c>
      <c r="AO513" s="2">
        <v>0.43186643719673201</v>
      </c>
      <c r="AP513" s="2">
        <v>0.46612483263015703</v>
      </c>
    </row>
    <row r="514" spans="1:42" x14ac:dyDescent="0.3">
      <c r="A514" t="s">
        <v>207</v>
      </c>
      <c r="B514" s="3">
        <v>2017</v>
      </c>
      <c r="C514" s="3">
        <v>2.8157640000000002</v>
      </c>
      <c r="D514" s="3">
        <v>1942.34</v>
      </c>
      <c r="E514" t="s">
        <v>208</v>
      </c>
      <c r="G514" s="3">
        <v>27082.84765625</v>
      </c>
      <c r="H514" s="3">
        <v>32081.44921875</v>
      </c>
      <c r="I514" s="3">
        <v>28090.107421875</v>
      </c>
      <c r="J514" s="3">
        <v>26215.62109375</v>
      </c>
      <c r="K514" s="3">
        <v>172183.078125</v>
      </c>
      <c r="L514" s="3">
        <v>1.56613369472325E-3</v>
      </c>
      <c r="M514" s="3">
        <v>0.38249704241752602</v>
      </c>
      <c r="N514" s="3">
        <v>0.45077121257781999</v>
      </c>
      <c r="O514" s="3">
        <v>25887.091796875</v>
      </c>
      <c r="P514" s="3">
        <v>30730.322265625</v>
      </c>
      <c r="Q514" s="3">
        <v>1.03998446464539</v>
      </c>
      <c r="R514" s="3">
        <v>0.59797787666320801</v>
      </c>
      <c r="S514" s="3">
        <v>0.50129389762878396</v>
      </c>
      <c r="T514" s="3">
        <v>0.52719581127166804</v>
      </c>
      <c r="U514" s="3">
        <v>0.56489163637161299</v>
      </c>
      <c r="W514" t="s">
        <v>51</v>
      </c>
      <c r="X514" t="s">
        <v>51</v>
      </c>
      <c r="Y514" t="s">
        <v>52</v>
      </c>
      <c r="Z514" t="s">
        <v>53</v>
      </c>
      <c r="AA514" t="s">
        <v>53</v>
      </c>
      <c r="AC514" s="2">
        <v>0.39336898749589799</v>
      </c>
      <c r="AD514" s="2">
        <v>0.85369271039962802</v>
      </c>
      <c r="AE514" s="2">
        <v>0.19067262113094299</v>
      </c>
      <c r="AF514" s="2">
        <v>0.179387807846069</v>
      </c>
      <c r="AG514" s="2">
        <v>0.33889880776405301</v>
      </c>
      <c r="AH514" s="2">
        <v>-0.56265199184417702</v>
      </c>
      <c r="AI514" s="2">
        <v>0</v>
      </c>
      <c r="AJ514" s="2">
        <v>0.51807717239266504</v>
      </c>
      <c r="AK514" s="2">
        <v>0.66753426261092397</v>
      </c>
      <c r="AL514" s="2">
        <v>0.42142364402234</v>
      </c>
      <c r="AM514" s="2">
        <v>0.57767927646636996</v>
      </c>
      <c r="AN514" s="2">
        <v>0.49060642719268799</v>
      </c>
      <c r="AO514" s="2">
        <v>0.45360597968101501</v>
      </c>
      <c r="AP514" s="2">
        <v>0.47428548336029103</v>
      </c>
    </row>
    <row r="515" spans="1:42" x14ac:dyDescent="0.3">
      <c r="A515" t="s">
        <v>207</v>
      </c>
      <c r="B515" s="3">
        <v>2018</v>
      </c>
      <c r="C515" s="3">
        <v>2.8200970000000001</v>
      </c>
      <c r="D515" s="3">
        <v>1945.23</v>
      </c>
      <c r="E515" t="s">
        <v>208</v>
      </c>
      <c r="G515" s="3">
        <v>26333.25</v>
      </c>
      <c r="H515" s="3">
        <v>31782.3125</v>
      </c>
      <c r="I515" s="3">
        <v>28163.275390625</v>
      </c>
      <c r="J515" s="3">
        <v>26480.00390625</v>
      </c>
      <c r="K515" s="3">
        <v>179803.71875</v>
      </c>
      <c r="L515" s="3">
        <v>1.5811994671821601E-3</v>
      </c>
      <c r="M515" s="3">
        <v>0.37593269348144498</v>
      </c>
      <c r="N515" s="3">
        <v>0.43433347344398499</v>
      </c>
      <c r="O515" s="3">
        <v>26095.888671875</v>
      </c>
      <c r="P515" s="3">
        <v>31165.5078125</v>
      </c>
      <c r="Q515" s="3">
        <v>1.0463707447052</v>
      </c>
      <c r="R515" s="3">
        <v>0.59567469358444203</v>
      </c>
      <c r="S515" s="3">
        <v>0.53488057851791404</v>
      </c>
      <c r="T515" s="3">
        <v>0.55855685472488403</v>
      </c>
      <c r="U515" s="3">
        <v>0.59406316280365001</v>
      </c>
      <c r="W515" t="s">
        <v>50</v>
      </c>
      <c r="X515" t="s">
        <v>51</v>
      </c>
      <c r="Y515" t="s">
        <v>52</v>
      </c>
      <c r="Z515" t="s">
        <v>53</v>
      </c>
      <c r="AA515" t="s">
        <v>53</v>
      </c>
      <c r="AC515" s="2">
        <v>0.35223437404992902</v>
      </c>
      <c r="AD515" s="2">
        <v>0.80678820610046398</v>
      </c>
      <c r="AE515" s="2">
        <v>0.20578023791313199</v>
      </c>
      <c r="AF515" s="2">
        <v>0.18766975402832001</v>
      </c>
      <c r="AG515" s="2">
        <v>0.38972413539886502</v>
      </c>
      <c r="AH515" s="2">
        <v>-0.58996230363845803</v>
      </c>
      <c r="AI515" s="2">
        <v>-4.9340338672404505E-13</v>
      </c>
      <c r="AJ515" s="2">
        <v>0.56035306417373199</v>
      </c>
      <c r="AK515" s="2">
        <v>0.67297547490437104</v>
      </c>
      <c r="AL515" s="2">
        <v>0.42537498044259597</v>
      </c>
      <c r="AM515" s="2">
        <v>0.587835252285004</v>
      </c>
      <c r="AN515" s="2">
        <v>0.517714142799377</v>
      </c>
      <c r="AO515" s="2">
        <v>0.46383553743362399</v>
      </c>
      <c r="AP515" s="2">
        <v>0.47562050819397</v>
      </c>
    </row>
    <row r="516" spans="1:42" x14ac:dyDescent="0.3">
      <c r="A516" t="s">
        <v>207</v>
      </c>
      <c r="B516" s="3">
        <v>2019</v>
      </c>
      <c r="C516" s="3">
        <v>2.8232710000000001</v>
      </c>
      <c r="D516" s="3">
        <v>1952.05</v>
      </c>
      <c r="E516" t="s">
        <v>208</v>
      </c>
      <c r="G516" s="3">
        <v>26464.953125</v>
      </c>
      <c r="H516" s="3">
        <v>32276.298828125</v>
      </c>
      <c r="I516" s="3">
        <v>28302.99609375</v>
      </c>
      <c r="J516" s="3">
        <v>26711.626953125</v>
      </c>
      <c r="K516" s="3">
        <v>187192.15625</v>
      </c>
      <c r="L516" s="3">
        <v>1.57228240277618E-3</v>
      </c>
      <c r="M516" s="3">
        <v>0.36621597409248402</v>
      </c>
      <c r="N516" s="3">
        <v>0.42581534385681202</v>
      </c>
      <c r="O516" s="3">
        <v>26391.681640625</v>
      </c>
      <c r="P516" s="3">
        <v>31611.232421875</v>
      </c>
      <c r="Q516" s="3">
        <v>1.0323443412780799</v>
      </c>
      <c r="R516" s="3">
        <v>0.60883045196533203</v>
      </c>
      <c r="S516" s="3">
        <v>0.53698092699050903</v>
      </c>
      <c r="T516" s="3">
        <v>0.559331715106964</v>
      </c>
      <c r="U516" s="3">
        <v>0.59265434741973899</v>
      </c>
      <c r="W516" t="s">
        <v>50</v>
      </c>
      <c r="X516" t="s">
        <v>54</v>
      </c>
      <c r="Y516" t="s">
        <v>52</v>
      </c>
      <c r="Z516" t="s">
        <v>53</v>
      </c>
      <c r="AA516" t="s">
        <v>53</v>
      </c>
      <c r="AC516" s="2">
        <v>0.39667435267824203</v>
      </c>
      <c r="AD516" s="2">
        <v>0.79634135961532604</v>
      </c>
      <c r="AE516" s="2">
        <v>0.21755862236022999</v>
      </c>
      <c r="AF516" s="2">
        <v>0.194423943758011</v>
      </c>
      <c r="AG516" s="2">
        <v>0.40360999107360801</v>
      </c>
      <c r="AH516" s="2">
        <v>-0.61193394660949696</v>
      </c>
      <c r="AI516" s="2">
        <v>4.7362688857660595E-13</v>
      </c>
      <c r="AJ516" s="2">
        <v>0.56700161199534005</v>
      </c>
      <c r="AK516" s="2">
        <v>0.66111745564001601</v>
      </c>
      <c r="AL516" s="2">
        <v>0.41401921532703601</v>
      </c>
      <c r="AM516" s="2">
        <v>0.55851548910141002</v>
      </c>
      <c r="AN516" s="2">
        <v>0.50433862209320102</v>
      </c>
      <c r="AO516" s="2">
        <v>0.46048679947853099</v>
      </c>
      <c r="AP516" s="2">
        <v>0.44797387719154402</v>
      </c>
    </row>
    <row r="517" spans="1:42" x14ac:dyDescent="0.3">
      <c r="A517" t="s">
        <v>207</v>
      </c>
      <c r="B517" s="3">
        <v>2020</v>
      </c>
      <c r="C517" s="3">
        <v>2.8307389999999999</v>
      </c>
      <c r="D517" s="3">
        <v>1878.41</v>
      </c>
      <c r="E517" t="s">
        <v>208</v>
      </c>
      <c r="G517" s="3">
        <v>25603.626953125</v>
      </c>
      <c r="H517" s="3">
        <v>29946.62890625</v>
      </c>
      <c r="I517" s="3">
        <v>25194.16015625</v>
      </c>
      <c r="J517" s="3">
        <v>24667.1484375</v>
      </c>
      <c r="K517" s="3">
        <v>166270.640625</v>
      </c>
      <c r="L517" s="3">
        <v>1.30868819542229E-3</v>
      </c>
      <c r="M517" s="3">
        <v>0.37701153755187999</v>
      </c>
      <c r="N517" s="3">
        <v>0.43908333778381398</v>
      </c>
      <c r="O517" s="3">
        <v>25897.599609375</v>
      </c>
      <c r="P517" s="3">
        <v>30179.669921875</v>
      </c>
      <c r="Q517" s="3">
        <v>0.98423790931701705</v>
      </c>
      <c r="R517" s="3">
        <v>0.60883045196533203</v>
      </c>
      <c r="S517" s="3">
        <v>0.53512102365493797</v>
      </c>
      <c r="T517" s="3">
        <v>0.54823917150497403</v>
      </c>
      <c r="U517" s="3">
        <v>0.55995225906372104</v>
      </c>
      <c r="W517" t="s">
        <v>50</v>
      </c>
      <c r="X517" t="s">
        <v>54</v>
      </c>
      <c r="Y517" t="s">
        <v>52</v>
      </c>
      <c r="Z517" t="s">
        <v>53</v>
      </c>
      <c r="AA517" t="s">
        <v>53</v>
      </c>
      <c r="AC517" s="2">
        <v>0.41555548823856497</v>
      </c>
      <c r="AD517" s="2">
        <v>0.82614493370056197</v>
      </c>
      <c r="AE517" s="2">
        <v>0.176064178347588</v>
      </c>
      <c r="AF517" s="2">
        <v>0.211819618940353</v>
      </c>
      <c r="AG517" s="2">
        <v>0.456620693206787</v>
      </c>
      <c r="AH517" s="2">
        <v>-0.67064970731735196</v>
      </c>
      <c r="AI517" s="2">
        <v>2.2463399318439801E-7</v>
      </c>
      <c r="AJ517" s="2">
        <v>0.572067062267541</v>
      </c>
      <c r="AK517" s="2">
        <v>0.62557550255445205</v>
      </c>
      <c r="AL517" s="2">
        <v>0.39102288856236</v>
      </c>
      <c r="AM517" s="2">
        <v>0.28612089157104498</v>
      </c>
      <c r="AN517" s="2">
        <v>0.35230717062950101</v>
      </c>
      <c r="AO517" s="2">
        <v>0.43367442488670399</v>
      </c>
      <c r="AP517" s="2">
        <v>0.49025687575340299</v>
      </c>
    </row>
    <row r="518" spans="1:42" x14ac:dyDescent="0.3">
      <c r="A518" t="s">
        <v>209</v>
      </c>
      <c r="B518" s="3">
        <v>2015</v>
      </c>
      <c r="C518" s="3">
        <v>9.5447290000000002</v>
      </c>
      <c r="D518" s="3">
        <v>2463.16</v>
      </c>
      <c r="E518" t="s">
        <v>210</v>
      </c>
      <c r="G518" s="3">
        <v>90311.8046875</v>
      </c>
      <c r="H518" s="3">
        <v>114706.03125</v>
      </c>
      <c r="I518" s="3">
        <v>93814.7265625</v>
      </c>
      <c r="J518" s="3">
        <v>100202.6328125</v>
      </c>
      <c r="K518" s="3">
        <v>482806.40625</v>
      </c>
      <c r="L518" s="3">
        <v>4.4660265557467903E-3</v>
      </c>
      <c r="M518" s="3">
        <v>0.586977899074554</v>
      </c>
      <c r="N518" s="3">
        <v>0.64824855327606201</v>
      </c>
      <c r="O518" s="3">
        <v>83566.9609375</v>
      </c>
      <c r="P518" s="3">
        <v>105210.3515625</v>
      </c>
      <c r="Q518" s="3">
        <v>1.02762639522553</v>
      </c>
      <c r="R518" s="3">
        <v>0.482534348964691</v>
      </c>
      <c r="S518" s="3">
        <v>0.41630232334137002</v>
      </c>
      <c r="T518" s="3">
        <v>0.41131114959716802</v>
      </c>
      <c r="U518" s="3">
        <v>0.38509014248848</v>
      </c>
      <c r="W518" t="s">
        <v>50</v>
      </c>
      <c r="X518" t="s">
        <v>51</v>
      </c>
      <c r="Y518" t="s">
        <v>52</v>
      </c>
      <c r="Z518" t="s">
        <v>53</v>
      </c>
      <c r="AA518" t="s">
        <v>53</v>
      </c>
      <c r="AC518" s="2">
        <v>0.638888998023733</v>
      </c>
      <c r="AD518" s="2">
        <v>0.68884146213531505</v>
      </c>
      <c r="AE518" s="2">
        <v>0.24344892799854301</v>
      </c>
      <c r="AF518" s="2">
        <v>0.212450250983238</v>
      </c>
      <c r="AG518" s="2">
        <v>0.137478277087212</v>
      </c>
      <c r="AH518" s="2">
        <v>-0.38715326786041299</v>
      </c>
      <c r="AI518" s="2">
        <v>0.104934334754944</v>
      </c>
      <c r="AJ518" s="2">
        <v>0.445058212053348</v>
      </c>
      <c r="AK518" s="2">
        <v>0.39283290317167402</v>
      </c>
      <c r="AL518" s="2">
        <v>0.32306522185417502</v>
      </c>
      <c r="AM518" s="2">
        <v>0.56860888004303001</v>
      </c>
      <c r="AN518" s="2">
        <v>0.52778846025466897</v>
      </c>
      <c r="AO518" s="2">
        <v>0.25624111294746399</v>
      </c>
      <c r="AP518" s="2">
        <v>0.59734290838241599</v>
      </c>
    </row>
    <row r="519" spans="1:42" x14ac:dyDescent="0.3">
      <c r="A519" t="s">
        <v>209</v>
      </c>
      <c r="B519" s="3">
        <v>2016</v>
      </c>
      <c r="C519" s="3">
        <v>10.006366999999999</v>
      </c>
      <c r="D519" s="3">
        <v>2459.2600000000002</v>
      </c>
      <c r="E519" t="s">
        <v>210</v>
      </c>
      <c r="G519" s="3">
        <v>91562.6875</v>
      </c>
      <c r="H519" s="3">
        <v>114258.8984375</v>
      </c>
      <c r="I519" s="3">
        <v>95273.0078125</v>
      </c>
      <c r="J519" s="3">
        <v>100302.2578125</v>
      </c>
      <c r="K519" s="3">
        <v>492573.75</v>
      </c>
      <c r="L519" s="3">
        <v>4.3676081113517302E-3</v>
      </c>
      <c r="M519" s="3">
        <v>0.56577789783477805</v>
      </c>
      <c r="N519" s="3">
        <v>0.623113453388214</v>
      </c>
      <c r="O519" s="3">
        <v>85200.46875</v>
      </c>
      <c r="P519" s="3">
        <v>105641.7109375</v>
      </c>
      <c r="Q519" s="3">
        <v>0.99838155508041404</v>
      </c>
      <c r="R519" s="3">
        <v>0.49322444200515703</v>
      </c>
      <c r="S519" s="3">
        <v>0.42053136229515098</v>
      </c>
      <c r="T519" s="3">
        <v>0.41871517896652199</v>
      </c>
      <c r="U519" s="3">
        <v>0.397720396518707</v>
      </c>
      <c r="W519" t="s">
        <v>50</v>
      </c>
      <c r="X519" t="s">
        <v>51</v>
      </c>
      <c r="Y519" t="s">
        <v>52</v>
      </c>
      <c r="Z519" t="s">
        <v>53</v>
      </c>
      <c r="AA519" t="s">
        <v>53</v>
      </c>
      <c r="AC519" s="2">
        <v>0.63772756823941901</v>
      </c>
      <c r="AD519" s="2">
        <v>0.71219187974929798</v>
      </c>
      <c r="AE519" s="2">
        <v>0.226278156042099</v>
      </c>
      <c r="AF519" s="2">
        <v>0.20067577064037301</v>
      </c>
      <c r="AG519" s="2">
        <v>0.13381446897983601</v>
      </c>
      <c r="AH519" s="2">
        <v>-0.36692029237747198</v>
      </c>
      <c r="AI519" s="2">
        <v>9.39600244164467E-2</v>
      </c>
      <c r="AJ519" s="2">
        <v>0.44268252463237601</v>
      </c>
      <c r="AK519" s="2">
        <v>0.41138814458016798</v>
      </c>
      <c r="AL519" s="2">
        <v>0.34191761347305799</v>
      </c>
      <c r="AM519" s="2">
        <v>0.55946528911590598</v>
      </c>
      <c r="AN519" s="2">
        <v>0.52188879251480103</v>
      </c>
      <c r="AO519" s="2">
        <v>0.26429527997970598</v>
      </c>
      <c r="AP519" s="2">
        <v>0.59913384914398204</v>
      </c>
    </row>
    <row r="520" spans="1:42" x14ac:dyDescent="0.3">
      <c r="A520" t="s">
        <v>209</v>
      </c>
      <c r="B520" s="3">
        <v>2017</v>
      </c>
      <c r="C520" s="3">
        <v>10.234226</v>
      </c>
      <c r="D520" s="3">
        <v>2458.0100000000002</v>
      </c>
      <c r="E520" t="s">
        <v>210</v>
      </c>
      <c r="G520" s="3">
        <v>97516.46875</v>
      </c>
      <c r="H520" s="3">
        <v>122028.375</v>
      </c>
      <c r="I520" s="3">
        <v>101137.8359375</v>
      </c>
      <c r="J520" s="3">
        <v>108439.3984375</v>
      </c>
      <c r="K520" s="3">
        <v>558759.625</v>
      </c>
      <c r="L520" s="3">
        <v>4.7397892922163001E-3</v>
      </c>
      <c r="M520" s="3">
        <v>0.56876242160797097</v>
      </c>
      <c r="N520" s="3">
        <v>0.616366267204285</v>
      </c>
      <c r="O520" s="3">
        <v>92500.9296875</v>
      </c>
      <c r="P520" s="3">
        <v>109898.984375</v>
      </c>
      <c r="Q520" s="3">
        <v>0.99684792757034302</v>
      </c>
      <c r="R520" s="3">
        <v>0.49322444200515703</v>
      </c>
      <c r="S520" s="3">
        <v>0.40934914350509599</v>
      </c>
      <c r="T520" s="3">
        <v>0.411403387784958</v>
      </c>
      <c r="U520" s="3">
        <v>0.38370233774185197</v>
      </c>
      <c r="W520" t="s">
        <v>51</v>
      </c>
      <c r="X520" t="s">
        <v>51</v>
      </c>
      <c r="Y520" t="s">
        <v>52</v>
      </c>
      <c r="Z520" t="s">
        <v>53</v>
      </c>
      <c r="AA520" t="s">
        <v>53</v>
      </c>
      <c r="AC520" s="2">
        <v>0.66625683726204199</v>
      </c>
      <c r="AD520" s="2">
        <v>0.70498263835907005</v>
      </c>
      <c r="AE520" s="2">
        <v>0.22604243457317399</v>
      </c>
      <c r="AF520" s="2">
        <v>0.19428893923759499</v>
      </c>
      <c r="AG520" s="2">
        <v>0.120531238615513</v>
      </c>
      <c r="AH520" s="2">
        <v>-0.35023880004882801</v>
      </c>
      <c r="AI520" s="2">
        <v>0.10439354926347701</v>
      </c>
      <c r="AJ520" s="2">
        <v>0.42992739482138698</v>
      </c>
      <c r="AK520" s="2">
        <v>0.41957590788346499</v>
      </c>
      <c r="AL520" s="2">
        <v>0.33468039870987998</v>
      </c>
      <c r="AM520" s="2">
        <v>0.57146495580673196</v>
      </c>
      <c r="AN520" s="2">
        <v>0.53732228279113803</v>
      </c>
      <c r="AO520" s="2">
        <v>0.27237167954444902</v>
      </c>
      <c r="AP520" s="2">
        <v>0.55504935979843095</v>
      </c>
    </row>
    <row r="521" spans="1:42" x14ac:dyDescent="0.3">
      <c r="A521" t="s">
        <v>209</v>
      </c>
      <c r="B521" s="3">
        <v>2018</v>
      </c>
      <c r="C521" s="3">
        <v>10.462306</v>
      </c>
      <c r="D521" s="3">
        <v>2421.46</v>
      </c>
      <c r="E521" t="s">
        <v>210</v>
      </c>
      <c r="G521" s="3">
        <v>96011.6796875</v>
      </c>
      <c r="H521" s="3">
        <v>117204.7421875</v>
      </c>
      <c r="I521" s="3">
        <v>99571.03125</v>
      </c>
      <c r="J521" s="3">
        <v>105289.625</v>
      </c>
      <c r="K521" s="3">
        <v>541876.5625</v>
      </c>
      <c r="L521" s="3">
        <v>4.38828300684691E-3</v>
      </c>
      <c r="M521" s="3">
        <v>0.56692588329315197</v>
      </c>
      <c r="N521" s="3">
        <v>0.60747951269149802</v>
      </c>
      <c r="O521" s="3">
        <v>92789.3125</v>
      </c>
      <c r="P521" s="3">
        <v>110787.1640625</v>
      </c>
      <c r="Q521" s="3">
        <v>1.0127085447311399</v>
      </c>
      <c r="R521" s="3">
        <v>0.49322444200515703</v>
      </c>
      <c r="S521" s="3">
        <v>0.42168241739273099</v>
      </c>
      <c r="T521" s="3">
        <v>0.43557694554328902</v>
      </c>
      <c r="U521" s="3">
        <v>0.41191947460174599</v>
      </c>
      <c r="W521" t="s">
        <v>50</v>
      </c>
      <c r="X521" t="s">
        <v>51</v>
      </c>
      <c r="Y521" t="s">
        <v>52</v>
      </c>
      <c r="Z521" t="s">
        <v>53</v>
      </c>
      <c r="AA521" t="s">
        <v>53</v>
      </c>
      <c r="AC521" s="2">
        <v>0.69163745337099003</v>
      </c>
      <c r="AD521" s="2">
        <v>0.70103287696838401</v>
      </c>
      <c r="AE521" s="2">
        <v>0.201283484697342</v>
      </c>
      <c r="AF521" s="2">
        <v>0.210848778486252</v>
      </c>
      <c r="AG521" s="2">
        <v>0.124390110373497</v>
      </c>
      <c r="AH521" s="2">
        <v>-0.35004556179046598</v>
      </c>
      <c r="AI521" s="2">
        <v>0.112490326166153</v>
      </c>
      <c r="AJ521" s="2">
        <v>0.45012802061843399</v>
      </c>
      <c r="AK521" s="2">
        <v>0.49852378370864497</v>
      </c>
      <c r="AL521" s="2">
        <v>0.32710608310867401</v>
      </c>
      <c r="AM521" s="2">
        <v>0.59175914525985696</v>
      </c>
      <c r="AN521" s="2">
        <v>0.55105841159820601</v>
      </c>
      <c r="AO521" s="2">
        <v>0.32464611530303999</v>
      </c>
      <c r="AP521" s="2">
        <v>0.59222215414047197</v>
      </c>
    </row>
    <row r="522" spans="1:42" x14ac:dyDescent="0.3">
      <c r="A522" t="s">
        <v>209</v>
      </c>
      <c r="B522" s="3">
        <v>2019</v>
      </c>
      <c r="C522" s="3">
        <v>10.671891</v>
      </c>
      <c r="D522" s="3">
        <v>2468.2399999999998</v>
      </c>
      <c r="E522" t="s">
        <v>210</v>
      </c>
      <c r="G522" s="3">
        <v>97867.0078125</v>
      </c>
      <c r="H522" s="3">
        <v>117784.0625</v>
      </c>
      <c r="I522" s="3">
        <v>104714.578125</v>
      </c>
      <c r="J522" s="3">
        <v>108629.4375</v>
      </c>
      <c r="K522" s="3">
        <v>504134.65625</v>
      </c>
      <c r="L522" s="3">
        <v>3.9117350243031996E-3</v>
      </c>
      <c r="M522" s="3">
        <v>0.58741044998169001</v>
      </c>
      <c r="N522" s="3">
        <v>0.61288803815841697</v>
      </c>
      <c r="O522" s="3">
        <v>91757.8515625</v>
      </c>
      <c r="P522" s="3">
        <v>109403.3984375</v>
      </c>
      <c r="Q522" s="3">
        <v>0.98672640323638905</v>
      </c>
      <c r="R522" s="3">
        <v>0.49322444200515703</v>
      </c>
      <c r="S522" s="3">
        <v>0.41410642862319902</v>
      </c>
      <c r="T522" s="3">
        <v>0.42499294877052302</v>
      </c>
      <c r="U522" s="3">
        <v>0.40967676043510398</v>
      </c>
      <c r="W522" t="s">
        <v>50</v>
      </c>
      <c r="X522" t="s">
        <v>54</v>
      </c>
      <c r="Y522" t="s">
        <v>52</v>
      </c>
      <c r="Z522" t="s">
        <v>53</v>
      </c>
      <c r="AA522" t="s">
        <v>53</v>
      </c>
      <c r="AC522" s="2">
        <v>0.69438392293158802</v>
      </c>
      <c r="AD522" s="2">
        <v>0.68499058485031095</v>
      </c>
      <c r="AE522" s="2">
        <v>0.18334856629371599</v>
      </c>
      <c r="AF522" s="2">
        <v>0.215934678912163</v>
      </c>
      <c r="AG522" s="2">
        <v>0.13760210573673201</v>
      </c>
      <c r="AH522" s="2">
        <v>-0.34477460384368902</v>
      </c>
      <c r="AI522" s="2">
        <v>0.12289866805076601</v>
      </c>
      <c r="AJ522" s="2">
        <v>0.446724688688173</v>
      </c>
      <c r="AK522" s="2">
        <v>0.47848651761607103</v>
      </c>
      <c r="AL522" s="2">
        <v>0.31063433443786898</v>
      </c>
      <c r="AM522" s="2">
        <v>0.556135714054108</v>
      </c>
      <c r="AN522" s="2">
        <v>0.51629716157913197</v>
      </c>
      <c r="AO522" s="2">
        <v>0.31257271766662598</v>
      </c>
      <c r="AP522" s="2">
        <v>0.65576988458633401</v>
      </c>
    </row>
    <row r="523" spans="1:42" x14ac:dyDescent="0.3">
      <c r="A523" t="s">
        <v>209</v>
      </c>
      <c r="B523" s="3">
        <v>2020</v>
      </c>
      <c r="C523" s="3">
        <v>10.865228</v>
      </c>
      <c r="D523" s="3">
        <v>2473.98</v>
      </c>
      <c r="E523" t="s">
        <v>210</v>
      </c>
      <c r="G523" s="3">
        <v>103819.984375</v>
      </c>
      <c r="H523" s="3">
        <v>123677.5625</v>
      </c>
      <c r="I523" s="3">
        <v>106705.0625</v>
      </c>
      <c r="J523" s="3">
        <v>114402.3828125</v>
      </c>
      <c r="K523" s="3">
        <v>650334.125</v>
      </c>
      <c r="L523" s="3">
        <v>4.6294713392853702E-3</v>
      </c>
      <c r="M523" s="3">
        <v>0.55095946788787797</v>
      </c>
      <c r="N523" s="3">
        <v>0.57139849662780795</v>
      </c>
      <c r="O523" s="3">
        <v>92730.6875</v>
      </c>
      <c r="P523" s="3">
        <v>109393.8515625</v>
      </c>
      <c r="Q523" s="3">
        <v>0.95791423320770297</v>
      </c>
      <c r="R523" s="3">
        <v>0.49322444200515703</v>
      </c>
      <c r="S523" s="3">
        <v>0.405615985393524</v>
      </c>
      <c r="T523" s="3">
        <v>0.40954369306564298</v>
      </c>
      <c r="U523" s="3">
        <v>0.38198840618133501</v>
      </c>
      <c r="W523" t="s">
        <v>50</v>
      </c>
      <c r="X523" t="s">
        <v>54</v>
      </c>
      <c r="Y523" t="s">
        <v>52</v>
      </c>
      <c r="Z523" t="s">
        <v>53</v>
      </c>
      <c r="AA523" t="s">
        <v>53</v>
      </c>
      <c r="AC523" s="2">
        <v>0.69775763987208095</v>
      </c>
      <c r="AD523" s="2">
        <v>0.68115073442459095</v>
      </c>
      <c r="AE523" s="2">
        <v>0.17357657849788699</v>
      </c>
      <c r="AF523" s="2">
        <v>0.22634768486022999</v>
      </c>
      <c r="AG523" s="2">
        <v>8.8945366442203494E-2</v>
      </c>
      <c r="AH523" s="2">
        <v>-0.259271919727325</v>
      </c>
      <c r="AI523" s="2">
        <v>8.9251540601253496E-2</v>
      </c>
      <c r="AJ523" s="2">
        <v>0.44758618916535398</v>
      </c>
      <c r="AK523" s="2">
        <v>0.43007862105517097</v>
      </c>
      <c r="AL523" s="2">
        <v>0.27931451522511702</v>
      </c>
      <c r="AM523" s="2">
        <v>0.52997148036956798</v>
      </c>
      <c r="AN523" s="2">
        <v>0.54765129089355502</v>
      </c>
      <c r="AO523" s="2">
        <v>0.27776315808296198</v>
      </c>
      <c r="AP523" s="2">
        <v>0.56806027889251698</v>
      </c>
    </row>
    <row r="524" spans="1:42" x14ac:dyDescent="0.3">
      <c r="A524" t="s">
        <v>211</v>
      </c>
      <c r="B524" s="3">
        <v>2015</v>
      </c>
      <c r="C524" s="3">
        <v>127.27587200000001</v>
      </c>
      <c r="D524" s="3">
        <v>1752.2</v>
      </c>
      <c r="E524" t="s">
        <v>212</v>
      </c>
      <c r="G524" s="3">
        <v>4206582.5</v>
      </c>
      <c r="H524" s="3">
        <v>5617307</v>
      </c>
      <c r="I524" s="3">
        <v>5586364.5</v>
      </c>
      <c r="J524" s="3">
        <v>5657746.5</v>
      </c>
      <c r="K524" s="3">
        <v>29301166</v>
      </c>
      <c r="L524" s="3">
        <v>0.37475478649139399</v>
      </c>
      <c r="M524" s="3">
        <v>0.70123535394668601</v>
      </c>
      <c r="N524" s="3">
        <v>0.67167824506759599</v>
      </c>
      <c r="O524" s="3">
        <v>3912189.5</v>
      </c>
      <c r="P524" s="3">
        <v>5354928.5</v>
      </c>
      <c r="Q524" s="3">
        <v>1.0184701681137101</v>
      </c>
      <c r="R524" s="3">
        <v>0.54555326700210605</v>
      </c>
      <c r="S524" s="3">
        <v>0.79660111665725697</v>
      </c>
      <c r="T524" s="3">
        <v>0.79567497968673695</v>
      </c>
      <c r="U524" s="3">
        <v>0.785636305809021</v>
      </c>
      <c r="W524" t="s">
        <v>50</v>
      </c>
      <c r="X524" t="s">
        <v>51</v>
      </c>
      <c r="Y524" t="s">
        <v>52</v>
      </c>
      <c r="Z524" t="s">
        <v>53</v>
      </c>
      <c r="AA524" t="s">
        <v>53</v>
      </c>
      <c r="AC524" s="2">
        <v>0.79259140347672996</v>
      </c>
      <c r="AD524" s="2">
        <v>0.54757505655288696</v>
      </c>
      <c r="AE524" s="2">
        <v>0.24934384226799</v>
      </c>
      <c r="AF524" s="2">
        <v>0.19593346118926999</v>
      </c>
      <c r="AG524" s="2">
        <v>0.177147656679153</v>
      </c>
      <c r="AH524" s="2">
        <v>-0.164617285132408</v>
      </c>
      <c r="AI524" s="2">
        <v>-5.3827469237148796E-3</v>
      </c>
      <c r="AJ524" s="2">
        <v>0.80017447846015599</v>
      </c>
      <c r="AK524" s="2">
        <v>0.792913468024812</v>
      </c>
      <c r="AL524" s="2">
        <v>0.78661453729890596</v>
      </c>
      <c r="AM524" s="2">
        <v>0.62346714735031095</v>
      </c>
      <c r="AN524" s="2">
        <v>0.67166948318481501</v>
      </c>
      <c r="AO524" s="2">
        <v>0.75474554300308205</v>
      </c>
      <c r="AP524" s="2">
        <v>0.72014969587326105</v>
      </c>
    </row>
    <row r="525" spans="1:42" x14ac:dyDescent="0.3">
      <c r="A525" t="s">
        <v>211</v>
      </c>
      <c r="B525" s="3">
        <v>2016</v>
      </c>
      <c r="C525" s="3">
        <v>127.15995100000001</v>
      </c>
      <c r="D525" s="3">
        <v>1745.5</v>
      </c>
      <c r="E525" t="s">
        <v>212</v>
      </c>
      <c r="G525" s="3">
        <v>4029787</v>
      </c>
      <c r="H525" s="3">
        <v>5447428</v>
      </c>
      <c r="I525" s="3">
        <v>5491672</v>
      </c>
      <c r="J525" s="3">
        <v>5584406.5</v>
      </c>
      <c r="K525" s="3">
        <v>29605892</v>
      </c>
      <c r="L525" s="3">
        <v>0.37221562862396201</v>
      </c>
      <c r="M525" s="3">
        <v>0.68638855218887296</v>
      </c>
      <c r="N525" s="3">
        <v>0.64733165502548196</v>
      </c>
      <c r="O525" s="3">
        <v>3916281.75</v>
      </c>
      <c r="P525" s="3">
        <v>5368776.5</v>
      </c>
      <c r="Q525" s="3">
        <v>1.0163443088531501</v>
      </c>
      <c r="R525" s="3">
        <v>0.55202710628509499</v>
      </c>
      <c r="S525" s="3">
        <v>0.92329245805740401</v>
      </c>
      <c r="T525" s="3">
        <v>0.91113924980163596</v>
      </c>
      <c r="U525" s="3">
        <v>0.89600878953933705</v>
      </c>
      <c r="W525" t="s">
        <v>50</v>
      </c>
      <c r="X525" t="s">
        <v>51</v>
      </c>
      <c r="Y525" t="s">
        <v>52</v>
      </c>
      <c r="Z525" t="s">
        <v>53</v>
      </c>
      <c r="AA525" t="s">
        <v>53</v>
      </c>
      <c r="AC525" s="2">
        <v>0.78486863419668296</v>
      </c>
      <c r="AD525" s="2">
        <v>0.51992785930633501</v>
      </c>
      <c r="AE525" s="2">
        <v>0.25385704636573803</v>
      </c>
      <c r="AF525" s="2">
        <v>0.20168632268905601</v>
      </c>
      <c r="AG525" s="2">
        <v>0.187190547585487</v>
      </c>
      <c r="AH525" s="2">
        <v>-0.16312231123447399</v>
      </c>
      <c r="AI525" s="2">
        <v>4.6053697587922199E-4</v>
      </c>
      <c r="AJ525" s="2">
        <v>0.94268898560606096</v>
      </c>
      <c r="AK525" s="2">
        <v>0.87659240397007598</v>
      </c>
      <c r="AL525" s="2">
        <v>0.87329015914766694</v>
      </c>
      <c r="AM525" s="2">
        <v>0.61695426702499401</v>
      </c>
      <c r="AN525" s="2">
        <v>0.66626030206680298</v>
      </c>
      <c r="AO525" s="2">
        <v>0.83119821548461903</v>
      </c>
      <c r="AP525" s="2">
        <v>0.77948850393295299</v>
      </c>
    </row>
    <row r="526" spans="1:42" x14ac:dyDescent="0.3">
      <c r="A526" t="s">
        <v>211</v>
      </c>
      <c r="B526" s="3">
        <v>2017</v>
      </c>
      <c r="C526" s="3">
        <v>127.06469</v>
      </c>
      <c r="D526" s="3">
        <v>1745.3</v>
      </c>
      <c r="E526" t="s">
        <v>212</v>
      </c>
      <c r="G526" s="3">
        <v>4029736.75</v>
      </c>
      <c r="H526" s="3">
        <v>5465011</v>
      </c>
      <c r="I526" s="3">
        <v>5506846</v>
      </c>
      <c r="J526" s="3">
        <v>5559263.5</v>
      </c>
      <c r="K526" s="3">
        <v>28569998</v>
      </c>
      <c r="L526" s="3">
        <v>0.35729300975799599</v>
      </c>
      <c r="M526" s="3">
        <v>0.68030220270156905</v>
      </c>
      <c r="N526" s="3">
        <v>0.64403516054153398</v>
      </c>
      <c r="O526" s="3">
        <v>3947494.25</v>
      </c>
      <c r="P526" s="3">
        <v>5429269.5</v>
      </c>
      <c r="Q526" s="3">
        <v>1.02103507518768</v>
      </c>
      <c r="R526" s="3">
        <v>0.55224972963333097</v>
      </c>
      <c r="S526" s="3">
        <v>0.90578538179397605</v>
      </c>
      <c r="T526" s="3">
        <v>0.89540135860443104</v>
      </c>
      <c r="U526" s="3">
        <v>0.88695877790451105</v>
      </c>
      <c r="W526" t="s">
        <v>51</v>
      </c>
      <c r="X526" t="s">
        <v>51</v>
      </c>
      <c r="Y526" t="s">
        <v>52</v>
      </c>
      <c r="Z526" t="s">
        <v>53</v>
      </c>
      <c r="AA526" t="s">
        <v>53</v>
      </c>
      <c r="AC526" s="2">
        <v>0.77992745856623502</v>
      </c>
      <c r="AD526" s="2">
        <v>0.51825946569442805</v>
      </c>
      <c r="AE526" s="2">
        <v>0.25817707180976901</v>
      </c>
      <c r="AF526" s="2">
        <v>0.20660935342311901</v>
      </c>
      <c r="AG526" s="2">
        <v>0.19925920665264099</v>
      </c>
      <c r="AH526" s="2">
        <v>-0.18450266122817999</v>
      </c>
      <c r="AI526" s="2">
        <v>2.1975398994982199E-3</v>
      </c>
      <c r="AJ526" s="2">
        <v>0.93466877736992204</v>
      </c>
      <c r="AK526" s="2">
        <v>0.86624694784303602</v>
      </c>
      <c r="AL526" s="2">
        <v>0.83333410200317404</v>
      </c>
      <c r="AM526" s="2">
        <v>0.63020253181457497</v>
      </c>
      <c r="AN526" s="2">
        <v>0.65465021133422896</v>
      </c>
      <c r="AO526" s="2">
        <v>0.85302108526229903</v>
      </c>
      <c r="AP526" s="2">
        <v>0.77094858884811401</v>
      </c>
    </row>
    <row r="527" spans="1:42" x14ac:dyDescent="0.3">
      <c r="A527" t="s">
        <v>211</v>
      </c>
      <c r="B527" s="3">
        <v>2018</v>
      </c>
      <c r="C527" s="3">
        <v>126.913432</v>
      </c>
      <c r="D527" s="3">
        <v>1724.6</v>
      </c>
      <c r="E527" t="s">
        <v>212</v>
      </c>
      <c r="G527" s="3">
        <v>4024156.25</v>
      </c>
      <c r="H527" s="3">
        <v>5479747.5</v>
      </c>
      <c r="I527" s="3">
        <v>5480840.5</v>
      </c>
      <c r="J527" s="3">
        <v>5510195</v>
      </c>
      <c r="K527" s="3">
        <v>28538152</v>
      </c>
      <c r="L527" s="3">
        <v>0.35149908065795898</v>
      </c>
      <c r="M527" s="3">
        <v>0.66895437240600597</v>
      </c>
      <c r="N527" s="3">
        <v>0.64037734270095803</v>
      </c>
      <c r="O527" s="3">
        <v>3964652</v>
      </c>
      <c r="P527" s="3">
        <v>5463391</v>
      </c>
      <c r="Q527" s="3">
        <v>1.0180810689926101</v>
      </c>
      <c r="R527" s="3">
        <v>0.56381112337112405</v>
      </c>
      <c r="S527" s="3">
        <v>0.93120324611663796</v>
      </c>
      <c r="T527" s="3">
        <v>0.919727683067322</v>
      </c>
      <c r="U527" s="3">
        <v>0.91482812166214</v>
      </c>
      <c r="W527" t="s">
        <v>50</v>
      </c>
      <c r="X527" t="s">
        <v>51</v>
      </c>
      <c r="Y527" t="s">
        <v>52</v>
      </c>
      <c r="Z527" t="s">
        <v>53</v>
      </c>
      <c r="AA527" t="s">
        <v>53</v>
      </c>
      <c r="AC527" s="2">
        <v>0.78739189063668302</v>
      </c>
      <c r="AD527" s="2">
        <v>0.51716172695159901</v>
      </c>
      <c r="AE527" s="2">
        <v>0.26416331529617298</v>
      </c>
      <c r="AF527" s="2">
        <v>0.213149309158325</v>
      </c>
      <c r="AG527" s="2">
        <v>0.20395047962665599</v>
      </c>
      <c r="AH527" s="2">
        <v>-0.200611427426338</v>
      </c>
      <c r="AI527" s="2">
        <v>2.186557976529E-3</v>
      </c>
      <c r="AJ527" s="2">
        <v>0.96893103626323296</v>
      </c>
      <c r="AK527" s="2">
        <v>0.88800216178653602</v>
      </c>
      <c r="AL527" s="2">
        <v>0.83966480938525501</v>
      </c>
      <c r="AM527" s="2">
        <v>0.65687531232833896</v>
      </c>
      <c r="AN527" s="2">
        <v>0.67687034606933605</v>
      </c>
      <c r="AO527" s="2">
        <v>0.88622075319290206</v>
      </c>
      <c r="AP527" s="2">
        <v>0.73964375257492099</v>
      </c>
    </row>
    <row r="528" spans="1:42" x14ac:dyDescent="0.3">
      <c r="A528" t="s">
        <v>211</v>
      </c>
      <c r="B528" s="3">
        <v>2019</v>
      </c>
      <c r="C528" s="3">
        <v>126.69942399999999</v>
      </c>
      <c r="D528" s="3">
        <v>1687.8</v>
      </c>
      <c r="E528" t="s">
        <v>212</v>
      </c>
      <c r="G528" s="3">
        <v>3983085</v>
      </c>
      <c r="H528" s="3">
        <v>5479114.5</v>
      </c>
      <c r="I528" s="3">
        <v>5463304.5</v>
      </c>
      <c r="J528" s="3">
        <v>5486908</v>
      </c>
      <c r="K528" s="3">
        <v>29447664</v>
      </c>
      <c r="L528" s="3">
        <v>0.35538533329963701</v>
      </c>
      <c r="M528" s="3">
        <v>0.65706092119216897</v>
      </c>
      <c r="N528" s="3">
        <v>0.63137727975845304</v>
      </c>
      <c r="O528" s="3">
        <v>3966251.5</v>
      </c>
      <c r="P528" s="3">
        <v>5465898</v>
      </c>
      <c r="Q528" s="3">
        <v>1.01419842243195</v>
      </c>
      <c r="R528" s="3">
        <v>0.57406526803970304</v>
      </c>
      <c r="S528" s="3">
        <v>0.95727044343948398</v>
      </c>
      <c r="T528" s="3">
        <v>0.93679451942443903</v>
      </c>
      <c r="U528" s="3">
        <v>0.93276458978652999</v>
      </c>
      <c r="W528" t="s">
        <v>50</v>
      </c>
      <c r="X528" t="s">
        <v>54</v>
      </c>
      <c r="Y528" t="s">
        <v>52</v>
      </c>
      <c r="Z528" t="s">
        <v>53</v>
      </c>
      <c r="AA528" t="s">
        <v>53</v>
      </c>
      <c r="AC528" s="2">
        <v>0.79620383356481195</v>
      </c>
      <c r="AD528" s="2">
        <v>0.50540548563003496</v>
      </c>
      <c r="AE528" s="2">
        <v>0.27265438437461897</v>
      </c>
      <c r="AF528" s="2">
        <v>0.22051972150802601</v>
      </c>
      <c r="AG528" s="2">
        <v>0.20105582475662201</v>
      </c>
      <c r="AH528" s="2">
        <v>-0.19971656799316401</v>
      </c>
      <c r="AI528" s="2">
        <v>8.1167097960133106E-5</v>
      </c>
      <c r="AJ528" s="2">
        <v>1.0068466804596401</v>
      </c>
      <c r="AK528" s="2">
        <v>0.88227871420705195</v>
      </c>
      <c r="AL528" s="2">
        <v>0.84364744820501103</v>
      </c>
      <c r="AM528" s="2">
        <v>0.63963842391967796</v>
      </c>
      <c r="AN528" s="2">
        <v>0.65782225131988503</v>
      </c>
      <c r="AO528" s="2">
        <v>0.88708704710006703</v>
      </c>
      <c r="AP528" s="2">
        <v>0.69768548011779796</v>
      </c>
    </row>
    <row r="529" spans="1:42" x14ac:dyDescent="0.3">
      <c r="A529" t="s">
        <v>211</v>
      </c>
      <c r="B529" s="3">
        <v>2020</v>
      </c>
      <c r="C529" s="3">
        <v>126.304543</v>
      </c>
      <c r="D529" s="3">
        <v>1646.4</v>
      </c>
      <c r="E529" t="s">
        <v>212</v>
      </c>
      <c r="G529" s="3">
        <v>3909192.75</v>
      </c>
      <c r="H529" s="3">
        <v>5311152.5</v>
      </c>
      <c r="I529" s="3">
        <v>5296917</v>
      </c>
      <c r="J529" s="3">
        <v>5278546.5</v>
      </c>
      <c r="K529" s="3">
        <v>29563630</v>
      </c>
      <c r="L529" s="3">
        <v>0.34514904022216802</v>
      </c>
      <c r="M529" s="3">
        <v>0.64131236076355003</v>
      </c>
      <c r="N529" s="3">
        <v>0.61902391910553001</v>
      </c>
      <c r="O529" s="3">
        <v>3862193.75</v>
      </c>
      <c r="P529" s="3">
        <v>5284789</v>
      </c>
      <c r="Q529" s="3">
        <v>0.98545497655868497</v>
      </c>
      <c r="R529" s="3">
        <v>0.58777445554733299</v>
      </c>
      <c r="S529" s="3">
        <v>0.97023200988769498</v>
      </c>
      <c r="T529" s="3">
        <v>0.95443946123123202</v>
      </c>
      <c r="U529" s="3">
        <v>0.95776122808456399</v>
      </c>
      <c r="W529" t="s">
        <v>50</v>
      </c>
      <c r="X529" t="s">
        <v>54</v>
      </c>
      <c r="Y529" t="s">
        <v>52</v>
      </c>
      <c r="Z529" t="s">
        <v>53</v>
      </c>
      <c r="AA529" t="s">
        <v>53</v>
      </c>
      <c r="AC529" s="2">
        <v>0.80187158136050196</v>
      </c>
      <c r="AD529" s="2">
        <v>0.50994461774826105</v>
      </c>
      <c r="AE529" s="2">
        <v>0.265595763921738</v>
      </c>
      <c r="AF529" s="2">
        <v>0.230636686086655</v>
      </c>
      <c r="AG529" s="2">
        <v>0.18379020690917999</v>
      </c>
      <c r="AH529" s="2">
        <v>-0.19001607596874201</v>
      </c>
      <c r="AI529" s="2">
        <v>4.8839570808922899E-5</v>
      </c>
      <c r="AJ529" s="2">
        <v>1.0152066551526</v>
      </c>
      <c r="AK529" s="2">
        <v>0.91040404915109796</v>
      </c>
      <c r="AL529" s="2">
        <v>0.87079175069024095</v>
      </c>
      <c r="AM529" s="2">
        <v>0.63886928558349598</v>
      </c>
      <c r="AN529" s="2">
        <v>0.63172870874404896</v>
      </c>
      <c r="AO529" s="2">
        <v>0.91108906269073497</v>
      </c>
      <c r="AP529" s="2">
        <v>0.71700930595398005</v>
      </c>
    </row>
    <row r="530" spans="1:42" x14ac:dyDescent="0.3">
      <c r="A530" t="s">
        <v>213</v>
      </c>
      <c r="B530" s="3">
        <v>2015</v>
      </c>
      <c r="C530" s="3">
        <v>18.084168999999999</v>
      </c>
      <c r="D530" s="3">
        <v>1976.01</v>
      </c>
      <c r="E530" t="s">
        <v>214</v>
      </c>
      <c r="G530" s="3">
        <v>355138.65625</v>
      </c>
      <c r="H530" s="3">
        <v>441604.5</v>
      </c>
      <c r="I530" s="3">
        <v>473527.5625</v>
      </c>
      <c r="J530" s="3">
        <v>476761.0625</v>
      </c>
      <c r="K530" s="3">
        <v>1052229</v>
      </c>
      <c r="L530" s="3">
        <v>1.9738476723432499E-2</v>
      </c>
      <c r="M530" s="3">
        <v>0.66037464141845703</v>
      </c>
      <c r="N530" s="3">
        <v>0.59011340141296398</v>
      </c>
      <c r="O530" s="3">
        <v>353275.46875</v>
      </c>
      <c r="P530" s="3">
        <v>470070.4375</v>
      </c>
      <c r="Q530" s="3">
        <v>0.993563532829285</v>
      </c>
      <c r="R530" s="3">
        <v>0.40790370106697099</v>
      </c>
      <c r="S530" s="3">
        <v>0.33930078148841902</v>
      </c>
      <c r="T530" s="3">
        <v>0.389393210411072</v>
      </c>
      <c r="U530" s="3">
        <v>0.38675227761268599</v>
      </c>
      <c r="W530" t="s">
        <v>50</v>
      </c>
      <c r="X530" t="s">
        <v>51</v>
      </c>
      <c r="Y530" t="s">
        <v>52</v>
      </c>
      <c r="Z530" t="s">
        <v>53</v>
      </c>
      <c r="AA530" t="s">
        <v>53</v>
      </c>
      <c r="AC530" s="2">
        <v>0.59806383974745703</v>
      </c>
      <c r="AD530" s="2">
        <v>0.51685088872909601</v>
      </c>
      <c r="AE530" s="2">
        <v>0.18136093020439101</v>
      </c>
      <c r="AF530" s="2">
        <v>0.22804772853851299</v>
      </c>
      <c r="AG530" s="2">
        <v>0.20286105573177299</v>
      </c>
      <c r="AH530" s="2">
        <v>-0.113085769116879</v>
      </c>
      <c r="AI530" s="2">
        <v>-1.6034839674830399E-2</v>
      </c>
      <c r="AJ530" s="2">
        <v>0.401962848676928</v>
      </c>
      <c r="AK530" s="2">
        <v>0.59513634896788303</v>
      </c>
      <c r="AL530" s="2">
        <v>0.197282502796405</v>
      </c>
      <c r="AM530" s="2">
        <v>0.47514688968658497</v>
      </c>
      <c r="AN530" s="2">
        <v>0.56695210933685303</v>
      </c>
      <c r="AO530" s="2">
        <v>0.44390642642974898</v>
      </c>
      <c r="AP530" s="2">
        <v>0.73898279666900601</v>
      </c>
    </row>
    <row r="531" spans="1:42" x14ac:dyDescent="0.3">
      <c r="A531" t="s">
        <v>213</v>
      </c>
      <c r="B531" s="3">
        <v>2016</v>
      </c>
      <c r="C531" s="3">
        <v>18.363600000000002</v>
      </c>
      <c r="D531" s="3">
        <v>1976.35</v>
      </c>
      <c r="E531" t="s">
        <v>214</v>
      </c>
      <c r="G531" s="3">
        <v>370817.75</v>
      </c>
      <c r="H531" s="3">
        <v>455355.59375</v>
      </c>
      <c r="I531" s="3">
        <v>484406.65625</v>
      </c>
      <c r="J531" s="3">
        <v>475861.34375</v>
      </c>
      <c r="K531" s="3">
        <v>1048807.125</v>
      </c>
      <c r="L531" s="3">
        <v>1.87413971871138E-2</v>
      </c>
      <c r="M531" s="3">
        <v>0.66990643739700295</v>
      </c>
      <c r="N531" s="3">
        <v>0.61976373195648204</v>
      </c>
      <c r="O531" s="3">
        <v>358297.40625</v>
      </c>
      <c r="P531" s="3">
        <v>478247.46875</v>
      </c>
      <c r="Q531" s="3">
        <v>0.97975873947143599</v>
      </c>
      <c r="R531" s="3">
        <v>0.37978035211563099</v>
      </c>
      <c r="S531" s="3">
        <v>0.244983300566673</v>
      </c>
      <c r="T531" s="3">
        <v>0.28339478373527499</v>
      </c>
      <c r="U531" s="3">
        <v>0.28848388791084301</v>
      </c>
      <c r="W531" t="s">
        <v>50</v>
      </c>
      <c r="X531" t="s">
        <v>51</v>
      </c>
      <c r="Y531" t="s">
        <v>52</v>
      </c>
      <c r="Z531" t="s">
        <v>53</v>
      </c>
      <c r="AA531" t="s">
        <v>53</v>
      </c>
      <c r="AC531" s="2">
        <v>0.55670001916058698</v>
      </c>
      <c r="AD531" s="2">
        <v>0.53432643413543701</v>
      </c>
      <c r="AE531" s="2">
        <v>0.17765225470066101</v>
      </c>
      <c r="AF531" s="2">
        <v>0.24492947757244099</v>
      </c>
      <c r="AG531" s="2">
        <v>0.16041088104248</v>
      </c>
      <c r="AH531" s="2">
        <v>-9.2787690460681901E-2</v>
      </c>
      <c r="AI531" s="2">
        <v>-2.4531381204724301E-2</v>
      </c>
      <c r="AJ531" s="2">
        <v>0.29448580922383599</v>
      </c>
      <c r="AK531" s="2">
        <v>0.45188328044266801</v>
      </c>
      <c r="AL531" s="2">
        <v>0.13699100988504501</v>
      </c>
      <c r="AM531" s="2">
        <v>0.481772780418396</v>
      </c>
      <c r="AN531" s="2">
        <v>0.57015752792358398</v>
      </c>
      <c r="AO531" s="2">
        <v>0.33033567667007402</v>
      </c>
      <c r="AP531" s="2">
        <v>0.58804261684417702</v>
      </c>
    </row>
    <row r="532" spans="1:42" x14ac:dyDescent="0.3">
      <c r="A532" t="s">
        <v>213</v>
      </c>
      <c r="B532" s="3">
        <v>2017</v>
      </c>
      <c r="C532" s="3">
        <v>18.651931000000001</v>
      </c>
      <c r="D532" s="3">
        <v>1975.99</v>
      </c>
      <c r="E532" t="s">
        <v>214</v>
      </c>
      <c r="G532" s="3">
        <v>388778.40625</v>
      </c>
      <c r="H532" s="3">
        <v>473527.5625</v>
      </c>
      <c r="I532" s="3">
        <v>529220.5625</v>
      </c>
      <c r="J532" s="3">
        <v>517173.875</v>
      </c>
      <c r="K532" s="3">
        <v>1059294.25</v>
      </c>
      <c r="L532" s="3">
        <v>1.8627554178237901E-2</v>
      </c>
      <c r="M532" s="3">
        <v>0.715775966644287</v>
      </c>
      <c r="N532" s="3">
        <v>0.63113182783126798</v>
      </c>
      <c r="O532" s="3">
        <v>373186.1875</v>
      </c>
      <c r="P532" s="3">
        <v>497228.5</v>
      </c>
      <c r="Q532" s="3">
        <v>1.01620805263519</v>
      </c>
      <c r="R532" s="3">
        <v>0.37903431057929998</v>
      </c>
      <c r="S532" s="3">
        <v>0.270833879709244</v>
      </c>
      <c r="T532" s="3">
        <v>0.31519141793250999</v>
      </c>
      <c r="U532" s="3">
        <v>0.322533279657364</v>
      </c>
      <c r="W532" t="s">
        <v>51</v>
      </c>
      <c r="X532" t="s">
        <v>51</v>
      </c>
      <c r="Y532" t="s">
        <v>52</v>
      </c>
      <c r="Z532" t="s">
        <v>53</v>
      </c>
      <c r="AA532" t="s">
        <v>53</v>
      </c>
      <c r="AC532" s="2">
        <v>0.54047546368480504</v>
      </c>
      <c r="AD532" s="2">
        <v>0.50832182168960605</v>
      </c>
      <c r="AE532" s="2">
        <v>0.163869768381119</v>
      </c>
      <c r="AF532" s="2">
        <v>0.243414506316185</v>
      </c>
      <c r="AG532" s="2">
        <v>0.193035364151001</v>
      </c>
      <c r="AH532" s="2">
        <v>-0.100551724433899</v>
      </c>
      <c r="AI532" s="2">
        <v>-8.0897500738501601E-3</v>
      </c>
      <c r="AJ532" s="2">
        <v>0.33367394989521099</v>
      </c>
      <c r="AK532" s="2">
        <v>0.51867729337772195</v>
      </c>
      <c r="AL532" s="2">
        <v>0.13960515163895301</v>
      </c>
      <c r="AM532" s="2">
        <v>0.48583945631980902</v>
      </c>
      <c r="AN532" s="2">
        <v>0.56918865442276001</v>
      </c>
      <c r="AO532" s="2">
        <v>0.37395036220550498</v>
      </c>
      <c r="AP532" s="2">
        <v>0.69377136230468806</v>
      </c>
    </row>
    <row r="533" spans="1:42" x14ac:dyDescent="0.3">
      <c r="A533" t="s">
        <v>213</v>
      </c>
      <c r="B533" s="3">
        <v>2018</v>
      </c>
      <c r="C533" s="3">
        <v>18.932727</v>
      </c>
      <c r="D533" s="3">
        <v>1975.5</v>
      </c>
      <c r="E533" t="s">
        <v>214</v>
      </c>
      <c r="G533" s="3">
        <v>357612.96875</v>
      </c>
      <c r="H533" s="3">
        <v>454552.625</v>
      </c>
      <c r="I533" s="3">
        <v>530539.25</v>
      </c>
      <c r="J533" s="3">
        <v>512924.1875</v>
      </c>
      <c r="K533" s="3">
        <v>1261122.5</v>
      </c>
      <c r="L533" s="3">
        <v>2.1607881411910099E-2</v>
      </c>
      <c r="M533" s="3">
        <v>0.63552933931350697</v>
      </c>
      <c r="N533" s="3">
        <v>0.54214125871658303</v>
      </c>
      <c r="O533" s="3">
        <v>383321.625</v>
      </c>
      <c r="P533" s="3">
        <v>511017.8125</v>
      </c>
      <c r="Q533" s="3">
        <v>1.0220309495925901</v>
      </c>
      <c r="R533" s="3">
        <v>0.37878918647766102</v>
      </c>
      <c r="S533" s="3">
        <v>0.30299764871597301</v>
      </c>
      <c r="T533" s="3">
        <v>0.338033407926559</v>
      </c>
      <c r="U533" s="3">
        <v>0.34964227676391602</v>
      </c>
      <c r="W533" t="s">
        <v>50</v>
      </c>
      <c r="X533" t="s">
        <v>51</v>
      </c>
      <c r="Y533" t="s">
        <v>52</v>
      </c>
      <c r="Z533" t="s">
        <v>53</v>
      </c>
      <c r="AA533" t="s">
        <v>53</v>
      </c>
      <c r="AC533" s="2">
        <v>0.54408820099730804</v>
      </c>
      <c r="AD533" s="2">
        <v>0.53819769620895397</v>
      </c>
      <c r="AE533" s="2">
        <v>0.18899413943290699</v>
      </c>
      <c r="AF533" s="2">
        <v>0.15900661051273299</v>
      </c>
      <c r="AG533" s="2">
        <v>0.23916234076023099</v>
      </c>
      <c r="AH533" s="2">
        <v>-0.11552132666110999</v>
      </c>
      <c r="AI533" s="2">
        <v>-9.8394686356186901E-3</v>
      </c>
      <c r="AJ533" s="2">
        <v>0.33845710065145401</v>
      </c>
      <c r="AK533" s="2">
        <v>0.46728108366182403</v>
      </c>
      <c r="AL533" s="2">
        <v>0.18297626800286099</v>
      </c>
      <c r="AM533" s="2">
        <v>0.498149394989014</v>
      </c>
      <c r="AN533" s="2">
        <v>0.56803941726684604</v>
      </c>
      <c r="AO533" s="2">
        <v>0.32342451810836798</v>
      </c>
      <c r="AP533" s="2">
        <v>0.60963463783264205</v>
      </c>
    </row>
    <row r="534" spans="1:42" x14ac:dyDescent="0.3">
      <c r="A534" t="s">
        <v>213</v>
      </c>
      <c r="B534" s="3">
        <v>2019</v>
      </c>
      <c r="C534" s="3">
        <v>19.209555000000002</v>
      </c>
      <c r="D534" s="3">
        <v>1973.42</v>
      </c>
      <c r="E534" t="s">
        <v>214</v>
      </c>
      <c r="G534" s="3">
        <v>422585.1875</v>
      </c>
      <c r="H534" s="3">
        <v>542975.5</v>
      </c>
      <c r="I534" s="3">
        <v>609820.375</v>
      </c>
      <c r="J534" s="3">
        <v>593499.0625</v>
      </c>
      <c r="K534" s="3">
        <v>1508499.5</v>
      </c>
      <c r="L534" s="3">
        <v>2.5354433804750401E-2</v>
      </c>
      <c r="M534" s="3">
        <v>0.65786945819854703</v>
      </c>
      <c r="N534" s="3">
        <v>0.57916259765625</v>
      </c>
      <c r="O534" s="3">
        <v>411637.46875</v>
      </c>
      <c r="P534" s="3">
        <v>556072.125</v>
      </c>
      <c r="Q534" s="3">
        <v>1.0320791006088299</v>
      </c>
      <c r="R534" s="3">
        <v>0.38178500533103898</v>
      </c>
      <c r="S534" s="3">
        <v>0.26400279998779302</v>
      </c>
      <c r="T534" s="3">
        <v>0.297902792692184</v>
      </c>
      <c r="U534" s="3">
        <v>0.30609512329101601</v>
      </c>
      <c r="W534" t="s">
        <v>50</v>
      </c>
      <c r="X534" t="s">
        <v>54</v>
      </c>
      <c r="Y534" t="s">
        <v>52</v>
      </c>
      <c r="Z534" t="s">
        <v>53</v>
      </c>
      <c r="AA534" t="s">
        <v>53</v>
      </c>
      <c r="AC534" s="2">
        <v>0.55188625590205498</v>
      </c>
      <c r="AD534" s="2">
        <v>0.52303808927536</v>
      </c>
      <c r="AE534" s="2">
        <v>0.202848315238953</v>
      </c>
      <c r="AF534" s="2">
        <v>0.18898522853851299</v>
      </c>
      <c r="AG534" s="2">
        <v>0.20030435919761699</v>
      </c>
      <c r="AH534" s="2">
        <v>-0.118186973035336</v>
      </c>
      <c r="AI534" s="2">
        <v>3.01097985357046E-3</v>
      </c>
      <c r="AJ534" s="2">
        <v>0.30594910642738599</v>
      </c>
      <c r="AK534" s="2">
        <v>0.41689608384342403</v>
      </c>
      <c r="AL534" s="2">
        <v>0.14791157989904999</v>
      </c>
      <c r="AM534" s="2">
        <v>0.48555454611778298</v>
      </c>
      <c r="AN534" s="2">
        <v>0.54682844877242998</v>
      </c>
      <c r="AO534" s="2">
        <v>0.27754735946655301</v>
      </c>
      <c r="AP534" s="2">
        <v>0.50382351875305198</v>
      </c>
    </row>
    <row r="535" spans="1:42" x14ac:dyDescent="0.3">
      <c r="A535" t="s">
        <v>213</v>
      </c>
      <c r="B535" s="3">
        <v>2020</v>
      </c>
      <c r="C535" s="3">
        <v>19.482116999999999</v>
      </c>
      <c r="D535" s="3">
        <v>1862.37</v>
      </c>
      <c r="E535" t="s">
        <v>214</v>
      </c>
      <c r="G535" s="3">
        <v>439877.65625</v>
      </c>
      <c r="H535" s="3">
        <v>569609.8125</v>
      </c>
      <c r="I535" s="3">
        <v>602424.75</v>
      </c>
      <c r="J535" s="3">
        <v>597130.875</v>
      </c>
      <c r="K535" s="3">
        <v>1791909.875</v>
      </c>
      <c r="L535" s="3">
        <v>2.8748152777552601E-2</v>
      </c>
      <c r="M535" s="3">
        <v>0.62402170896530196</v>
      </c>
      <c r="N535" s="3">
        <v>0.57104587554931596</v>
      </c>
      <c r="O535" s="3">
        <v>417815.78125</v>
      </c>
      <c r="P535" s="3">
        <v>560034.25</v>
      </c>
      <c r="Q535" s="3">
        <v>1.00289726257324</v>
      </c>
      <c r="R535" s="3">
        <v>0.37850049138069197</v>
      </c>
      <c r="S535" s="3">
        <v>0.255706787109375</v>
      </c>
      <c r="T535" s="3">
        <v>0.283989608287811</v>
      </c>
      <c r="U535" s="3">
        <v>0.286507338285446</v>
      </c>
      <c r="W535" t="s">
        <v>50</v>
      </c>
      <c r="X535" t="s">
        <v>54</v>
      </c>
      <c r="Y535" t="s">
        <v>52</v>
      </c>
      <c r="Z535" t="s">
        <v>53</v>
      </c>
      <c r="AA535" t="s">
        <v>53</v>
      </c>
      <c r="AC535" s="2">
        <v>0.56040041600206303</v>
      </c>
      <c r="AD535" s="2">
        <v>0.51327216625213601</v>
      </c>
      <c r="AE535" s="2">
        <v>0.21725916862487801</v>
      </c>
      <c r="AF535" s="2">
        <v>0.22337983548641199</v>
      </c>
      <c r="AG535" s="2">
        <v>0.166309833526611</v>
      </c>
      <c r="AH535" s="2">
        <v>-0.10534431040287</v>
      </c>
      <c r="AI535" s="2">
        <v>-1.4876749366521801E-2</v>
      </c>
      <c r="AJ535" s="2">
        <v>0.29586649156412798</v>
      </c>
      <c r="AK535" s="2">
        <v>0.37988696579090098</v>
      </c>
      <c r="AL535" s="2">
        <v>0.16342965064312601</v>
      </c>
      <c r="AM535" s="2">
        <v>0.45860067009925798</v>
      </c>
      <c r="AN535" s="2">
        <v>0.53539705276489302</v>
      </c>
      <c r="AO535" s="2">
        <v>0.24035133421421101</v>
      </c>
      <c r="AP535" s="2">
        <v>0.43919873237609902</v>
      </c>
    </row>
    <row r="536" spans="1:42" x14ac:dyDescent="0.3">
      <c r="A536" t="s">
        <v>215</v>
      </c>
      <c r="B536" s="3">
        <v>2015</v>
      </c>
      <c r="C536" s="3">
        <v>47.088526000000002</v>
      </c>
      <c r="D536" s="3">
        <v>2043.9</v>
      </c>
      <c r="E536" t="s">
        <v>216</v>
      </c>
      <c r="G536" s="3">
        <v>177500.5</v>
      </c>
      <c r="H536" s="3">
        <v>214921.40625</v>
      </c>
      <c r="I536" s="3">
        <v>194769.265625</v>
      </c>
      <c r="J536" s="3">
        <v>204527.140625</v>
      </c>
      <c r="K536" s="3">
        <v>505263.4375</v>
      </c>
      <c r="L536" s="3">
        <v>5.5562751367688196E-3</v>
      </c>
      <c r="M536" s="3">
        <v>0.42957761883735701</v>
      </c>
      <c r="N536" s="3">
        <v>0.43549484014511097</v>
      </c>
      <c r="O536" s="3">
        <v>200624.265625</v>
      </c>
      <c r="P536" s="3">
        <v>237850.890625</v>
      </c>
      <c r="Q536" s="3">
        <v>0.94945889711380005</v>
      </c>
      <c r="R536" s="3">
        <v>0.53472292423248302</v>
      </c>
      <c r="S536" s="3">
        <v>0.34860008955001798</v>
      </c>
      <c r="T536" s="3">
        <v>0.36001855134964</v>
      </c>
      <c r="U536" s="3">
        <v>0.34284225106239302</v>
      </c>
      <c r="W536" t="s">
        <v>50</v>
      </c>
      <c r="X536" t="s">
        <v>51</v>
      </c>
      <c r="Y536" t="s">
        <v>52</v>
      </c>
      <c r="Z536" t="s">
        <v>53</v>
      </c>
      <c r="AA536" t="s">
        <v>53</v>
      </c>
      <c r="AC536" s="2">
        <v>0.37097870344809503</v>
      </c>
      <c r="AD536" s="2">
        <v>0.74537622928619396</v>
      </c>
      <c r="AE536" s="2">
        <v>0.18296305835247001</v>
      </c>
      <c r="AF536" s="2">
        <v>0.122481718659401</v>
      </c>
      <c r="AG536" s="2">
        <v>5.2474487572908401E-2</v>
      </c>
      <c r="AH536" s="2">
        <v>-0.14459681510925301</v>
      </c>
      <c r="AI536" s="2">
        <v>4.1301347315311397E-2</v>
      </c>
      <c r="AJ536" s="2">
        <v>0.34734534533377398</v>
      </c>
      <c r="AK536" s="2">
        <v>0.41418014891125698</v>
      </c>
      <c r="AL536" s="2">
        <v>0.35623598856310701</v>
      </c>
      <c r="AM536" s="2">
        <v>0.55036985874176003</v>
      </c>
      <c r="AN536" s="2">
        <v>0.54297882318496704</v>
      </c>
      <c r="AO536" s="2">
        <v>0.24843922257423401</v>
      </c>
      <c r="AP536" s="2">
        <v>0.78450399637222301</v>
      </c>
    </row>
    <row r="537" spans="1:42" x14ac:dyDescent="0.3">
      <c r="A537" t="s">
        <v>215</v>
      </c>
      <c r="B537" s="3">
        <v>2016</v>
      </c>
      <c r="C537" s="3">
        <v>48.139687000000002</v>
      </c>
      <c r="D537" s="3">
        <v>2046.79</v>
      </c>
      <c r="E537" t="s">
        <v>216</v>
      </c>
      <c r="G537" s="3">
        <v>191142.359375</v>
      </c>
      <c r="H537" s="3">
        <v>227082.171875</v>
      </c>
      <c r="I537" s="3">
        <v>209552.03125</v>
      </c>
      <c r="J537" s="3">
        <v>217440.78125</v>
      </c>
      <c r="K537" s="3">
        <v>553927.1875</v>
      </c>
      <c r="L537" s="3">
        <v>5.9019299224019103E-3</v>
      </c>
      <c r="M537" s="3">
        <v>0.43597564101219199</v>
      </c>
      <c r="N537" s="3">
        <v>0.44019615650177002</v>
      </c>
      <c r="O537" s="3">
        <v>209885.171875</v>
      </c>
      <c r="P537" s="3">
        <v>244863.609375</v>
      </c>
      <c r="Q537" s="3">
        <v>0.95346945524215698</v>
      </c>
      <c r="R537" s="3">
        <v>0.52560746669769298</v>
      </c>
      <c r="S537" s="3">
        <v>0.34842231869697599</v>
      </c>
      <c r="T537" s="3">
        <v>0.35702416300773598</v>
      </c>
      <c r="U537" s="3">
        <v>0.34407132863998402</v>
      </c>
      <c r="W537" t="s">
        <v>50</v>
      </c>
      <c r="X537" t="s">
        <v>51</v>
      </c>
      <c r="Y537" t="s">
        <v>52</v>
      </c>
      <c r="Z537" t="s">
        <v>53</v>
      </c>
      <c r="AA537" t="s">
        <v>53</v>
      </c>
      <c r="AC537" s="2">
        <v>0.32877659269764098</v>
      </c>
      <c r="AD537" s="2">
        <v>0.75269335508346602</v>
      </c>
      <c r="AE537" s="2">
        <v>0.16528555750846899</v>
      </c>
      <c r="AF537" s="2">
        <v>0.126361474394798</v>
      </c>
      <c r="AG537" s="2">
        <v>4.8254821449518197E-2</v>
      </c>
      <c r="AH537" s="2">
        <v>-0.121428824961185</v>
      </c>
      <c r="AI537" s="2">
        <v>2.88336090743542E-2</v>
      </c>
      <c r="AJ537" s="2">
        <v>0.34927332574513797</v>
      </c>
      <c r="AK537" s="2">
        <v>0.40277219685682297</v>
      </c>
      <c r="AL537" s="2">
        <v>0.34335309407148001</v>
      </c>
      <c r="AM537" s="2">
        <v>0.54300916194915805</v>
      </c>
      <c r="AN537" s="2">
        <v>0.53452736139297496</v>
      </c>
      <c r="AO537" s="2">
        <v>0.23781466484069799</v>
      </c>
      <c r="AP537" s="2">
        <v>0.77838879823684703</v>
      </c>
    </row>
    <row r="538" spans="1:42" x14ac:dyDescent="0.3">
      <c r="A538" t="s">
        <v>215</v>
      </c>
      <c r="B538" s="3">
        <v>2017</v>
      </c>
      <c r="C538" s="3">
        <v>49.197766000000001</v>
      </c>
      <c r="D538" s="3">
        <v>2042.29</v>
      </c>
      <c r="E538" t="s">
        <v>216</v>
      </c>
      <c r="G538" s="3">
        <v>203982.6875</v>
      </c>
      <c r="H538" s="3">
        <v>247815.3125</v>
      </c>
      <c r="I538" s="3">
        <v>223435.125</v>
      </c>
      <c r="J538" s="3">
        <v>231501.09375</v>
      </c>
      <c r="K538" s="3">
        <v>620154.0625</v>
      </c>
      <c r="L538" s="3">
        <v>6.4389607869088702E-3</v>
      </c>
      <c r="M538" s="3">
        <v>0.43171915411949202</v>
      </c>
      <c r="N538" s="3">
        <v>0.44505190849304199</v>
      </c>
      <c r="O538" s="3">
        <v>220576.15625</v>
      </c>
      <c r="P538" s="3">
        <v>260335.890625</v>
      </c>
      <c r="Q538" s="3">
        <v>0.95540636777877797</v>
      </c>
      <c r="R538" s="3">
        <v>0.53709512948989901</v>
      </c>
      <c r="S538" s="3">
        <v>0.36295405030250599</v>
      </c>
      <c r="T538" s="3">
        <v>0.36716032028198198</v>
      </c>
      <c r="U538" s="3">
        <v>0.35436770319938699</v>
      </c>
      <c r="W538" t="s">
        <v>51</v>
      </c>
      <c r="X538" t="s">
        <v>51</v>
      </c>
      <c r="Y538" t="s">
        <v>52</v>
      </c>
      <c r="Z538" t="s">
        <v>53</v>
      </c>
      <c r="AA538" t="s">
        <v>53</v>
      </c>
      <c r="AC538" s="2">
        <v>0.373563175645029</v>
      </c>
      <c r="AD538" s="2">
        <v>0.75268501043319702</v>
      </c>
      <c r="AE538" s="2">
        <v>0.18934090435504899</v>
      </c>
      <c r="AF538" s="2">
        <v>0.12844555079937001</v>
      </c>
      <c r="AG538" s="2">
        <v>4.4163309037685401E-2</v>
      </c>
      <c r="AH538" s="2">
        <v>-0.13890863955020899</v>
      </c>
      <c r="AI538" s="2">
        <v>2.4273831397295002E-2</v>
      </c>
      <c r="AJ538" s="2">
        <v>0.36681794445863802</v>
      </c>
      <c r="AK538" s="2">
        <v>0.38673497189862099</v>
      </c>
      <c r="AL538" s="2">
        <v>0.34031177169092403</v>
      </c>
      <c r="AM538" s="2">
        <v>0.56215733289718595</v>
      </c>
      <c r="AN538" s="2">
        <v>0.51901412010192904</v>
      </c>
      <c r="AO538" s="2">
        <v>0.23147197067737599</v>
      </c>
      <c r="AP538" s="2">
        <v>0.73582845926284801</v>
      </c>
    </row>
    <row r="539" spans="1:42" x14ac:dyDescent="0.3">
      <c r="A539" t="s">
        <v>215</v>
      </c>
      <c r="B539" s="3">
        <v>2018</v>
      </c>
      <c r="C539" s="3">
        <v>50.207107000000001</v>
      </c>
      <c r="D539" s="3">
        <v>2038.86</v>
      </c>
      <c r="E539" t="s">
        <v>216</v>
      </c>
      <c r="G539" s="3">
        <v>220134.390625</v>
      </c>
      <c r="H539" s="3">
        <v>262223.8125</v>
      </c>
      <c r="I539" s="3">
        <v>240953.4375</v>
      </c>
      <c r="J539" s="3">
        <v>247321.453125</v>
      </c>
      <c r="K539" s="3">
        <v>628860.5625</v>
      </c>
      <c r="L539" s="3">
        <v>6.3928617164492598E-3</v>
      </c>
      <c r="M539" s="3">
        <v>0.45465043187141402</v>
      </c>
      <c r="N539" s="3">
        <v>0.46401658654213002</v>
      </c>
      <c r="O539" s="3">
        <v>231685.375</v>
      </c>
      <c r="P539" s="3">
        <v>269844.6875</v>
      </c>
      <c r="Q539" s="3">
        <v>0.98315906524658203</v>
      </c>
      <c r="R539" s="3">
        <v>0.53448814153671298</v>
      </c>
      <c r="S539" s="3">
        <v>0.37466675043106101</v>
      </c>
      <c r="T539" s="3">
        <v>0.38265889883041398</v>
      </c>
      <c r="U539" s="3">
        <v>0.37280625104904203</v>
      </c>
      <c r="W539" t="s">
        <v>50</v>
      </c>
      <c r="X539" t="s">
        <v>51</v>
      </c>
      <c r="Y539" t="s">
        <v>52</v>
      </c>
      <c r="Z539" t="s">
        <v>53</v>
      </c>
      <c r="AA539" t="s">
        <v>53</v>
      </c>
      <c r="AC539" s="2">
        <v>0.36070844933396201</v>
      </c>
      <c r="AD539" s="2">
        <v>0.76540845632553101</v>
      </c>
      <c r="AE539" s="2">
        <v>0.17018102109432201</v>
      </c>
      <c r="AF539" s="2">
        <v>0.12466551363468199</v>
      </c>
      <c r="AG539" s="2">
        <v>4.1945103555917698E-2</v>
      </c>
      <c r="AH539" s="2">
        <v>-0.136765167117119</v>
      </c>
      <c r="AI539" s="2">
        <v>3.4565091133117697E-2</v>
      </c>
      <c r="AJ539" s="2">
        <v>0.37554386203602702</v>
      </c>
      <c r="AK539" s="2">
        <v>0.42445911172832701</v>
      </c>
      <c r="AL539" s="2">
        <v>0.36928162469387199</v>
      </c>
      <c r="AM539" s="2">
        <v>0.58323359489440896</v>
      </c>
      <c r="AN539" s="2">
        <v>0.51372480392456099</v>
      </c>
      <c r="AO539" s="2">
        <v>0.26016116142272999</v>
      </c>
      <c r="AP539" s="2">
        <v>0.79386401176452603</v>
      </c>
    </row>
    <row r="540" spans="1:42" x14ac:dyDescent="0.3">
      <c r="A540" t="s">
        <v>215</v>
      </c>
      <c r="B540" s="3">
        <v>2019</v>
      </c>
      <c r="C540" s="3">
        <v>51.202826999999999</v>
      </c>
      <c r="D540" s="3">
        <v>2034.79</v>
      </c>
      <c r="E540" t="s">
        <v>216</v>
      </c>
      <c r="G540" s="3">
        <v>239300.578125</v>
      </c>
      <c r="H540" s="3">
        <v>282605.96875</v>
      </c>
      <c r="I540" s="3">
        <v>259425.515625</v>
      </c>
      <c r="J540" s="3">
        <v>264962.21875</v>
      </c>
      <c r="K540" s="3">
        <v>637607.1875</v>
      </c>
      <c r="L540" s="3">
        <v>6.2502156943082801E-3</v>
      </c>
      <c r="M540" s="3">
        <v>0.48182034492492698</v>
      </c>
      <c r="N540" s="3">
        <v>0.49451899528503401</v>
      </c>
      <c r="O540" s="3">
        <v>243470.765625</v>
      </c>
      <c r="P540" s="3">
        <v>283650.03125</v>
      </c>
      <c r="Q540" s="3">
        <v>1.0137472152710001</v>
      </c>
      <c r="R540" s="3">
        <v>0.54017519950866699</v>
      </c>
      <c r="S540" s="3">
        <v>0.37581405043602001</v>
      </c>
      <c r="T540" s="3">
        <v>0.38692584633827198</v>
      </c>
      <c r="U540" s="3">
        <v>0.37884053587913502</v>
      </c>
      <c r="W540" t="s">
        <v>50</v>
      </c>
      <c r="X540" t="s">
        <v>54</v>
      </c>
      <c r="Y540" t="s">
        <v>52</v>
      </c>
      <c r="Z540" t="s">
        <v>53</v>
      </c>
      <c r="AA540" t="s">
        <v>53</v>
      </c>
      <c r="AC540" s="2">
        <v>0.36259150261789802</v>
      </c>
      <c r="AD540" s="2">
        <v>0.78572124242782604</v>
      </c>
      <c r="AE540" s="2">
        <v>0.16343984007835399</v>
      </c>
      <c r="AF540" s="2">
        <v>0.117428533732891</v>
      </c>
      <c r="AG540" s="2">
        <v>3.7285950034856803E-2</v>
      </c>
      <c r="AH540" s="2">
        <v>-0.12783133983612099</v>
      </c>
      <c r="AI540" s="2">
        <v>2.3955728858709301E-2</v>
      </c>
      <c r="AJ540" s="2">
        <v>0.37329834542156198</v>
      </c>
      <c r="AK540" s="2">
        <v>0.44832834421288797</v>
      </c>
      <c r="AL540" s="2">
        <v>0.39264667121405999</v>
      </c>
      <c r="AM540" s="2">
        <v>0.59075194597244296</v>
      </c>
      <c r="AN540" s="2">
        <v>0.508112192153931</v>
      </c>
      <c r="AO540" s="2">
        <v>0.28089427947998002</v>
      </c>
      <c r="AP540" s="2">
        <v>0.83995139598846402</v>
      </c>
    </row>
    <row r="541" spans="1:42" x14ac:dyDescent="0.3">
      <c r="A541" t="s">
        <v>215</v>
      </c>
      <c r="B541" s="3">
        <v>2020</v>
      </c>
      <c r="C541" s="3">
        <v>52.217334000000001</v>
      </c>
      <c r="D541" s="3">
        <v>1953.58</v>
      </c>
      <c r="E541" t="s">
        <v>216</v>
      </c>
      <c r="G541" s="3">
        <v>242224.515625</v>
      </c>
      <c r="H541" s="3">
        <v>285211.15625</v>
      </c>
      <c r="I541" s="3">
        <v>262701.3125</v>
      </c>
      <c r="J541" s="3">
        <v>267001.5</v>
      </c>
      <c r="K541" s="3">
        <v>646701.8125</v>
      </c>
      <c r="L541" s="3">
        <v>6.0067232698202098E-3</v>
      </c>
      <c r="M541" s="3">
        <v>0.48894193768501298</v>
      </c>
      <c r="N541" s="3">
        <v>0.50104171037673995</v>
      </c>
      <c r="O541" s="3">
        <v>241288.8125</v>
      </c>
      <c r="P541" s="3">
        <v>282675.28125</v>
      </c>
      <c r="Q541" s="3">
        <v>0.99905604124069203</v>
      </c>
      <c r="R541" s="3">
        <v>0.54017519950866699</v>
      </c>
      <c r="S541" s="3">
        <v>0.36949875950813299</v>
      </c>
      <c r="T541" s="3">
        <v>0.383163332939148</v>
      </c>
      <c r="U541" s="3">
        <v>0.37699234485626198</v>
      </c>
      <c r="W541" t="s">
        <v>50</v>
      </c>
      <c r="X541" t="s">
        <v>54</v>
      </c>
      <c r="Y541" t="s">
        <v>52</v>
      </c>
      <c r="Z541" t="s">
        <v>53</v>
      </c>
      <c r="AA541" t="s">
        <v>53</v>
      </c>
      <c r="AC541" s="2">
        <v>0.35852393437322599</v>
      </c>
      <c r="AD541" s="2">
        <v>0.79191517829894997</v>
      </c>
      <c r="AE541" s="2">
        <v>0.16099776327609999</v>
      </c>
      <c r="AF541" s="2">
        <v>0.11528766900301</v>
      </c>
      <c r="AG541" s="2">
        <v>3.1455431133508703E-2</v>
      </c>
      <c r="AH541" s="2">
        <v>-0.11330533027648899</v>
      </c>
      <c r="AI541" s="2">
        <v>1.36492401361465E-2</v>
      </c>
      <c r="AJ541" s="2">
        <v>0.363890607684277</v>
      </c>
      <c r="AK541" s="2">
        <v>0.46016151319091397</v>
      </c>
      <c r="AL541" s="2">
        <v>0.40802133738012802</v>
      </c>
      <c r="AM541" s="2">
        <v>0.58783531188964799</v>
      </c>
      <c r="AN541" s="2">
        <v>0.49370387196540799</v>
      </c>
      <c r="AO541" s="2">
        <v>0.29059842228889499</v>
      </c>
      <c r="AP541" s="2">
        <v>0.91501009464263905</v>
      </c>
    </row>
    <row r="542" spans="1:42" x14ac:dyDescent="0.3">
      <c r="A542" t="s">
        <v>217</v>
      </c>
      <c r="B542" s="3">
        <v>2015</v>
      </c>
      <c r="C542" s="3">
        <v>6.0018820000000002</v>
      </c>
      <c r="D542" s="3">
        <v>1699.43</v>
      </c>
      <c r="E542" t="s">
        <v>218</v>
      </c>
      <c r="G542" s="3">
        <v>32542.54296875</v>
      </c>
      <c r="H542" s="3">
        <v>37156.1796875</v>
      </c>
      <c r="I542" s="3">
        <v>26697.21484375</v>
      </c>
      <c r="J542" s="3">
        <v>32612.30859375</v>
      </c>
      <c r="K542" s="3">
        <v>73874.8671875</v>
      </c>
      <c r="L542" s="3">
        <v>8.5777591448277203E-4</v>
      </c>
      <c r="M542" s="3">
        <v>0.45670357346534701</v>
      </c>
      <c r="N542" s="3">
        <v>0.50199127197265603</v>
      </c>
      <c r="O542" s="3">
        <v>31732.201171875</v>
      </c>
      <c r="P542" s="3">
        <v>38795.98828125</v>
      </c>
      <c r="Q542" s="3">
        <v>1.09295678138733</v>
      </c>
      <c r="R542" s="3">
        <v>0.45070365071296697</v>
      </c>
      <c r="S542" s="3">
        <v>0.219282001256943</v>
      </c>
      <c r="T542" s="3">
        <v>0.252904772758484</v>
      </c>
      <c r="U542" s="3">
        <v>0.207033902406693</v>
      </c>
      <c r="W542" t="s">
        <v>50</v>
      </c>
      <c r="X542" t="s">
        <v>51</v>
      </c>
      <c r="Y542" t="s">
        <v>52</v>
      </c>
      <c r="Z542" t="s">
        <v>53</v>
      </c>
      <c r="AA542" t="s">
        <v>53</v>
      </c>
      <c r="AC542" s="2">
        <v>0.38473556093969002</v>
      </c>
      <c r="AD542" s="2">
        <v>0.68905121088027999</v>
      </c>
      <c r="AE542" s="2">
        <v>0.141469195485115</v>
      </c>
      <c r="AF542" s="2">
        <v>0.30880960822105402</v>
      </c>
      <c r="AG542" s="2">
        <v>7.7839680016040802E-2</v>
      </c>
      <c r="AH542" s="2">
        <v>-0.21442870795726801</v>
      </c>
      <c r="AI542" s="2">
        <v>-2.7409303002059499E-3</v>
      </c>
      <c r="AJ542" s="2">
        <v>0.26598017875590402</v>
      </c>
      <c r="AK542" s="2">
        <v>0.49006482501855098</v>
      </c>
      <c r="AL542" s="2">
        <v>0.115083702109866</v>
      </c>
      <c r="AM542" s="2">
        <v>0.56783521175384499</v>
      </c>
      <c r="AN542" s="2">
        <v>0.58173525333404497</v>
      </c>
      <c r="AO542" s="2">
        <v>0.33547914028167702</v>
      </c>
      <c r="AP542" s="2">
        <v>0.57766741514205899</v>
      </c>
    </row>
    <row r="543" spans="1:42" x14ac:dyDescent="0.3">
      <c r="A543" t="s">
        <v>217</v>
      </c>
      <c r="B543" s="3">
        <v>2016</v>
      </c>
      <c r="C543" s="3">
        <v>6.1084620000000003</v>
      </c>
      <c r="D543" s="3">
        <v>1728.89</v>
      </c>
      <c r="E543" t="s">
        <v>218</v>
      </c>
      <c r="G543" s="3">
        <v>35643.98828125</v>
      </c>
      <c r="H543" s="3">
        <v>40655.60546875</v>
      </c>
      <c r="I543" s="3">
        <v>30468.826171875</v>
      </c>
      <c r="J543" s="3">
        <v>37199.390625</v>
      </c>
      <c r="K543" s="3">
        <v>77789.359375</v>
      </c>
      <c r="L543" s="3">
        <v>8.8569032959640004E-4</v>
      </c>
      <c r="M543" s="3">
        <v>0.489253759384155</v>
      </c>
      <c r="N543" s="3">
        <v>0.51696443557739302</v>
      </c>
      <c r="O543" s="3">
        <v>32773.36328125</v>
      </c>
      <c r="P543" s="3">
        <v>40765.0234375</v>
      </c>
      <c r="Q543" s="3">
        <v>1.1031591892242401</v>
      </c>
      <c r="R543" s="3">
        <v>0.46877738833427401</v>
      </c>
      <c r="S543" s="3">
        <v>0.19576659798622101</v>
      </c>
      <c r="T543" s="3">
        <v>0.228569760918617</v>
      </c>
      <c r="U543" s="3">
        <v>0.18721416592598</v>
      </c>
      <c r="W543" t="s">
        <v>50</v>
      </c>
      <c r="X543" t="s">
        <v>51</v>
      </c>
      <c r="Y543" t="s">
        <v>52</v>
      </c>
      <c r="Z543" t="s">
        <v>62</v>
      </c>
      <c r="AA543" t="s">
        <v>53</v>
      </c>
      <c r="AC543" s="2">
        <v>0.37905015929552499</v>
      </c>
      <c r="AD543" s="2">
        <v>0.65169775485992398</v>
      </c>
      <c r="AE543" s="2">
        <v>0.13472309708595301</v>
      </c>
      <c r="AF543" s="2">
        <v>0.30648964643478399</v>
      </c>
      <c r="AG543" s="2">
        <v>6.8101830780506106E-2</v>
      </c>
      <c r="AH543" s="2">
        <v>-0.17437420785427099</v>
      </c>
      <c r="AI543" s="2">
        <v>1.33618833497167E-2</v>
      </c>
      <c r="AJ543" s="2">
        <v>0.238689107447314</v>
      </c>
      <c r="AK543" s="2">
        <v>0.46187482306258698</v>
      </c>
      <c r="AL543" s="2">
        <v>0.104499261384413</v>
      </c>
      <c r="AM543" s="2">
        <v>0.56171882152557395</v>
      </c>
      <c r="AN543" s="2">
        <v>0.59267795085907005</v>
      </c>
      <c r="AO543" s="2">
        <v>0.31026294827461198</v>
      </c>
      <c r="AP543" s="2">
        <v>0.54067021608352706</v>
      </c>
    </row>
    <row r="544" spans="1:42" x14ac:dyDescent="0.3">
      <c r="A544" t="s">
        <v>217</v>
      </c>
      <c r="B544" s="3">
        <v>2017</v>
      </c>
      <c r="C544" s="3">
        <v>6.2201500000000003</v>
      </c>
      <c r="D544" s="3">
        <v>1771.33</v>
      </c>
      <c r="E544" t="s">
        <v>218</v>
      </c>
      <c r="G544" s="3">
        <v>40169.73046875</v>
      </c>
      <c r="H544" s="3">
        <v>45552.8046875</v>
      </c>
      <c r="I544" s="3">
        <v>34751.05859375</v>
      </c>
      <c r="J544" s="3">
        <v>42491.40234375</v>
      </c>
      <c r="K544" s="3">
        <v>81997.96875</v>
      </c>
      <c r="L544" s="3">
        <v>9.0901908697560397E-4</v>
      </c>
      <c r="M544" s="3">
        <v>0.55107349157333396</v>
      </c>
      <c r="N544" s="3">
        <v>0.56892877817153897</v>
      </c>
      <c r="O544" s="3">
        <v>34915.1171875</v>
      </c>
      <c r="P544" s="3">
        <v>43469.62890625</v>
      </c>
      <c r="Q544" s="3">
        <v>1.1180282831192001</v>
      </c>
      <c r="R544" s="3">
        <v>0.43641814589500399</v>
      </c>
      <c r="S544" s="3">
        <v>0.19656801223754899</v>
      </c>
      <c r="T544" s="3">
        <v>0.229078054428101</v>
      </c>
      <c r="U544" s="3">
        <v>0.18734858930110901</v>
      </c>
      <c r="W544" t="s">
        <v>51</v>
      </c>
      <c r="X544" t="s">
        <v>51</v>
      </c>
      <c r="Y544" t="s">
        <v>52</v>
      </c>
      <c r="Z544" t="s">
        <v>62</v>
      </c>
      <c r="AA544" t="s">
        <v>53</v>
      </c>
      <c r="AC544" s="2">
        <v>0.38673538439216598</v>
      </c>
      <c r="AD544" s="2">
        <v>0.63838517665863004</v>
      </c>
      <c r="AE544" s="2">
        <v>0.126686215400696</v>
      </c>
      <c r="AF544" s="2">
        <v>0.30697625875473</v>
      </c>
      <c r="AG544" s="2">
        <v>7.4264034628868103E-2</v>
      </c>
      <c r="AH544" s="2">
        <v>-0.17839223146438599</v>
      </c>
      <c r="AI544" s="2">
        <v>3.2080553472042098E-2</v>
      </c>
      <c r="AJ544" s="2">
        <v>0.24221135311914499</v>
      </c>
      <c r="AK544" s="2">
        <v>0.47167547744659799</v>
      </c>
      <c r="AL544" s="2">
        <v>0.101648500801012</v>
      </c>
      <c r="AM544" s="2">
        <v>0.55693787336349498</v>
      </c>
      <c r="AN544" s="2">
        <v>0.59198033809661899</v>
      </c>
      <c r="AO544" s="2">
        <v>0.31966629624366799</v>
      </c>
      <c r="AP544" s="2">
        <v>0.61578476428985596</v>
      </c>
    </row>
    <row r="545" spans="1:42" x14ac:dyDescent="0.3">
      <c r="A545" t="s">
        <v>217</v>
      </c>
      <c r="B545" s="3">
        <v>2018</v>
      </c>
      <c r="C545" s="3">
        <v>6.3417320000000004</v>
      </c>
      <c r="D545" s="3">
        <v>1796.99</v>
      </c>
      <c r="E545" t="s">
        <v>218</v>
      </c>
      <c r="G545" s="3">
        <v>36902.2734375</v>
      </c>
      <c r="H545" s="3">
        <v>44702.40625</v>
      </c>
      <c r="I545" s="3">
        <v>33323.84765625</v>
      </c>
      <c r="J545" s="3">
        <v>41720.8515625</v>
      </c>
      <c r="K545" s="3">
        <v>114505.8515625</v>
      </c>
      <c r="L545" s="3">
        <v>1.2120145838707701E-3</v>
      </c>
      <c r="M545" s="3">
        <v>0.45062601566314697</v>
      </c>
      <c r="N545" s="3">
        <v>0.46477213501930198</v>
      </c>
      <c r="O545" s="3">
        <v>36838.640625</v>
      </c>
      <c r="P545" s="3">
        <v>46970.55078125</v>
      </c>
      <c r="Q545" s="3">
        <v>1.11233294010162</v>
      </c>
      <c r="R545" s="3">
        <v>0.427567929029465</v>
      </c>
      <c r="S545" s="3">
        <v>0.23325811326503801</v>
      </c>
      <c r="T545" s="3">
        <v>0.25933942198753401</v>
      </c>
      <c r="U545" s="3">
        <v>0.20714315772056599</v>
      </c>
      <c r="W545" t="s">
        <v>50</v>
      </c>
      <c r="X545" t="s">
        <v>51</v>
      </c>
      <c r="Y545" t="s">
        <v>52</v>
      </c>
      <c r="Z545" t="s">
        <v>53</v>
      </c>
      <c r="AA545" t="s">
        <v>53</v>
      </c>
      <c r="AC545" s="2">
        <v>0.420829580941189</v>
      </c>
      <c r="AD545" s="2">
        <v>0.65402483940124501</v>
      </c>
      <c r="AE545" s="2">
        <v>0.18696004152297999</v>
      </c>
      <c r="AF545" s="2">
        <v>0.23047947883605999</v>
      </c>
      <c r="AG545" s="2">
        <v>7.7401146292686504E-2</v>
      </c>
      <c r="AH545" s="2">
        <v>-0.20739910006523099</v>
      </c>
      <c r="AI545" s="2">
        <v>5.8533608913421603E-2</v>
      </c>
      <c r="AJ545" s="2">
        <v>0.26309468968162703</v>
      </c>
      <c r="AK545" s="2">
        <v>0.38272959156469699</v>
      </c>
      <c r="AL545" s="2">
        <v>0.14859175838853</v>
      </c>
      <c r="AM545" s="2">
        <v>0.56830042600631703</v>
      </c>
      <c r="AN545" s="2">
        <v>0.61158293485641502</v>
      </c>
      <c r="AO545" s="2">
        <v>0.245241954922676</v>
      </c>
      <c r="AP545" s="2">
        <v>0.482620239257813</v>
      </c>
    </row>
    <row r="546" spans="1:42" x14ac:dyDescent="0.3">
      <c r="A546" t="s">
        <v>217</v>
      </c>
      <c r="B546" s="3">
        <v>2019</v>
      </c>
      <c r="C546" s="3">
        <v>6.4940350000000002</v>
      </c>
      <c r="D546" s="3">
        <v>1834.78</v>
      </c>
      <c r="E546" t="s">
        <v>218</v>
      </c>
      <c r="G546" s="3">
        <v>37569.6640625</v>
      </c>
      <c r="H546" s="3">
        <v>47191.3984375</v>
      </c>
      <c r="I546" s="3">
        <v>37019.44140625</v>
      </c>
      <c r="J546" s="3">
        <v>44114.6328125</v>
      </c>
      <c r="K546" s="3">
        <v>146832.34375</v>
      </c>
      <c r="L546" s="3">
        <v>1.4721590559929601E-3</v>
      </c>
      <c r="M546" s="3">
        <v>0.416012942790985</v>
      </c>
      <c r="N546" s="3">
        <v>0.42824020981788602</v>
      </c>
      <c r="O546" s="3">
        <v>37663.203125</v>
      </c>
      <c r="P546" s="3">
        <v>48769.875</v>
      </c>
      <c r="Q546" s="3">
        <v>1.10060346126556</v>
      </c>
      <c r="R546" s="3">
        <v>0.395559251308441</v>
      </c>
      <c r="S546" s="3">
        <v>0.232054203748703</v>
      </c>
      <c r="T546" s="3">
        <v>0.253144711256027</v>
      </c>
      <c r="U546" s="3">
        <v>0.212430059909821</v>
      </c>
      <c r="W546" t="s">
        <v>50</v>
      </c>
      <c r="X546" t="s">
        <v>54</v>
      </c>
      <c r="Y546" t="s">
        <v>52</v>
      </c>
      <c r="Z546" t="s">
        <v>53</v>
      </c>
      <c r="AA546" t="s">
        <v>53</v>
      </c>
      <c r="AC546" s="2">
        <v>0.453984251886831</v>
      </c>
      <c r="AD546" s="2">
        <v>0.61434054374694802</v>
      </c>
      <c r="AE546" s="2">
        <v>0.21810755133628801</v>
      </c>
      <c r="AF546" s="2">
        <v>0.23729670047759999</v>
      </c>
      <c r="AG546" s="2">
        <v>7.7631048858165699E-2</v>
      </c>
      <c r="AH546" s="2">
        <v>-0.19303226470947299</v>
      </c>
      <c r="AI546" s="2">
        <v>4.5656461268663399E-2</v>
      </c>
      <c r="AJ546" s="2">
        <v>0.26739631777356598</v>
      </c>
      <c r="AK546" s="2">
        <v>0.33549608460359198</v>
      </c>
      <c r="AL546" s="2">
        <v>0.140556551946211</v>
      </c>
      <c r="AM546" s="2">
        <v>0.57994270324706998</v>
      </c>
      <c r="AN546" s="2">
        <v>0.58586323261260997</v>
      </c>
      <c r="AO546" s="2">
        <v>0.20227369666099501</v>
      </c>
      <c r="AP546" s="2">
        <v>0.43763703107833901</v>
      </c>
    </row>
    <row r="547" spans="1:42" x14ac:dyDescent="0.3">
      <c r="A547" t="s">
        <v>217</v>
      </c>
      <c r="B547" s="3">
        <v>2020</v>
      </c>
      <c r="C547" s="3">
        <v>6.6641399999999997</v>
      </c>
      <c r="D547" s="3">
        <v>1653.02</v>
      </c>
      <c r="E547" t="s">
        <v>218</v>
      </c>
      <c r="G547" s="3">
        <v>36843.421875</v>
      </c>
      <c r="H547" s="3">
        <v>44080.875</v>
      </c>
      <c r="I547" s="3">
        <v>36786.62890625</v>
      </c>
      <c r="J547" s="3">
        <v>42400.02734375</v>
      </c>
      <c r="K547" s="3">
        <v>178064.25</v>
      </c>
      <c r="L547" s="3">
        <v>1.65821239352226E-3</v>
      </c>
      <c r="M547" s="3">
        <v>0.37708923220634499</v>
      </c>
      <c r="N547" s="3">
        <v>0.37608972191810602</v>
      </c>
      <c r="O547" s="3">
        <v>35785.4296875</v>
      </c>
      <c r="P547" s="3">
        <v>43201.171875</v>
      </c>
      <c r="Q547" s="3">
        <v>1.03081822395325</v>
      </c>
      <c r="R547" s="3">
        <v>0.40932071208953902</v>
      </c>
      <c r="S547" s="3">
        <v>0.21279895305633501</v>
      </c>
      <c r="T547" s="3">
        <v>0.22482270002365101</v>
      </c>
      <c r="U547" s="3">
        <v>0.19505810737609899</v>
      </c>
      <c r="W547" t="s">
        <v>50</v>
      </c>
      <c r="X547" t="s">
        <v>54</v>
      </c>
      <c r="Y547" t="s">
        <v>52</v>
      </c>
      <c r="Z547" t="s">
        <v>53</v>
      </c>
      <c r="AA547" t="s">
        <v>53</v>
      </c>
      <c r="AC547" s="2">
        <v>0.48069954373101698</v>
      </c>
      <c r="AD547" s="2">
        <v>0.60004746913909901</v>
      </c>
      <c r="AE547" s="2">
        <v>0.170694544911385</v>
      </c>
      <c r="AF547" s="2">
        <v>0.26890054345130898</v>
      </c>
      <c r="AG547" s="2">
        <v>5.8339558541774798E-2</v>
      </c>
      <c r="AH547" s="2">
        <v>-0.143963798880577</v>
      </c>
      <c r="AI547" s="2">
        <v>4.5981653034687001E-2</v>
      </c>
      <c r="AJ547" s="2">
        <v>0.248438019595906</v>
      </c>
      <c r="AK547" s="2">
        <v>0.28603140291643803</v>
      </c>
      <c r="AL547" s="2">
        <v>0.133270928964633</v>
      </c>
      <c r="AM547" s="2">
        <v>0.62616884708404497</v>
      </c>
      <c r="AN547" s="2">
        <v>0.58470708131790206</v>
      </c>
      <c r="AO547" s="2">
        <v>0.15822023153305101</v>
      </c>
      <c r="AP547" s="2">
        <v>0.34983772039413502</v>
      </c>
    </row>
    <row r="548" spans="1:42" x14ac:dyDescent="0.3">
      <c r="A548" t="s">
        <v>219</v>
      </c>
      <c r="B548" s="3">
        <v>2015</v>
      </c>
      <c r="C548" s="3">
        <v>15.623251</v>
      </c>
      <c r="D548" s="3">
        <v>2393.6</v>
      </c>
      <c r="E548" t="s">
        <v>220</v>
      </c>
      <c r="G548" s="3">
        <v>61546.8046875</v>
      </c>
      <c r="H548" s="3">
        <v>81604.4296875</v>
      </c>
      <c r="I548" s="3">
        <v>74047.7890625</v>
      </c>
      <c r="J548" s="3">
        <v>75999.0234375</v>
      </c>
      <c r="K548" s="3">
        <v>250937.796875</v>
      </c>
      <c r="L548" s="3"/>
      <c r="M548" s="3"/>
      <c r="N548" s="3"/>
      <c r="O548" s="3">
        <v>51500.64453125</v>
      </c>
      <c r="P548" s="3">
        <v>70230.78125</v>
      </c>
      <c r="Q548" s="3"/>
      <c r="R548" s="3"/>
      <c r="S548" s="3">
        <v>0.31307470798492398</v>
      </c>
      <c r="T548" s="3">
        <v>0.32461389899253801</v>
      </c>
      <c r="U548" s="3">
        <v>0.31627964973449701</v>
      </c>
      <c r="W548" t="s">
        <v>50</v>
      </c>
      <c r="X548" t="s">
        <v>51</v>
      </c>
      <c r="Y548" t="s">
        <v>52</v>
      </c>
      <c r="Z548" t="s">
        <v>53</v>
      </c>
      <c r="AC548" s="2">
        <v>0.29449831165251</v>
      </c>
      <c r="AD548" s="2">
        <v>0.73821842670440696</v>
      </c>
      <c r="AE548" s="2">
        <v>0.26391956210136402</v>
      </c>
      <c r="AF548" s="2">
        <v>7.1618333458900493E-2</v>
      </c>
      <c r="AG548" s="2">
        <v>0.202658802270889</v>
      </c>
      <c r="AH548" s="2">
        <v>-0.26283183693885798</v>
      </c>
      <c r="AI548" s="2">
        <v>-1.3583267107605899E-2</v>
      </c>
      <c r="AJ548" s="2">
        <v>0.31991685635094003</v>
      </c>
      <c r="AK548" s="2">
        <v>0.36002190821005498</v>
      </c>
      <c r="AL548" s="2">
        <v>0.24254823032938899</v>
      </c>
      <c r="AM548" s="2">
        <v>0.55463612079620395</v>
      </c>
      <c r="AN548" s="2">
        <v>0.53411483764648404</v>
      </c>
      <c r="AO548" s="2">
        <v>0.19060289859771701</v>
      </c>
      <c r="AP548" s="2"/>
    </row>
    <row r="549" spans="1:42" x14ac:dyDescent="0.3">
      <c r="A549" t="s">
        <v>219</v>
      </c>
      <c r="B549" s="3">
        <v>2016</v>
      </c>
      <c r="C549" s="3">
        <v>15.852803</v>
      </c>
      <c r="D549" s="3">
        <v>2394.35</v>
      </c>
      <c r="E549" t="s">
        <v>220</v>
      </c>
      <c r="G549" s="3">
        <v>65138.3515625</v>
      </c>
      <c r="H549" s="3">
        <v>87347.6484375</v>
      </c>
      <c r="I549" s="3">
        <v>79498.1875</v>
      </c>
      <c r="J549" s="3">
        <v>81492.328125</v>
      </c>
      <c r="K549" s="3">
        <v>279392.375</v>
      </c>
      <c r="L549" s="3"/>
      <c r="M549" s="3"/>
      <c r="N549" s="3"/>
      <c r="O549" s="3">
        <v>56035.6875</v>
      </c>
      <c r="P549" s="3">
        <v>77195.3984375</v>
      </c>
      <c r="Q549" s="3"/>
      <c r="R549" s="3"/>
      <c r="S549" s="3">
        <v>0.32257941365241999</v>
      </c>
      <c r="T549" s="3">
        <v>0.332939773797989</v>
      </c>
      <c r="U549" s="3">
        <v>0.32479262351989702</v>
      </c>
      <c r="W549" t="s">
        <v>50</v>
      </c>
      <c r="X549" t="s">
        <v>51</v>
      </c>
      <c r="Y549" t="s">
        <v>52</v>
      </c>
      <c r="Z549" t="s">
        <v>53</v>
      </c>
      <c r="AC549" s="2">
        <v>0.24675724424746301</v>
      </c>
      <c r="AD549" s="2">
        <v>0.73328882455825795</v>
      </c>
      <c r="AE549" s="2">
        <v>0.27253234386444097</v>
      </c>
      <c r="AF549" s="2">
        <v>6.6029980778694194E-2</v>
      </c>
      <c r="AG549" s="2">
        <v>0.225206524133682</v>
      </c>
      <c r="AH549" s="2">
        <v>-0.28528046607971203</v>
      </c>
      <c r="AI549" s="2">
        <v>-1.17772221565247E-2</v>
      </c>
      <c r="AJ549" s="2">
        <v>0.32798033430845702</v>
      </c>
      <c r="AK549" s="2">
        <v>0.36332600740916499</v>
      </c>
      <c r="AL549" s="2">
        <v>0.26259998475039198</v>
      </c>
      <c r="AM549" s="2">
        <v>0.54865956306457497</v>
      </c>
      <c r="AN549" s="2">
        <v>0.53212833404541005</v>
      </c>
      <c r="AO549" s="2">
        <v>0.18943472206592599</v>
      </c>
      <c r="AP549" s="2"/>
    </row>
    <row r="550" spans="1:42" x14ac:dyDescent="0.3">
      <c r="A550" t="s">
        <v>219</v>
      </c>
      <c r="B550" s="3">
        <v>2017</v>
      </c>
      <c r="C550" s="3">
        <v>16.073371999999999</v>
      </c>
      <c r="D550" s="3">
        <v>2384.4499999999998</v>
      </c>
      <c r="E550" t="s">
        <v>220</v>
      </c>
      <c r="G550" s="3">
        <v>66868.796875</v>
      </c>
      <c r="H550" s="3">
        <v>91268.328125</v>
      </c>
      <c r="I550" s="3">
        <v>84013.296875</v>
      </c>
      <c r="J550" s="3">
        <v>86162.03125</v>
      </c>
      <c r="K550" s="3">
        <v>311249.84375</v>
      </c>
      <c r="L550" s="3"/>
      <c r="M550" s="3"/>
      <c r="N550" s="3"/>
      <c r="O550" s="3">
        <v>60153.9453125</v>
      </c>
      <c r="P550" s="3">
        <v>83028.4296875</v>
      </c>
      <c r="Q550" s="3"/>
      <c r="R550" s="3"/>
      <c r="S550" s="3">
        <v>0.33800137042999301</v>
      </c>
      <c r="T550" s="3">
        <v>0.34617045521736101</v>
      </c>
      <c r="U550" s="3">
        <v>0.33753752708435097</v>
      </c>
      <c r="W550" t="s">
        <v>51</v>
      </c>
      <c r="X550" t="s">
        <v>51</v>
      </c>
      <c r="Y550" t="s">
        <v>52</v>
      </c>
      <c r="Z550" t="s">
        <v>53</v>
      </c>
      <c r="AC550" s="2">
        <v>0.20409936171873699</v>
      </c>
      <c r="AD550" s="2">
        <v>0.712937831878662</v>
      </c>
      <c r="AE550" s="2">
        <v>0.28318193554878202</v>
      </c>
      <c r="AF550" s="2">
        <v>6.3144132494926494E-2</v>
      </c>
      <c r="AG550" s="2">
        <v>0.22836704552173601</v>
      </c>
      <c r="AH550" s="2">
        <v>-0.30461025238037098</v>
      </c>
      <c r="AI550" s="2">
        <v>1.69793125241995E-2</v>
      </c>
      <c r="AJ550" s="2">
        <v>0.34287502338573</v>
      </c>
      <c r="AK550" s="2">
        <v>0.36855847599286001</v>
      </c>
      <c r="AL550" s="2">
        <v>0.28297454946268802</v>
      </c>
      <c r="AM550" s="2">
        <v>0.573175549507141</v>
      </c>
      <c r="AN550" s="2">
        <v>0.54421639442443903</v>
      </c>
      <c r="AO550" s="2">
        <v>0.195354238152504</v>
      </c>
      <c r="AP550" s="2"/>
    </row>
    <row r="551" spans="1:42" x14ac:dyDescent="0.3">
      <c r="A551" t="s">
        <v>219</v>
      </c>
      <c r="B551" s="3">
        <v>2018</v>
      </c>
      <c r="C551" s="3">
        <v>16.274522000000001</v>
      </c>
      <c r="D551" s="3">
        <v>2372.34</v>
      </c>
      <c r="E551" t="s">
        <v>220</v>
      </c>
      <c r="G551" s="3">
        <v>71703.6328125</v>
      </c>
      <c r="H551" s="3">
        <v>99113.328125</v>
      </c>
      <c r="I551" s="3">
        <v>92135.859375</v>
      </c>
      <c r="J551" s="3">
        <v>95465.890625</v>
      </c>
      <c r="K551" s="3">
        <v>331746.75</v>
      </c>
      <c r="L551" s="3"/>
      <c r="M551" s="3"/>
      <c r="N551" s="3"/>
      <c r="O551" s="3">
        <v>66810.40625</v>
      </c>
      <c r="P551" s="3">
        <v>93749.9453125</v>
      </c>
      <c r="Q551" s="3"/>
      <c r="R551" s="3"/>
      <c r="S551" s="3">
        <v>0.35004013776779203</v>
      </c>
      <c r="T551" s="3">
        <v>0.35603693127632102</v>
      </c>
      <c r="U551" s="3">
        <v>0.34361770749092102</v>
      </c>
      <c r="W551" t="s">
        <v>50</v>
      </c>
      <c r="X551" t="s">
        <v>51</v>
      </c>
      <c r="Y551" t="s">
        <v>52</v>
      </c>
      <c r="Z551" t="s">
        <v>53</v>
      </c>
      <c r="AC551" s="2">
        <v>0.20952563042887701</v>
      </c>
      <c r="AD551" s="2">
        <v>0.68954789638519298</v>
      </c>
      <c r="AE551" s="2">
        <v>0.28711506724357599</v>
      </c>
      <c r="AF551" s="2">
        <v>6.1543792486190803E-2</v>
      </c>
      <c r="AG551" s="2">
        <v>0.225848063826561</v>
      </c>
      <c r="AH551" s="2">
        <v>-0.33430826663970997</v>
      </c>
      <c r="AI551" s="2">
        <v>7.0253461599350003E-2</v>
      </c>
      <c r="AJ551" s="2">
        <v>0.35636683657552098</v>
      </c>
      <c r="AK551" s="2">
        <v>0.37172447224659699</v>
      </c>
      <c r="AL551" s="2">
        <v>0.279154828251166</v>
      </c>
      <c r="AM551" s="2">
        <v>0.58904528617858898</v>
      </c>
      <c r="AN551" s="2">
        <v>0.54798924922943104</v>
      </c>
      <c r="AO551" s="2">
        <v>0.19902558624744399</v>
      </c>
      <c r="AP551" s="2"/>
    </row>
    <row r="552" spans="1:42" x14ac:dyDescent="0.3">
      <c r="A552" t="s">
        <v>219</v>
      </c>
      <c r="B552" s="3">
        <v>2019</v>
      </c>
      <c r="C552" s="3">
        <v>16.481304000000002</v>
      </c>
      <c r="D552" s="3">
        <v>2360.77</v>
      </c>
      <c r="E552" t="s">
        <v>220</v>
      </c>
      <c r="G552" s="3">
        <v>74238.796875</v>
      </c>
      <c r="H552" s="3">
        <v>104960.015625</v>
      </c>
      <c r="I552" s="3">
        <v>100021.5078125</v>
      </c>
      <c r="J552" s="3">
        <v>102758.8515625</v>
      </c>
      <c r="K552" s="3">
        <v>362850.75</v>
      </c>
      <c r="L552" s="3"/>
      <c r="M552" s="3"/>
      <c r="N552" s="3"/>
      <c r="O552" s="3">
        <v>70026.3984375</v>
      </c>
      <c r="P552" s="3">
        <v>100875.4453125</v>
      </c>
      <c r="Q552" s="3"/>
      <c r="R552" s="3"/>
      <c r="S552" s="3">
        <v>0.35348993539810197</v>
      </c>
      <c r="T552" s="3">
        <v>0.35975483059883101</v>
      </c>
      <c r="U552" s="3">
        <v>0.35017147660255399</v>
      </c>
      <c r="W552" t="s">
        <v>50</v>
      </c>
      <c r="X552" t="s">
        <v>54</v>
      </c>
      <c r="Y552" t="s">
        <v>52</v>
      </c>
      <c r="Z552" t="s">
        <v>53</v>
      </c>
      <c r="AC552" s="2">
        <v>0.212602852249382</v>
      </c>
      <c r="AD552" s="2">
        <v>0.66268348693847701</v>
      </c>
      <c r="AE552" s="2">
        <v>0.29896420240402199</v>
      </c>
      <c r="AF552" s="2">
        <v>5.9772942215204197E-2</v>
      </c>
      <c r="AG552" s="2">
        <v>0.25340798497200001</v>
      </c>
      <c r="AH552" s="2">
        <v>-0.37702754139900202</v>
      </c>
      <c r="AI552" s="2">
        <v>0.102198891341686</v>
      </c>
      <c r="AJ552" s="2">
        <v>0.35946500847614399</v>
      </c>
      <c r="AK552" s="2">
        <v>0.37489411771732301</v>
      </c>
      <c r="AL552" s="2">
        <v>0.28724614950025701</v>
      </c>
      <c r="AM552" s="2">
        <v>0.56930768489837702</v>
      </c>
      <c r="AN552" s="2">
        <v>0.52342003583908103</v>
      </c>
      <c r="AO552" s="2">
        <v>0.202136591076851</v>
      </c>
      <c r="AP552" s="2"/>
    </row>
    <row r="553" spans="1:42" x14ac:dyDescent="0.3">
      <c r="A553" t="s">
        <v>219</v>
      </c>
      <c r="B553" s="3">
        <v>2020</v>
      </c>
      <c r="C553" s="3">
        <v>16.725473999999998</v>
      </c>
      <c r="D553" s="3">
        <v>2283.14</v>
      </c>
      <c r="E553" t="s">
        <v>220</v>
      </c>
      <c r="G553" s="3">
        <v>68246.3671875</v>
      </c>
      <c r="H553" s="3">
        <v>99010.84375</v>
      </c>
      <c r="I553" s="3">
        <v>96796.0703125</v>
      </c>
      <c r="J553" s="3">
        <v>97783.3671875</v>
      </c>
      <c r="K553" s="3">
        <v>413666.5625</v>
      </c>
      <c r="L553" s="3"/>
      <c r="M553" s="3"/>
      <c r="N553" s="3"/>
      <c r="O553" s="3">
        <v>65319.7734375</v>
      </c>
      <c r="P553" s="3">
        <v>95585.9140625</v>
      </c>
      <c r="Q553" s="3"/>
      <c r="R553" s="3"/>
      <c r="S553" s="3">
        <v>0.35591101646423301</v>
      </c>
      <c r="T553" s="3">
        <v>0.35557246208190901</v>
      </c>
      <c r="U553" s="3">
        <v>0.35198229551315302</v>
      </c>
      <c r="W553" t="s">
        <v>50</v>
      </c>
      <c r="X553" t="s">
        <v>54</v>
      </c>
      <c r="Y553" t="s">
        <v>52</v>
      </c>
      <c r="Z553" t="s">
        <v>53</v>
      </c>
      <c r="AC553" s="2">
        <v>0.21705024268988901</v>
      </c>
      <c r="AD553" s="2">
        <v>0.63077861070632901</v>
      </c>
      <c r="AE553" s="2">
        <v>0.31461873650550798</v>
      </c>
      <c r="AF553" s="2">
        <v>6.7155763506889302E-2</v>
      </c>
      <c r="AG553" s="2">
        <v>0.233287364244461</v>
      </c>
      <c r="AH553" s="2">
        <v>-0.35793220996856701</v>
      </c>
      <c r="AI553" s="2">
        <v>0.112091794610024</v>
      </c>
      <c r="AJ553" s="2">
        <v>0.36319500244436398</v>
      </c>
      <c r="AK553" s="2">
        <v>0.35482134361725898</v>
      </c>
      <c r="AL553" s="2">
        <v>0.28749431358705102</v>
      </c>
      <c r="AM553" s="2">
        <v>0.66657686233520497</v>
      </c>
      <c r="AN553" s="2">
        <v>0.56717985868454002</v>
      </c>
      <c r="AO553" s="2">
        <v>0.189183205366135</v>
      </c>
      <c r="AP553" s="2"/>
    </row>
    <row r="554" spans="1:42" x14ac:dyDescent="0.3">
      <c r="A554" t="s">
        <v>221</v>
      </c>
      <c r="B554" s="3">
        <v>2015</v>
      </c>
      <c r="C554" s="3">
        <v>4.7086999999999997E-2</v>
      </c>
      <c r="D554" s="3"/>
      <c r="E554" t="s">
        <v>58</v>
      </c>
      <c r="G554" s="3">
        <v>1268.56274414063</v>
      </c>
      <c r="H554" s="3">
        <v>1693.93347167969</v>
      </c>
      <c r="I554" s="3">
        <v>1454.9521484375</v>
      </c>
      <c r="J554" s="3">
        <v>1175.49340820313</v>
      </c>
      <c r="K554" s="3">
        <v>11234.3935546875</v>
      </c>
      <c r="L554" s="3"/>
      <c r="M554" s="3"/>
      <c r="N554" s="3"/>
      <c r="O554" s="3">
        <v>1228.97839355469</v>
      </c>
      <c r="P554" s="3">
        <v>1658.6171875</v>
      </c>
      <c r="Q554" s="3"/>
      <c r="R554" s="3"/>
      <c r="S554" s="3">
        <v>0.64656776189804099</v>
      </c>
      <c r="T554" s="3">
        <v>0.657906353473663</v>
      </c>
      <c r="U554" s="3">
        <v>0.81431531906127896</v>
      </c>
      <c r="W554" t="s">
        <v>50</v>
      </c>
      <c r="X554" t="s">
        <v>51</v>
      </c>
      <c r="Y554" t="s">
        <v>52</v>
      </c>
      <c r="Z554" t="s">
        <v>53</v>
      </c>
      <c r="AC554" s="2">
        <v>0.56079316700896698</v>
      </c>
      <c r="AD554" s="2">
        <v>0.72986370325088501</v>
      </c>
      <c r="AE554" s="2">
        <v>0.36186572909355202</v>
      </c>
      <c r="AF554" s="2">
        <v>0.34931099414825401</v>
      </c>
      <c r="AG554" s="2">
        <v>0.50213426351547197</v>
      </c>
      <c r="AH554" s="2">
        <v>-0.94336813688278198</v>
      </c>
      <c r="AI554" s="2">
        <v>1.9346100452821699E-4</v>
      </c>
      <c r="AJ554" s="2">
        <v>0.741190665880195</v>
      </c>
      <c r="AK554" s="2">
        <v>0.69172091154287296</v>
      </c>
      <c r="AL554" s="2">
        <v>0.44885908859235102</v>
      </c>
      <c r="AM554" s="2">
        <v>0.61145907640457198</v>
      </c>
      <c r="AN554" s="2">
        <v>0.46741718053817799</v>
      </c>
      <c r="AO554" s="2">
        <v>0.495656907558441</v>
      </c>
      <c r="AP554" s="2"/>
    </row>
    <row r="555" spans="1:42" x14ac:dyDescent="0.3">
      <c r="A555" t="s">
        <v>221</v>
      </c>
      <c r="B555" s="3">
        <v>2016</v>
      </c>
      <c r="C555" s="3">
        <v>4.7074999999999999E-2</v>
      </c>
      <c r="D555" s="3"/>
      <c r="E555" t="s">
        <v>58</v>
      </c>
      <c r="G555" s="3">
        <v>1360.33752441406</v>
      </c>
      <c r="H555" s="3">
        <v>1818.72094726563</v>
      </c>
      <c r="I555" s="3">
        <v>1508.68139648438</v>
      </c>
      <c r="J555" s="3">
        <v>1156.90551757813</v>
      </c>
      <c r="K555" s="3">
        <v>11783.4541015625</v>
      </c>
      <c r="L555" s="3"/>
      <c r="M555" s="3"/>
      <c r="N555" s="3"/>
      <c r="O555" s="3">
        <v>1322.701171875</v>
      </c>
      <c r="P555" s="3">
        <v>1782.26220703125</v>
      </c>
      <c r="Q555" s="3"/>
      <c r="R555" s="3"/>
      <c r="S555" s="3">
        <v>0.65770429372787498</v>
      </c>
      <c r="T555" s="3">
        <v>0.667350053787231</v>
      </c>
      <c r="U555" s="3">
        <v>0.87026858329773005</v>
      </c>
      <c r="W555" t="s">
        <v>50</v>
      </c>
      <c r="X555" t="s">
        <v>51</v>
      </c>
      <c r="Y555" t="s">
        <v>52</v>
      </c>
      <c r="Z555" t="s">
        <v>53</v>
      </c>
      <c r="AC555" s="2">
        <v>0.55930183082475005</v>
      </c>
      <c r="AD555" s="2">
        <v>0.78703045845031705</v>
      </c>
      <c r="AE555" s="2">
        <v>0.39621505141258201</v>
      </c>
      <c r="AF555" s="2">
        <v>0.38881108164787298</v>
      </c>
      <c r="AG555" s="2">
        <v>0.50864821672439597</v>
      </c>
      <c r="AH555" s="2">
        <v>-1.0794320106506301</v>
      </c>
      <c r="AI555" s="2">
        <v>-1.2728028232231699E-3</v>
      </c>
      <c r="AJ555" s="2">
        <v>0.77140967042125697</v>
      </c>
      <c r="AK555" s="2">
        <v>0.69597546402104604</v>
      </c>
      <c r="AL555" s="2">
        <v>0.42754223642915001</v>
      </c>
      <c r="AM555" s="2">
        <v>0.61766147613525402</v>
      </c>
      <c r="AN555" s="2">
        <v>0.45571020245552102</v>
      </c>
      <c r="AO555" s="2">
        <v>0.49214670062065102</v>
      </c>
      <c r="AP555" s="2"/>
    </row>
    <row r="556" spans="1:42" x14ac:dyDescent="0.3">
      <c r="A556" t="s">
        <v>221</v>
      </c>
      <c r="B556" s="3">
        <v>2017</v>
      </c>
      <c r="C556" s="3">
        <v>4.7050000000000002E-2</v>
      </c>
      <c r="D556" s="3"/>
      <c r="E556" t="s">
        <v>58</v>
      </c>
      <c r="G556" s="3">
        <v>1371.01904296875</v>
      </c>
      <c r="H556" s="3">
        <v>1835.67419433594</v>
      </c>
      <c r="I556" s="3">
        <v>1568.75573730469</v>
      </c>
      <c r="J556" s="3">
        <v>1294.6220703125</v>
      </c>
      <c r="K556" s="3">
        <v>12581.3447265625</v>
      </c>
      <c r="L556" s="3"/>
      <c r="M556" s="3"/>
      <c r="N556" s="3"/>
      <c r="O556" s="3">
        <v>1288.82531738281</v>
      </c>
      <c r="P556" s="3">
        <v>1733.81103515625</v>
      </c>
      <c r="Q556" s="3"/>
      <c r="R556" s="3"/>
      <c r="S556" s="3">
        <v>0.66607391834259</v>
      </c>
      <c r="T556" s="3">
        <v>0.67376822233200095</v>
      </c>
      <c r="U556" s="3">
        <v>0.81643736362457298</v>
      </c>
      <c r="W556" t="s">
        <v>51</v>
      </c>
      <c r="X556" t="s">
        <v>51</v>
      </c>
      <c r="Y556" t="s">
        <v>52</v>
      </c>
      <c r="Z556" t="s">
        <v>53</v>
      </c>
      <c r="AC556" s="2">
        <v>0.63636897772593504</v>
      </c>
      <c r="AD556" s="2">
        <v>0.669855237007141</v>
      </c>
      <c r="AE556" s="2">
        <v>0.358911782503128</v>
      </c>
      <c r="AF556" s="2">
        <v>0.38915580511093101</v>
      </c>
      <c r="AG556" s="2">
        <v>0.52616405487060602</v>
      </c>
      <c r="AH556" s="2">
        <v>-0.94372707605361905</v>
      </c>
      <c r="AI556" s="2">
        <v>-3.5978085361421097E-4</v>
      </c>
      <c r="AJ556" s="2">
        <v>0.82025498693033205</v>
      </c>
      <c r="AK556" s="2">
        <v>0.69647119524885204</v>
      </c>
      <c r="AL556" s="2">
        <v>0.40068152078226899</v>
      </c>
      <c r="AM556" s="2">
        <v>0.57398092746734597</v>
      </c>
      <c r="AN556" s="2">
        <v>0.46690234541893</v>
      </c>
      <c r="AO556" s="2">
        <v>0.494903594255447</v>
      </c>
      <c r="AP556" s="2"/>
    </row>
    <row r="557" spans="1:42" x14ac:dyDescent="0.3">
      <c r="A557" t="s">
        <v>221</v>
      </c>
      <c r="B557" s="3">
        <v>2018</v>
      </c>
      <c r="C557" s="3">
        <v>4.7008000000000001E-2</v>
      </c>
      <c r="D557" s="3"/>
      <c r="E557" t="s">
        <v>58</v>
      </c>
      <c r="G557" s="3">
        <v>1400.15441894531</v>
      </c>
      <c r="H557" s="3">
        <v>1877.11804199219</v>
      </c>
      <c r="I557" s="3">
        <v>1590.82116699219</v>
      </c>
      <c r="J557" s="3">
        <v>1317.53894042969</v>
      </c>
      <c r="K557" s="3">
        <v>12691.2998046875</v>
      </c>
      <c r="L557" s="3"/>
      <c r="M557" s="3"/>
      <c r="N557" s="3"/>
      <c r="O557" s="3">
        <v>1323.55480957031</v>
      </c>
      <c r="P557" s="3">
        <v>1783.392578125</v>
      </c>
      <c r="Q557" s="3"/>
      <c r="R557" s="3"/>
      <c r="S557" s="3">
        <v>0.66879069805145297</v>
      </c>
      <c r="T557" s="3">
        <v>0.67672479152679399</v>
      </c>
      <c r="U557" s="3">
        <v>0.81709027290344205</v>
      </c>
      <c r="W557" t="s">
        <v>50</v>
      </c>
      <c r="X557" t="s">
        <v>51</v>
      </c>
      <c r="Y557" t="s">
        <v>52</v>
      </c>
      <c r="Z557" t="s">
        <v>53</v>
      </c>
      <c r="AC557" s="2">
        <v>0.62879576736892995</v>
      </c>
      <c r="AD557" s="2">
        <v>0.67363411188125599</v>
      </c>
      <c r="AE557" s="2">
        <v>0.36201104521751398</v>
      </c>
      <c r="AF557" s="2">
        <v>0.38907030224800099</v>
      </c>
      <c r="AG557" s="2">
        <v>0.51440477371215798</v>
      </c>
      <c r="AH557" s="2">
        <v>-0.93864053487777699</v>
      </c>
      <c r="AI557" s="2">
        <v>-4.7970737796276802E-4</v>
      </c>
      <c r="AJ557" s="2">
        <v>0.82276476224636597</v>
      </c>
      <c r="AK557" s="2">
        <v>0.70001582243865301</v>
      </c>
      <c r="AL557" s="2">
        <v>0.40220092425947301</v>
      </c>
      <c r="AM557" s="2">
        <v>0.58663600683212302</v>
      </c>
      <c r="AN557" s="2">
        <v>0.47774043679237399</v>
      </c>
      <c r="AO557" s="2">
        <v>0.50183731317520097</v>
      </c>
      <c r="AP557" s="2"/>
    </row>
    <row r="558" spans="1:42" x14ac:dyDescent="0.3">
      <c r="A558" t="s">
        <v>221</v>
      </c>
      <c r="B558" s="3">
        <v>2019</v>
      </c>
      <c r="C558" s="3">
        <v>4.6952000000000001E-2</v>
      </c>
      <c r="D558" s="3"/>
      <c r="E558" t="s">
        <v>58</v>
      </c>
      <c r="G558" s="3">
        <v>1484.35766601563</v>
      </c>
      <c r="H558" s="3">
        <v>1973.85070800781</v>
      </c>
      <c r="I558" s="3">
        <v>1665.40710449219</v>
      </c>
      <c r="J558" s="3">
        <v>1387.87133789063</v>
      </c>
      <c r="K558" s="3">
        <v>12767.4248046875</v>
      </c>
      <c r="L558" s="3"/>
      <c r="M558" s="3"/>
      <c r="N558" s="3"/>
      <c r="O558" s="3">
        <v>1367.78771972656</v>
      </c>
      <c r="P558" s="3">
        <v>1842.02600097656</v>
      </c>
      <c r="Q558" s="3"/>
      <c r="R558" s="3"/>
      <c r="S558" s="3">
        <v>0.65242248773574796</v>
      </c>
      <c r="T558" s="3">
        <v>0.66521608829498302</v>
      </c>
      <c r="U558" s="3">
        <v>0.79824072122573897</v>
      </c>
      <c r="W558" t="s">
        <v>50</v>
      </c>
      <c r="X558" t="s">
        <v>54</v>
      </c>
      <c r="Y558" t="s">
        <v>52</v>
      </c>
      <c r="Z558" t="s">
        <v>53</v>
      </c>
      <c r="AC558" s="2">
        <v>0.62564790045310603</v>
      </c>
      <c r="AD558" s="2">
        <v>0.678855240345001</v>
      </c>
      <c r="AE558" s="2">
        <v>0.35269334912300099</v>
      </c>
      <c r="AF558" s="2">
        <v>0.39066585898399397</v>
      </c>
      <c r="AG558" s="2">
        <v>0.50322335958480802</v>
      </c>
      <c r="AH558" s="2">
        <v>-0.92473375797271695</v>
      </c>
      <c r="AI558" s="2">
        <v>-7.0409738691523704E-4</v>
      </c>
      <c r="AJ558" s="2">
        <v>0.80308583269642697</v>
      </c>
      <c r="AK558" s="2">
        <v>0.70401190307808903</v>
      </c>
      <c r="AL558" s="2">
        <v>0.39061657677552403</v>
      </c>
      <c r="AM558" s="2">
        <v>0.58175218105316195</v>
      </c>
      <c r="AN558" s="2">
        <v>0.47584328055381803</v>
      </c>
      <c r="AO558" s="2">
        <v>0.50946623086929299</v>
      </c>
      <c r="AP558" s="2"/>
    </row>
    <row r="559" spans="1:42" x14ac:dyDescent="0.3">
      <c r="A559" t="s">
        <v>221</v>
      </c>
      <c r="B559" s="3">
        <v>2020</v>
      </c>
      <c r="C559" s="3">
        <v>4.6870000000000002E-2</v>
      </c>
      <c r="D559" s="3"/>
      <c r="E559" t="s">
        <v>58</v>
      </c>
      <c r="G559" s="3">
        <v>1217.51696777344</v>
      </c>
      <c r="H559" s="3">
        <v>1625.40100097656</v>
      </c>
      <c r="I559" s="3">
        <v>1379.28161621094</v>
      </c>
      <c r="J559" s="3">
        <v>1153.69604492188</v>
      </c>
      <c r="K559" s="3">
        <v>12811.125</v>
      </c>
      <c r="L559" s="3"/>
      <c r="M559" s="3"/>
      <c r="N559" s="3"/>
      <c r="O559" s="3">
        <v>1151.37255859375</v>
      </c>
      <c r="P559" s="3">
        <v>1550.29211425781</v>
      </c>
      <c r="Q559" s="3"/>
      <c r="R559" s="3"/>
      <c r="S559" s="3">
        <v>0.63112646341323897</v>
      </c>
      <c r="T559" s="3">
        <v>0.64085692167282104</v>
      </c>
      <c r="U559" s="3">
        <v>0.76616561412811302</v>
      </c>
      <c r="W559" t="s">
        <v>50</v>
      </c>
      <c r="X559" t="s">
        <v>54</v>
      </c>
      <c r="Y559" t="s">
        <v>52</v>
      </c>
      <c r="Z559" t="s">
        <v>53</v>
      </c>
      <c r="AC559" s="2">
        <v>0.62089585797829505</v>
      </c>
      <c r="AD559" s="2">
        <v>0.66728848218917902</v>
      </c>
      <c r="AE559" s="2">
        <v>0.35354548692703203</v>
      </c>
      <c r="AF559" s="2">
        <v>0.38803020119667098</v>
      </c>
      <c r="AG559" s="2">
        <v>0.51290988922119096</v>
      </c>
      <c r="AH559" s="2">
        <v>-0.92125946283340499</v>
      </c>
      <c r="AI559" s="2">
        <v>-5.1452824845910105E-4</v>
      </c>
      <c r="AJ559" s="2">
        <v>0.77856980000463605</v>
      </c>
      <c r="AK559" s="2">
        <v>0.66990199512077497</v>
      </c>
      <c r="AL559" s="2">
        <v>0.37757088402473499</v>
      </c>
      <c r="AM559" s="2">
        <v>0.55068856477737405</v>
      </c>
      <c r="AN559" s="2">
        <v>0.45456704497337302</v>
      </c>
      <c r="AO559" s="2">
        <v>0.482993513345718</v>
      </c>
      <c r="AP559" s="2"/>
    </row>
    <row r="560" spans="1:42" x14ac:dyDescent="0.3">
      <c r="A560" t="s">
        <v>222</v>
      </c>
      <c r="B560" s="3">
        <v>2015</v>
      </c>
      <c r="C560" s="3">
        <v>50.983911999999997</v>
      </c>
      <c r="D560" s="3">
        <v>2077.29</v>
      </c>
      <c r="E560" t="s">
        <v>223</v>
      </c>
      <c r="G560" s="3">
        <v>1361198.125</v>
      </c>
      <c r="H560" s="3">
        <v>2082620.5</v>
      </c>
      <c r="I560" s="3">
        <v>2228547.5</v>
      </c>
      <c r="J560" s="3">
        <v>2252626</v>
      </c>
      <c r="K560" s="3">
        <v>10610965</v>
      </c>
      <c r="L560" s="3">
        <v>0.13332612812519101</v>
      </c>
      <c r="M560" s="3">
        <v>0.65973335504531905</v>
      </c>
      <c r="N560" s="3">
        <v>0.58843946456909202</v>
      </c>
      <c r="O560" s="3">
        <v>1404312.125</v>
      </c>
      <c r="P560" s="3">
        <v>2207781</v>
      </c>
      <c r="Q560" s="3">
        <v>0.96271830797195401</v>
      </c>
      <c r="R560" s="3">
        <v>0.52935659885406505</v>
      </c>
      <c r="S560" s="3">
        <v>0.72527748346328702</v>
      </c>
      <c r="T560" s="3">
        <v>0.69067955017089799</v>
      </c>
      <c r="U560" s="3">
        <v>0.683296859264374</v>
      </c>
      <c r="W560" t="s">
        <v>50</v>
      </c>
      <c r="X560" t="s">
        <v>51</v>
      </c>
      <c r="Y560" t="s">
        <v>52</v>
      </c>
      <c r="Z560" t="s">
        <v>53</v>
      </c>
      <c r="AA560" t="s">
        <v>53</v>
      </c>
      <c r="AC560" s="2">
        <v>0.799433332388375</v>
      </c>
      <c r="AD560" s="2">
        <v>0.45984068512916598</v>
      </c>
      <c r="AE560" s="2">
        <v>0.320258378982544</v>
      </c>
      <c r="AF560" s="2">
        <v>0.14443098008632699</v>
      </c>
      <c r="AG560" s="2">
        <v>0.45722246170043901</v>
      </c>
      <c r="AH560" s="2">
        <v>-0.38175249099731401</v>
      </c>
      <c r="AI560" s="2">
        <v>1.51266108335988E-16</v>
      </c>
      <c r="AJ560" s="2">
        <v>0.73989908933360404</v>
      </c>
      <c r="AK560" s="2">
        <v>0.62539931035113305</v>
      </c>
      <c r="AL560" s="2">
        <v>0.67872512292659903</v>
      </c>
      <c r="AM560" s="2">
        <v>0.61224895715713501</v>
      </c>
      <c r="AN560" s="2">
        <v>0.61608266830444303</v>
      </c>
      <c r="AO560" s="2">
        <v>0.47297492623329201</v>
      </c>
      <c r="AP560" s="2">
        <v>0.72593414783477805</v>
      </c>
    </row>
    <row r="561" spans="1:42" x14ac:dyDescent="0.3">
      <c r="A561" t="s">
        <v>222</v>
      </c>
      <c r="B561" s="3">
        <v>2016</v>
      </c>
      <c r="C561" s="3">
        <v>51.297839000000003</v>
      </c>
      <c r="D561" s="3">
        <v>2062.33</v>
      </c>
      <c r="E561" t="s">
        <v>223</v>
      </c>
      <c r="G561" s="3">
        <v>1407872.25</v>
      </c>
      <c r="H561" s="3">
        <v>2170251.5</v>
      </c>
      <c r="I561" s="3">
        <v>2316819.25</v>
      </c>
      <c r="J561" s="3">
        <v>2342915</v>
      </c>
      <c r="K561" s="3">
        <v>11006685</v>
      </c>
      <c r="L561" s="3">
        <v>0.135946720838547</v>
      </c>
      <c r="M561" s="3">
        <v>0.66859269142150901</v>
      </c>
      <c r="N561" s="3">
        <v>0.598766088485718</v>
      </c>
      <c r="O561" s="3">
        <v>1448012.375</v>
      </c>
      <c r="P561" s="3">
        <v>2302116</v>
      </c>
      <c r="Q561" s="3">
        <v>0.96878838539123502</v>
      </c>
      <c r="R561" s="3">
        <v>0.52611917257309004</v>
      </c>
      <c r="S561" s="3">
        <v>0.71439886093139704</v>
      </c>
      <c r="T561" s="3">
        <v>0.68160277605056796</v>
      </c>
      <c r="U561" s="3">
        <v>0.67401099205017101</v>
      </c>
      <c r="W561" t="s">
        <v>50</v>
      </c>
      <c r="X561" t="s">
        <v>51</v>
      </c>
      <c r="Y561" t="s">
        <v>52</v>
      </c>
      <c r="Z561" t="s">
        <v>53</v>
      </c>
      <c r="AA561" t="s">
        <v>53</v>
      </c>
      <c r="AC561" s="2">
        <v>0.78443512957587702</v>
      </c>
      <c r="AD561" s="2">
        <v>0.456028282642365</v>
      </c>
      <c r="AE561" s="2">
        <v>0.32539775967598</v>
      </c>
      <c r="AF561" s="2">
        <v>0.144877970218658</v>
      </c>
      <c r="AG561" s="2">
        <v>0.42275893688201899</v>
      </c>
      <c r="AH561" s="2">
        <v>-0.349062919616699</v>
      </c>
      <c r="AI561" s="2">
        <v>-5.4554583073240799E-8</v>
      </c>
      <c r="AJ561" s="2">
        <v>0.72791371148775896</v>
      </c>
      <c r="AK561" s="2">
        <v>0.62103883870931098</v>
      </c>
      <c r="AL561" s="2">
        <v>0.671858569177059</v>
      </c>
      <c r="AM561" s="2">
        <v>0.607641160488129</v>
      </c>
      <c r="AN561" s="2">
        <v>0.613774955272675</v>
      </c>
      <c r="AO561" s="2">
        <v>0.46396270394325301</v>
      </c>
      <c r="AP561" s="2">
        <v>0.71250385046005305</v>
      </c>
    </row>
    <row r="562" spans="1:42" x14ac:dyDescent="0.3">
      <c r="A562" t="s">
        <v>222</v>
      </c>
      <c r="B562" s="3">
        <v>2017</v>
      </c>
      <c r="C562" s="3">
        <v>51.486269999999998</v>
      </c>
      <c r="D562" s="3">
        <v>2012.47</v>
      </c>
      <c r="E562" t="s">
        <v>223</v>
      </c>
      <c r="G562" s="3">
        <v>1434219.875</v>
      </c>
      <c r="H562" s="3">
        <v>2280178</v>
      </c>
      <c r="I562" s="3">
        <v>2387761.75</v>
      </c>
      <c r="J562" s="3">
        <v>2409923</v>
      </c>
      <c r="K562" s="3">
        <v>11626509</v>
      </c>
      <c r="L562" s="3">
        <v>0.14154578745365101</v>
      </c>
      <c r="M562" s="3">
        <v>0.66323512792587302</v>
      </c>
      <c r="N562" s="3">
        <v>0.60432082414627097</v>
      </c>
      <c r="O562" s="3">
        <v>1492261.875</v>
      </c>
      <c r="P562" s="3">
        <v>2425460.75</v>
      </c>
      <c r="Q562" s="3">
        <v>0.98087018728256203</v>
      </c>
      <c r="R562" s="3">
        <v>0.52143293619155895</v>
      </c>
      <c r="S562" s="3">
        <v>0.75753521919250499</v>
      </c>
      <c r="T562" s="3">
        <v>0.71623420715331998</v>
      </c>
      <c r="U562" s="3">
        <v>0.70964789390563998</v>
      </c>
      <c r="W562" t="s">
        <v>51</v>
      </c>
      <c r="X562" t="s">
        <v>51</v>
      </c>
      <c r="Y562" t="s">
        <v>52</v>
      </c>
      <c r="Z562" t="s">
        <v>53</v>
      </c>
      <c r="AA562" t="s">
        <v>53</v>
      </c>
      <c r="AC562" s="2">
        <v>0.77272037346077105</v>
      </c>
      <c r="AD562" s="2">
        <v>0.44655236601829501</v>
      </c>
      <c r="AE562" s="2">
        <v>0.35103115439415</v>
      </c>
      <c r="AF562" s="2">
        <v>0.14857864379882799</v>
      </c>
      <c r="AG562" s="2">
        <v>0.44532179832458502</v>
      </c>
      <c r="AH562" s="2">
        <v>-0.39148396253585799</v>
      </c>
      <c r="AI562" s="2">
        <v>0</v>
      </c>
      <c r="AJ562" s="2">
        <v>0.77797620641224596</v>
      </c>
      <c r="AK562" s="2">
        <v>0.646213331108492</v>
      </c>
      <c r="AL562" s="2">
        <v>0.69609984069966702</v>
      </c>
      <c r="AM562" s="2">
        <v>0.61908113956451405</v>
      </c>
      <c r="AN562" s="2">
        <v>0.62254440784454401</v>
      </c>
      <c r="AO562" s="2">
        <v>0.48337236046791099</v>
      </c>
      <c r="AP562" s="2">
        <v>0.72141528129577603</v>
      </c>
    </row>
    <row r="563" spans="1:42" x14ac:dyDescent="0.3">
      <c r="A563" t="s">
        <v>222</v>
      </c>
      <c r="B563" s="3">
        <v>2018</v>
      </c>
      <c r="C563" s="3">
        <v>51.640894000000003</v>
      </c>
      <c r="D563" s="3">
        <v>1987.54</v>
      </c>
      <c r="E563" t="s">
        <v>223</v>
      </c>
      <c r="G563" s="3">
        <v>1511660.25</v>
      </c>
      <c r="H563" s="3">
        <v>2382363.5</v>
      </c>
      <c r="I563" s="3">
        <v>2486736.5</v>
      </c>
      <c r="J563" s="3">
        <v>2507610.5</v>
      </c>
      <c r="K563" s="3">
        <v>12380681</v>
      </c>
      <c r="L563" s="3">
        <v>0.148430660367012</v>
      </c>
      <c r="M563" s="3">
        <v>0.66531902551651001</v>
      </c>
      <c r="N563" s="3">
        <v>0.60844779014587402</v>
      </c>
      <c r="O563" s="3">
        <v>1548585.75</v>
      </c>
      <c r="P563" s="3">
        <v>2483967</v>
      </c>
      <c r="Q563" s="3">
        <v>0.99311065673828103</v>
      </c>
      <c r="R563" s="3">
        <v>0.52824485301971402</v>
      </c>
      <c r="S563" s="3">
        <v>0.77903097867965698</v>
      </c>
      <c r="T563" s="3">
        <v>0.733592569828033</v>
      </c>
      <c r="U563" s="3">
        <v>0.72748601436615001</v>
      </c>
      <c r="W563" t="s">
        <v>50</v>
      </c>
      <c r="X563" t="s">
        <v>51</v>
      </c>
      <c r="Y563" t="s">
        <v>52</v>
      </c>
      <c r="Z563" t="s">
        <v>53</v>
      </c>
      <c r="AA563" t="s">
        <v>53</v>
      </c>
      <c r="AC563" s="2">
        <v>0.78323807453745797</v>
      </c>
      <c r="AD563" s="2">
        <v>0.43903052806854298</v>
      </c>
      <c r="AE563" s="2">
        <v>0.34722432494163502</v>
      </c>
      <c r="AF563" s="2">
        <v>0.16379845142364499</v>
      </c>
      <c r="AG563" s="2">
        <v>0.44849672913551297</v>
      </c>
      <c r="AH563" s="2">
        <v>-0.39855009317398099</v>
      </c>
      <c r="AI563" s="2">
        <v>0</v>
      </c>
      <c r="AJ563" s="2">
        <v>0.81880225089174596</v>
      </c>
      <c r="AK563" s="2">
        <v>0.65470517136943696</v>
      </c>
      <c r="AL563" s="2">
        <v>0.67243172456239797</v>
      </c>
      <c r="AM563" s="2">
        <v>0.63993841409683205</v>
      </c>
      <c r="AN563" s="2">
        <v>0.64352357387542702</v>
      </c>
      <c r="AO563" s="2">
        <v>0.49628305435180697</v>
      </c>
      <c r="AP563" s="2">
        <v>0.68555670976638805</v>
      </c>
    </row>
    <row r="564" spans="1:42" x14ac:dyDescent="0.3">
      <c r="A564" t="s">
        <v>222</v>
      </c>
      <c r="B564" s="3">
        <v>2019</v>
      </c>
      <c r="C564" s="3">
        <v>51.767845999999999</v>
      </c>
      <c r="D564" s="3">
        <v>1963.22</v>
      </c>
      <c r="E564" t="s">
        <v>223</v>
      </c>
      <c r="G564" s="3">
        <v>1565713.375</v>
      </c>
      <c r="H564" s="3">
        <v>2461745.5</v>
      </c>
      <c r="I564" s="3">
        <v>2528383.5</v>
      </c>
      <c r="J564" s="3">
        <v>2612106</v>
      </c>
      <c r="K564" s="3">
        <v>13151834</v>
      </c>
      <c r="L564" s="3">
        <v>0.15539085865020799</v>
      </c>
      <c r="M564" s="3">
        <v>0.66686946153640803</v>
      </c>
      <c r="N564" s="3">
        <v>0.60477471351623502</v>
      </c>
      <c r="O564" s="3">
        <v>1600018.5</v>
      </c>
      <c r="P564" s="3">
        <v>2527542.5</v>
      </c>
      <c r="Q564" s="3">
        <v>0.99475109577178999</v>
      </c>
      <c r="R564" s="3">
        <v>0.54343920946121205</v>
      </c>
      <c r="S564" s="3">
        <v>0.74001169204711903</v>
      </c>
      <c r="T564" s="3">
        <v>0.69255542755126998</v>
      </c>
      <c r="U564" s="3">
        <v>0.67035788297653198</v>
      </c>
      <c r="W564" t="s">
        <v>50</v>
      </c>
      <c r="X564" t="s">
        <v>54</v>
      </c>
      <c r="Y564" t="s">
        <v>52</v>
      </c>
      <c r="Z564" t="s">
        <v>53</v>
      </c>
      <c r="AA564" t="s">
        <v>53</v>
      </c>
      <c r="AC564" s="2">
        <v>0.78849204993580102</v>
      </c>
      <c r="AD564" s="2">
        <v>0.43041890859603898</v>
      </c>
      <c r="AE564" s="2">
        <v>0.34303057193756098</v>
      </c>
      <c r="AF564" s="2">
        <v>0.168987616896629</v>
      </c>
      <c r="AG564" s="2">
        <v>0.43375793099403398</v>
      </c>
      <c r="AH564" s="2">
        <v>-0.37619513273239102</v>
      </c>
      <c r="AI564" s="2">
        <v>4.9005329572082701E-8</v>
      </c>
      <c r="AJ564" s="2">
        <v>0.78037545806526099</v>
      </c>
      <c r="AK564" s="2">
        <v>0.60963102291693505</v>
      </c>
      <c r="AL564" s="2">
        <v>0.63720346420381102</v>
      </c>
      <c r="AM564" s="2">
        <v>0.57246083021163896</v>
      </c>
      <c r="AN564" s="2">
        <v>0.61309021711349498</v>
      </c>
      <c r="AO564" s="2">
        <v>0.467056214809418</v>
      </c>
      <c r="AP564" s="2">
        <v>0.58517670631408703</v>
      </c>
    </row>
    <row r="565" spans="1:42" x14ac:dyDescent="0.3">
      <c r="A565" t="s">
        <v>222</v>
      </c>
      <c r="B565" s="3">
        <v>2020</v>
      </c>
      <c r="C565" s="3">
        <v>51.858482000000002</v>
      </c>
      <c r="D565" s="3">
        <v>1904.34</v>
      </c>
      <c r="E565" t="s">
        <v>223</v>
      </c>
      <c r="G565" s="3">
        <v>1563425.375</v>
      </c>
      <c r="H565" s="3">
        <v>2476780.5</v>
      </c>
      <c r="I565" s="3">
        <v>2571553.75</v>
      </c>
      <c r="J565" s="3">
        <v>2652867.75</v>
      </c>
      <c r="K565" s="3">
        <v>13766812</v>
      </c>
      <c r="L565" s="3">
        <v>0.15679568052291901</v>
      </c>
      <c r="M565" s="3">
        <v>0.67261725664138805</v>
      </c>
      <c r="N565" s="3">
        <v>0.60242557525634799</v>
      </c>
      <c r="O565" s="3">
        <v>1564093.625</v>
      </c>
      <c r="P565" s="3">
        <v>2495382.25</v>
      </c>
      <c r="Q565" s="3">
        <v>0.98735690116882302</v>
      </c>
      <c r="R565" s="3">
        <v>0.54843825101852395</v>
      </c>
      <c r="S565" s="3">
        <v>0.72275769710540805</v>
      </c>
      <c r="T565" s="3">
        <v>0.67821651697158802</v>
      </c>
      <c r="U565" s="3">
        <v>0.65742826461792003</v>
      </c>
      <c r="W565" t="s">
        <v>50</v>
      </c>
      <c r="X565" t="s">
        <v>54</v>
      </c>
      <c r="Y565" t="s">
        <v>52</v>
      </c>
      <c r="Z565" t="s">
        <v>53</v>
      </c>
      <c r="AA565" t="s">
        <v>53</v>
      </c>
      <c r="AC565" s="2">
        <v>0.79313739843639997</v>
      </c>
      <c r="AD565" s="2">
        <v>0.40977153182029702</v>
      </c>
      <c r="AE565" s="2">
        <v>0.34428977966308599</v>
      </c>
      <c r="AF565" s="2">
        <v>0.179562538862228</v>
      </c>
      <c r="AG565" s="2">
        <v>0.41777369379997298</v>
      </c>
      <c r="AH565" s="2">
        <v>-0.351397514343262</v>
      </c>
      <c r="AI565" s="2">
        <v>0</v>
      </c>
      <c r="AJ565" s="2">
        <v>0.76700228912633495</v>
      </c>
      <c r="AK565" s="2">
        <v>0.601973670730789</v>
      </c>
      <c r="AL565" s="2">
        <v>0.62178910503548501</v>
      </c>
      <c r="AM565" s="2">
        <v>0.54472100734710704</v>
      </c>
      <c r="AN565" s="2">
        <v>0.57866364717483498</v>
      </c>
      <c r="AO565" s="2">
        <v>0.46014904975891102</v>
      </c>
      <c r="AP565" s="2">
        <v>0.59644716978073098</v>
      </c>
    </row>
    <row r="566" spans="1:42" x14ac:dyDescent="0.3">
      <c r="A566" t="s">
        <v>224</v>
      </c>
      <c r="B566" s="3">
        <v>2015</v>
      </c>
      <c r="C566" s="3">
        <v>3.834454</v>
      </c>
      <c r="D566" s="3">
        <v>2354.4499999999998</v>
      </c>
      <c r="E566" t="s">
        <v>225</v>
      </c>
      <c r="G566" s="3">
        <v>119471.0859375</v>
      </c>
      <c r="H566" s="3">
        <v>183876.734375</v>
      </c>
      <c r="I566" s="3">
        <v>201685.78125</v>
      </c>
      <c r="J566" s="3">
        <v>218228.1875</v>
      </c>
      <c r="K566" s="3">
        <v>676074</v>
      </c>
      <c r="L566" s="3">
        <v>1.2942145578563199E-2</v>
      </c>
      <c r="M566" s="3">
        <v>0.73035818338394198</v>
      </c>
      <c r="N566" s="3">
        <v>0.59369659423828103</v>
      </c>
      <c r="O566" s="3">
        <v>121802.359375</v>
      </c>
      <c r="P566" s="3">
        <v>174173.171875</v>
      </c>
      <c r="Q566" s="3">
        <v>1.3513525724411</v>
      </c>
      <c r="R566" s="3">
        <v>0.24949263036251099</v>
      </c>
      <c r="S566" s="3">
        <v>0.63052403926849399</v>
      </c>
      <c r="T566" s="3">
        <v>0.56813412904739402</v>
      </c>
      <c r="U566" s="3">
        <v>0.52506768703460704</v>
      </c>
      <c r="W566" t="s">
        <v>50</v>
      </c>
      <c r="X566" t="s">
        <v>51</v>
      </c>
      <c r="Y566" t="s">
        <v>52</v>
      </c>
      <c r="Z566" t="s">
        <v>53</v>
      </c>
      <c r="AA566" t="s">
        <v>53</v>
      </c>
      <c r="AC566" s="2">
        <v>0.56335988502519296</v>
      </c>
      <c r="AD566" s="2">
        <v>0.40079259872436501</v>
      </c>
      <c r="AE566" s="2">
        <v>0.29512980580329901</v>
      </c>
      <c r="AF566" s="2">
        <v>0.146666839718819</v>
      </c>
      <c r="AG566" s="2">
        <v>0.52573853731155396</v>
      </c>
      <c r="AH566" s="2">
        <v>-0.25447458028793302</v>
      </c>
      <c r="AI566" s="2">
        <v>-0.11385323107242599</v>
      </c>
      <c r="AJ566" s="2">
        <v>0.54431526481940495</v>
      </c>
      <c r="AK566" s="2">
        <v>0.452402087567987</v>
      </c>
      <c r="AL566" s="2">
        <v>0.86610453129039899</v>
      </c>
      <c r="AM566" s="2">
        <v>0.47172057628631597</v>
      </c>
      <c r="AN566" s="2">
        <v>0.557450711727142</v>
      </c>
      <c r="AO566" s="2">
        <v>0.30730289220809898</v>
      </c>
      <c r="AP566" s="2">
        <v>0.88776242733001698</v>
      </c>
    </row>
    <row r="567" spans="1:42" x14ac:dyDescent="0.3">
      <c r="A567" t="s">
        <v>224</v>
      </c>
      <c r="B567" s="3">
        <v>2016</v>
      </c>
      <c r="C567" s="3">
        <v>4.0039709999999999</v>
      </c>
      <c r="D567" s="3">
        <v>2354.17</v>
      </c>
      <c r="E567" t="s">
        <v>225</v>
      </c>
      <c r="G567" s="3">
        <v>126309.0234375</v>
      </c>
      <c r="H567" s="3">
        <v>198081.234375</v>
      </c>
      <c r="I567" s="3">
        <v>196327.859375</v>
      </c>
      <c r="J567" s="3">
        <v>211917.453125</v>
      </c>
      <c r="K567" s="3">
        <v>757022.375</v>
      </c>
      <c r="L567" s="3">
        <v>1.3689542189240501E-2</v>
      </c>
      <c r="M567" s="3">
        <v>0.66119188070297197</v>
      </c>
      <c r="N567" s="3">
        <v>0.59751141071319602</v>
      </c>
      <c r="O567" s="3">
        <v>122969.1171875</v>
      </c>
      <c r="P567" s="3">
        <v>180967.21875</v>
      </c>
      <c r="Q567" s="3">
        <v>1.2359539270401001</v>
      </c>
      <c r="R567" s="3">
        <v>0.24949263036251099</v>
      </c>
      <c r="S567" s="3">
        <v>0.61441785097122203</v>
      </c>
      <c r="T567" s="3">
        <v>0.55726259946823098</v>
      </c>
      <c r="U567" s="3">
        <v>0.51626783609390303</v>
      </c>
      <c r="W567" t="s">
        <v>50</v>
      </c>
      <c r="X567" t="s">
        <v>51</v>
      </c>
      <c r="Y567" t="s">
        <v>52</v>
      </c>
      <c r="Z567" t="s">
        <v>53</v>
      </c>
      <c r="AA567" t="s">
        <v>53</v>
      </c>
      <c r="AC567" s="2">
        <v>0.58896096199435499</v>
      </c>
      <c r="AD567" s="2">
        <v>0.43794053792953502</v>
      </c>
      <c r="AE567" s="2">
        <v>0.338679999113083</v>
      </c>
      <c r="AF567" s="2">
        <v>0.15808883309364299</v>
      </c>
      <c r="AG567" s="2">
        <v>0.48480793833732599</v>
      </c>
      <c r="AH567" s="2">
        <v>-0.26935815811157199</v>
      </c>
      <c r="AI567" s="2">
        <v>-0.15015919506549799</v>
      </c>
      <c r="AJ567" s="2">
        <v>0.53318104810917699</v>
      </c>
      <c r="AK567" s="2">
        <v>0.45667733096033403</v>
      </c>
      <c r="AL567" s="2">
        <v>0.839461563095103</v>
      </c>
      <c r="AM567" s="2">
        <v>0.450026154518127</v>
      </c>
      <c r="AN567" s="2">
        <v>0.53929907083511397</v>
      </c>
      <c r="AO567" s="2">
        <v>0.30008107423782399</v>
      </c>
      <c r="AP567" s="2">
        <v>0.77637428045272805</v>
      </c>
    </row>
    <row r="568" spans="1:42" x14ac:dyDescent="0.3">
      <c r="A568" t="s">
        <v>224</v>
      </c>
      <c r="B568" s="3">
        <v>2017</v>
      </c>
      <c r="C568" s="3">
        <v>4.1546849999999997</v>
      </c>
      <c r="D568" s="3">
        <v>2347.38</v>
      </c>
      <c r="E568" t="s">
        <v>225</v>
      </c>
      <c r="G568" s="3">
        <v>132174.6875</v>
      </c>
      <c r="H568" s="3">
        <v>211095.8125</v>
      </c>
      <c r="I568" s="3">
        <v>221164.28125</v>
      </c>
      <c r="J568" s="3">
        <v>234992.484375</v>
      </c>
      <c r="K568" s="3">
        <v>911441.6875</v>
      </c>
      <c r="L568" s="3">
        <v>1.51627799496055E-2</v>
      </c>
      <c r="M568" s="3">
        <v>0.66499704122543302</v>
      </c>
      <c r="N568" s="3">
        <v>0.57528036832809504</v>
      </c>
      <c r="O568" s="3">
        <v>126646.375</v>
      </c>
      <c r="P568" s="3">
        <v>185466.328125</v>
      </c>
      <c r="Q568" s="3">
        <v>1.0805513858795199</v>
      </c>
      <c r="R568" s="3">
        <v>0.24949263036251099</v>
      </c>
      <c r="S568" s="3">
        <v>0.61831545829773005</v>
      </c>
      <c r="T568" s="3">
        <v>0.54569226503372203</v>
      </c>
      <c r="U568" s="3">
        <v>0.51358085870742798</v>
      </c>
      <c r="W568" t="s">
        <v>51</v>
      </c>
      <c r="X568" t="s">
        <v>51</v>
      </c>
      <c r="Y568" t="s">
        <v>52</v>
      </c>
      <c r="Z568" t="s">
        <v>53</v>
      </c>
      <c r="AA568" t="s">
        <v>53</v>
      </c>
      <c r="AC568" s="2">
        <v>0.54392355138802795</v>
      </c>
      <c r="AD568" s="2">
        <v>0.40256953239440901</v>
      </c>
      <c r="AE568" s="2">
        <v>0.33584529161453203</v>
      </c>
      <c r="AF568" s="2">
        <v>0.15989390015602101</v>
      </c>
      <c r="AG568" s="2">
        <v>0.48296129703521701</v>
      </c>
      <c r="AH568" s="2">
        <v>-0.249527022242546</v>
      </c>
      <c r="AI568" s="2">
        <v>-0.131743028759956</v>
      </c>
      <c r="AJ568" s="2">
        <v>0.55234281991321199</v>
      </c>
      <c r="AK568" s="2">
        <v>0.42406512466291502</v>
      </c>
      <c r="AL568" s="2">
        <v>0.78441672333858303</v>
      </c>
      <c r="AM568" s="2">
        <v>0.48454287648201</v>
      </c>
      <c r="AN568" s="2">
        <v>0.57298022508621205</v>
      </c>
      <c r="AO568" s="2">
        <v>0.271061182022095</v>
      </c>
      <c r="AP568" s="2">
        <v>0.74530220031738303</v>
      </c>
    </row>
    <row r="569" spans="1:42" x14ac:dyDescent="0.3">
      <c r="A569" t="s">
        <v>224</v>
      </c>
      <c r="B569" s="3">
        <v>2018</v>
      </c>
      <c r="C569" s="3">
        <v>4.3233870000000003</v>
      </c>
      <c r="D569" s="3">
        <v>2344.5500000000002</v>
      </c>
      <c r="E569" t="s">
        <v>225</v>
      </c>
      <c r="G569" s="3">
        <v>139851.953125</v>
      </c>
      <c r="H569" s="3">
        <v>211925.90625</v>
      </c>
      <c r="I569" s="3">
        <v>240380.46875</v>
      </c>
      <c r="J569" s="3">
        <v>261274.484375</v>
      </c>
      <c r="K569" s="3">
        <v>814816.0625</v>
      </c>
      <c r="L569" s="3">
        <v>1.26699972897768E-2</v>
      </c>
      <c r="M569" s="3">
        <v>0.79915773868560802</v>
      </c>
      <c r="N569" s="3">
        <v>0.62397205829620395</v>
      </c>
      <c r="O569" s="3">
        <v>132776.21875</v>
      </c>
      <c r="P569" s="3">
        <v>194307.9375</v>
      </c>
      <c r="Q569" s="3">
        <v>1.02906906604767</v>
      </c>
      <c r="R569" s="3">
        <v>0.24949263036251099</v>
      </c>
      <c r="S569" s="3">
        <v>0.62075841426849399</v>
      </c>
      <c r="T569" s="3">
        <v>0.57677769660949696</v>
      </c>
      <c r="U569" s="3">
        <v>0.53065299987793002</v>
      </c>
      <c r="W569" t="s">
        <v>50</v>
      </c>
      <c r="X569" t="s">
        <v>51</v>
      </c>
      <c r="Y569" t="s">
        <v>52</v>
      </c>
      <c r="Z569" t="s">
        <v>53</v>
      </c>
      <c r="AA569" t="s">
        <v>53</v>
      </c>
      <c r="AC569" s="2">
        <v>0.55719899610490597</v>
      </c>
      <c r="AD569" s="2">
        <v>0.37870588898658802</v>
      </c>
      <c r="AE569" s="2">
        <v>0.275855273008347</v>
      </c>
      <c r="AF569" s="2">
        <v>0.15656244754791299</v>
      </c>
      <c r="AG569" s="2">
        <v>0.55810284614562999</v>
      </c>
      <c r="AH569" s="2">
        <v>-0.22740609943866699</v>
      </c>
      <c r="AI569" s="2">
        <v>-0.14182035624980899</v>
      </c>
      <c r="AJ569" s="2">
        <v>0.555379024724038</v>
      </c>
      <c r="AK569" s="2">
        <v>0.49143772794058099</v>
      </c>
      <c r="AL569" s="2">
        <v>0.77890337392223596</v>
      </c>
      <c r="AM569" s="2">
        <v>0.49336457252502403</v>
      </c>
      <c r="AN569" s="2">
        <v>0.60365915298461903</v>
      </c>
      <c r="AO569" s="2">
        <v>0.31976565718650801</v>
      </c>
      <c r="AP569" s="2">
        <v>0.97107273340225198</v>
      </c>
    </row>
    <row r="570" spans="1:42" x14ac:dyDescent="0.3">
      <c r="A570" t="s">
        <v>224</v>
      </c>
      <c r="B570" s="3">
        <v>2019</v>
      </c>
      <c r="C570" s="3">
        <v>4.4421939999999998</v>
      </c>
      <c r="D570" s="3">
        <v>2337.23</v>
      </c>
      <c r="E570" t="s">
        <v>225</v>
      </c>
      <c r="G570" s="3">
        <v>146032.078125</v>
      </c>
      <c r="H570" s="3">
        <v>211466.296875</v>
      </c>
      <c r="I570" s="3">
        <v>241484.78125</v>
      </c>
      <c r="J570" s="3">
        <v>262155.25</v>
      </c>
      <c r="K570" s="3">
        <v>848094.125</v>
      </c>
      <c r="L570" s="3">
        <v>1.183114759624E-2</v>
      </c>
      <c r="M570" s="3">
        <v>0.812480628490448</v>
      </c>
      <c r="N570" s="3">
        <v>0.63066101074218806</v>
      </c>
      <c r="O570" s="3">
        <v>138600.03125</v>
      </c>
      <c r="P570" s="3">
        <v>195640.46875</v>
      </c>
      <c r="Q570" s="3">
        <v>1.0080311298370399</v>
      </c>
      <c r="R570" s="3">
        <v>0.24949263036251099</v>
      </c>
      <c r="S570" s="3">
        <v>0.62278771400451705</v>
      </c>
      <c r="T570" s="3">
        <v>0.58329272270202603</v>
      </c>
      <c r="U570" s="3">
        <v>0.53730118274688698</v>
      </c>
      <c r="W570" t="s">
        <v>50</v>
      </c>
      <c r="X570" t="s">
        <v>54</v>
      </c>
      <c r="Y570" t="s">
        <v>52</v>
      </c>
      <c r="Z570" t="s">
        <v>53</v>
      </c>
      <c r="AA570" t="s">
        <v>53</v>
      </c>
      <c r="AC570" s="2">
        <v>0.51945497911690397</v>
      </c>
      <c r="AD570" s="2">
        <v>0.38780197501182601</v>
      </c>
      <c r="AE570" s="2">
        <v>0.24960102140903501</v>
      </c>
      <c r="AF570" s="2">
        <v>0.169242277741432</v>
      </c>
      <c r="AG570" s="2">
        <v>0.48546129465103199</v>
      </c>
      <c r="AH570" s="2">
        <v>-0.19667862355709101</v>
      </c>
      <c r="AI570" s="2">
        <v>-9.5427989959716797E-2</v>
      </c>
      <c r="AJ570" s="2">
        <v>0.55648142661977495</v>
      </c>
      <c r="AK570" s="2">
        <v>0.49515021259123898</v>
      </c>
      <c r="AL570" s="2">
        <v>0.77472201932517604</v>
      </c>
      <c r="AM570" s="2">
        <v>0.50667095184326205</v>
      </c>
      <c r="AN570" s="2">
        <v>0.65032345056533802</v>
      </c>
      <c r="AO570" s="2">
        <v>0.32796069979667702</v>
      </c>
      <c r="AP570" s="2">
        <v>1.01629745960236</v>
      </c>
    </row>
    <row r="571" spans="1:42" x14ac:dyDescent="0.3">
      <c r="A571" t="s">
        <v>224</v>
      </c>
      <c r="B571" s="3">
        <v>2020</v>
      </c>
      <c r="C571" s="3">
        <v>4.4001440000000001</v>
      </c>
      <c r="D571" s="3">
        <v>2300.81</v>
      </c>
      <c r="E571" t="s">
        <v>225</v>
      </c>
      <c r="G571" s="3">
        <v>137367.84375</v>
      </c>
      <c r="H571" s="3">
        <v>185034.921875</v>
      </c>
      <c r="I571" s="3">
        <v>195628.109375</v>
      </c>
      <c r="J571" s="3">
        <v>238922.515625</v>
      </c>
      <c r="K571" s="3">
        <v>1032932.75</v>
      </c>
      <c r="L571" s="3">
        <v>1.25394091010094E-2</v>
      </c>
      <c r="M571" s="3">
        <v>0.735179424285889</v>
      </c>
      <c r="N571" s="3">
        <v>0.54620248079299905</v>
      </c>
      <c r="O571" s="3">
        <v>127655.9765625</v>
      </c>
      <c r="P571" s="3">
        <v>166100.5</v>
      </c>
      <c r="Q571" s="3">
        <v>0.98410415649414096</v>
      </c>
      <c r="R571" s="3">
        <v>0.24949263036251099</v>
      </c>
      <c r="S571" s="3">
        <v>0.61383849382400502</v>
      </c>
      <c r="T571" s="3">
        <v>0.567635297775269</v>
      </c>
      <c r="U571" s="3">
        <v>0.464775890111923</v>
      </c>
      <c r="W571" t="s">
        <v>50</v>
      </c>
      <c r="X571" t="s">
        <v>54</v>
      </c>
      <c r="Y571" t="s">
        <v>52</v>
      </c>
      <c r="Z571" t="s">
        <v>53</v>
      </c>
      <c r="AA571" t="s">
        <v>53</v>
      </c>
      <c r="AC571" s="2">
        <v>0.50726607396270196</v>
      </c>
      <c r="AD571" s="2">
        <v>0.37116426229476901</v>
      </c>
      <c r="AE571" s="2">
        <v>0.19950851798057601</v>
      </c>
      <c r="AF571" s="2">
        <v>0.20378299057483701</v>
      </c>
      <c r="AG571" s="2">
        <v>0.48237177729606601</v>
      </c>
      <c r="AH571" s="2">
        <v>-0.15664142370223999</v>
      </c>
      <c r="AI571" s="2">
        <v>-0.100186124444008</v>
      </c>
      <c r="AJ571" s="2">
        <v>0.572967244827714</v>
      </c>
      <c r="AK571" s="2">
        <v>0.43448627531592798</v>
      </c>
      <c r="AL571" s="2">
        <v>0.68828011773716802</v>
      </c>
      <c r="AM571" s="2">
        <v>0.37037703394889798</v>
      </c>
      <c r="AN571" s="2">
        <v>0.68262851238250699</v>
      </c>
      <c r="AO571" s="2">
        <v>0.28838199377059898</v>
      </c>
      <c r="AP571" s="2">
        <v>0.78922986984252896</v>
      </c>
    </row>
    <row r="572" spans="1:42" x14ac:dyDescent="0.3">
      <c r="A572" t="s">
        <v>226</v>
      </c>
      <c r="B572" s="3">
        <v>2015</v>
      </c>
      <c r="C572" s="3">
        <v>6.8016449999999997</v>
      </c>
      <c r="D572" s="3"/>
      <c r="E572" t="s">
        <v>227</v>
      </c>
      <c r="G572" s="3">
        <v>37026.23046875</v>
      </c>
      <c r="H572" s="3">
        <v>48777.08203125</v>
      </c>
      <c r="I572" s="3">
        <v>47228.953125</v>
      </c>
      <c r="J572" s="3">
        <v>47149.71875</v>
      </c>
      <c r="K572" s="3">
        <v>150749.640625</v>
      </c>
      <c r="L572" s="3">
        <v>2.0287614315748202E-3</v>
      </c>
      <c r="M572" s="3">
        <v>0.47665700316429099</v>
      </c>
      <c r="N572" s="3">
        <v>0.47572425007820102</v>
      </c>
      <c r="O572" s="3">
        <v>36441.5</v>
      </c>
      <c r="P572" s="3">
        <v>44858.27734375</v>
      </c>
      <c r="Q572" s="3">
        <v>1.1665841341018699</v>
      </c>
      <c r="R572" s="3">
        <v>0.39763110876083402</v>
      </c>
      <c r="S572" s="3">
        <v>0.28192153573036199</v>
      </c>
      <c r="T572" s="3">
        <v>0.30545517802238498</v>
      </c>
      <c r="U572" s="3">
        <v>0.30596852302551297</v>
      </c>
      <c r="W572" t="s">
        <v>50</v>
      </c>
      <c r="X572" t="s">
        <v>51</v>
      </c>
      <c r="Y572" t="s">
        <v>52</v>
      </c>
      <c r="Z572" t="s">
        <v>53</v>
      </c>
      <c r="AA572" t="s">
        <v>53</v>
      </c>
      <c r="AC572" s="2">
        <v>0.58472196384312203</v>
      </c>
      <c r="AD572" s="2">
        <v>0.502527296543121</v>
      </c>
      <c r="AE572" s="2">
        <v>0.24922421574592599</v>
      </c>
      <c r="AF572" s="2">
        <v>0.282763302326202</v>
      </c>
      <c r="AG572" s="2">
        <v>0.153341710567474</v>
      </c>
      <c r="AH572" s="2">
        <v>-0.187852948904037</v>
      </c>
      <c r="AI572" s="2">
        <v>-3.5470293369144201E-6</v>
      </c>
      <c r="AJ572" s="2">
        <v>0.33934174780036302</v>
      </c>
      <c r="AK572" s="2">
        <v>0.37960828523735302</v>
      </c>
      <c r="AL572" s="2">
        <v>0.17987428303276701</v>
      </c>
      <c r="AM572" s="2">
        <v>0.57667464017867998</v>
      </c>
      <c r="AN572" s="2">
        <v>0.52411526441574097</v>
      </c>
      <c r="AO572" s="2">
        <v>0.202024221420288</v>
      </c>
      <c r="AP572" s="2">
        <v>0.57228106260299705</v>
      </c>
    </row>
    <row r="573" spans="1:42" x14ac:dyDescent="0.3">
      <c r="A573" t="s">
        <v>226</v>
      </c>
      <c r="B573" s="3">
        <v>2016</v>
      </c>
      <c r="C573" s="3">
        <v>6.9088019999999997</v>
      </c>
      <c r="D573" s="3"/>
      <c r="E573" t="s">
        <v>227</v>
      </c>
      <c r="G573" s="3">
        <v>39156.83984375</v>
      </c>
      <c r="H573" s="3">
        <v>52080.84765625</v>
      </c>
      <c r="I573" s="3">
        <v>51569.50390625</v>
      </c>
      <c r="J573" s="3">
        <v>51382.51953125</v>
      </c>
      <c r="K573" s="3">
        <v>173794.546875</v>
      </c>
      <c r="L573" s="3">
        <v>2.2295799572020799E-3</v>
      </c>
      <c r="M573" s="3">
        <v>0.48181921243667603</v>
      </c>
      <c r="N573" s="3">
        <v>0.47215941548347501</v>
      </c>
      <c r="O573" s="3">
        <v>37686.53125</v>
      </c>
      <c r="P573" s="3">
        <v>46861.171875</v>
      </c>
      <c r="Q573" s="3">
        <v>1.1660139560699501</v>
      </c>
      <c r="R573" s="3">
        <v>0.39763110876083402</v>
      </c>
      <c r="S573" s="3">
        <v>0.290276288986206</v>
      </c>
      <c r="T573" s="3">
        <v>0.30856448411941501</v>
      </c>
      <c r="U573" s="3">
        <v>0.30968734622001698</v>
      </c>
      <c r="W573" t="s">
        <v>50</v>
      </c>
      <c r="X573" t="s">
        <v>51</v>
      </c>
      <c r="Y573" t="s">
        <v>52</v>
      </c>
      <c r="Z573" t="s">
        <v>53</v>
      </c>
      <c r="AA573" t="s">
        <v>53</v>
      </c>
      <c r="AC573" s="2">
        <v>0.55244265211661603</v>
      </c>
      <c r="AD573" s="2">
        <v>0.50610387325286899</v>
      </c>
      <c r="AE573" s="2">
        <v>0.25152537226676902</v>
      </c>
      <c r="AF573" s="2">
        <v>0.25596150755882302</v>
      </c>
      <c r="AG573" s="2">
        <v>0.17208686470985399</v>
      </c>
      <c r="AH573" s="2">
        <v>-0.18567077815532701</v>
      </c>
      <c r="AI573" s="2">
        <v>-6.8109552557871203E-6</v>
      </c>
      <c r="AJ573" s="2">
        <v>0.34136358194673799</v>
      </c>
      <c r="AK573" s="2">
        <v>0.36397358937704499</v>
      </c>
      <c r="AL573" s="2">
        <v>0.189263114458875</v>
      </c>
      <c r="AM573" s="2">
        <v>0.56439697742462203</v>
      </c>
      <c r="AN573" s="2">
        <v>0.53963220119476296</v>
      </c>
      <c r="AO573" s="2">
        <v>0.19021812081337</v>
      </c>
      <c r="AP573" s="2">
        <v>0.55646985769271895</v>
      </c>
    </row>
    <row r="574" spans="1:42" x14ac:dyDescent="0.3">
      <c r="A574" t="s">
        <v>226</v>
      </c>
      <c r="B574" s="3">
        <v>2017</v>
      </c>
      <c r="C574" s="3">
        <v>7.0181469999999999</v>
      </c>
      <c r="D574" s="3"/>
      <c r="E574" t="s">
        <v>227</v>
      </c>
      <c r="G574" s="3">
        <v>40884.57421875</v>
      </c>
      <c r="H574" s="3">
        <v>56190.15625</v>
      </c>
      <c r="I574" s="3">
        <v>54226.875</v>
      </c>
      <c r="J574" s="3">
        <v>54851.02734375</v>
      </c>
      <c r="K574" s="3">
        <v>187939.34375</v>
      </c>
      <c r="L574" s="3">
        <v>2.3306319490075098E-3</v>
      </c>
      <c r="M574" s="3">
        <v>0.49006271362304699</v>
      </c>
      <c r="N574" s="3">
        <v>0.48346123099327099</v>
      </c>
      <c r="O574" s="3">
        <v>39563.53125</v>
      </c>
      <c r="P574" s="3">
        <v>51375.1953125</v>
      </c>
      <c r="Q574" s="3">
        <v>1.1542118787765501</v>
      </c>
      <c r="R574" s="3">
        <v>0.39763110876083402</v>
      </c>
      <c r="S574" s="3">
        <v>0.29292380809783902</v>
      </c>
      <c r="T574" s="3">
        <v>0.31469523906707803</v>
      </c>
      <c r="U574" s="3">
        <v>0.311114311218262</v>
      </c>
      <c r="W574" t="s">
        <v>51</v>
      </c>
      <c r="X574" t="s">
        <v>51</v>
      </c>
      <c r="Y574" t="s">
        <v>52</v>
      </c>
      <c r="Z574" t="s">
        <v>53</v>
      </c>
      <c r="AA574" t="s">
        <v>53</v>
      </c>
      <c r="AC574" s="2">
        <v>0.51900078886342504</v>
      </c>
      <c r="AD574" s="2">
        <v>0.50424337387085005</v>
      </c>
      <c r="AE574" s="2">
        <v>0.27903911471366899</v>
      </c>
      <c r="AF574" s="2">
        <v>0.24113146960735299</v>
      </c>
      <c r="AG574" s="2">
        <v>0.186694115400314</v>
      </c>
      <c r="AH574" s="2">
        <v>-0.211108088493347</v>
      </c>
      <c r="AI574" s="2">
        <v>0</v>
      </c>
      <c r="AJ574" s="2">
        <v>0.34140899563615101</v>
      </c>
      <c r="AK574" s="2">
        <v>0.37285152145921302</v>
      </c>
      <c r="AL574" s="2">
        <v>0.19153371722800899</v>
      </c>
      <c r="AM574" s="2">
        <v>0.55326545238494895</v>
      </c>
      <c r="AN574" s="2">
        <v>0.54263806343078602</v>
      </c>
      <c r="AO574" s="2">
        <v>0.19690544903278401</v>
      </c>
      <c r="AP574" s="2">
        <v>0.55028420686721802</v>
      </c>
    </row>
    <row r="575" spans="1:42" x14ac:dyDescent="0.3">
      <c r="A575" t="s">
        <v>226</v>
      </c>
      <c r="B575" s="3">
        <v>2018</v>
      </c>
      <c r="C575" s="3">
        <v>7.1280450000000002</v>
      </c>
      <c r="D575" s="3"/>
      <c r="E575" t="s">
        <v>227</v>
      </c>
      <c r="G575" s="3">
        <v>41683.84765625</v>
      </c>
      <c r="H575" s="3">
        <v>58457.25</v>
      </c>
      <c r="I575" s="3">
        <v>56095.515625</v>
      </c>
      <c r="J575" s="3">
        <v>56939.640625</v>
      </c>
      <c r="K575" s="3">
        <v>198606.328125</v>
      </c>
      <c r="L575" s="3">
        <v>2.3779051844030601E-3</v>
      </c>
      <c r="M575" s="3">
        <v>0.48516508936882002</v>
      </c>
      <c r="N575" s="3">
        <v>0.47946748137474099</v>
      </c>
      <c r="O575" s="3">
        <v>40928.91796875</v>
      </c>
      <c r="P575" s="3">
        <v>54916.87109375</v>
      </c>
      <c r="Q575" s="3">
        <v>1.1272839307785001</v>
      </c>
      <c r="R575" s="3">
        <v>0.39763110876083402</v>
      </c>
      <c r="S575" s="3">
        <v>0.29728031158447299</v>
      </c>
      <c r="T575" s="3">
        <v>0.32340666651725802</v>
      </c>
      <c r="U575" s="3">
        <v>0.31861221790313698</v>
      </c>
      <c r="W575" t="s">
        <v>50</v>
      </c>
      <c r="X575" t="s">
        <v>51</v>
      </c>
      <c r="Y575" t="s">
        <v>52</v>
      </c>
      <c r="Z575" t="s">
        <v>53</v>
      </c>
      <c r="AA575" t="s">
        <v>53</v>
      </c>
      <c r="AC575" s="2">
        <v>0.50195097999366101</v>
      </c>
      <c r="AD575" s="2">
        <v>0.498435318470001</v>
      </c>
      <c r="AE575" s="2">
        <v>0.29458212852478</v>
      </c>
      <c r="AF575" s="2">
        <v>0.23363545536994901</v>
      </c>
      <c r="AG575" s="2">
        <v>0.19745434820652</v>
      </c>
      <c r="AH575" s="2">
        <v>-0.224107265472412</v>
      </c>
      <c r="AI575" s="2">
        <v>0</v>
      </c>
      <c r="AJ575" s="2">
        <v>0.34651846695524602</v>
      </c>
      <c r="AK575" s="2">
        <v>0.38833366812849002</v>
      </c>
      <c r="AL575" s="2">
        <v>0.19223618450649901</v>
      </c>
      <c r="AM575" s="2">
        <v>0.56421482563018799</v>
      </c>
      <c r="AN575" s="2">
        <v>0.55696928501129195</v>
      </c>
      <c r="AO575" s="2">
        <v>0.208455801010132</v>
      </c>
      <c r="AP575" s="2">
        <v>0.54338902235031095</v>
      </c>
    </row>
    <row r="576" spans="1:42" x14ac:dyDescent="0.3">
      <c r="A576" t="s">
        <v>226</v>
      </c>
      <c r="B576" s="3">
        <v>2019</v>
      </c>
      <c r="C576" s="3">
        <v>7.2376360000000002</v>
      </c>
      <c r="D576" s="3"/>
      <c r="E576" t="s">
        <v>227</v>
      </c>
      <c r="G576" s="3">
        <v>42119.1015625</v>
      </c>
      <c r="H576" s="3">
        <v>60567.9921875</v>
      </c>
      <c r="I576" s="3">
        <v>57602.01171875</v>
      </c>
      <c r="J576" s="3">
        <v>58587.96875</v>
      </c>
      <c r="K576" s="3">
        <v>211606.328125</v>
      </c>
      <c r="L576" s="3">
        <v>2.4190903641283499E-3</v>
      </c>
      <c r="M576" s="3">
        <v>0.47339209914207497</v>
      </c>
      <c r="N576" s="3">
        <v>0.47092989087104797</v>
      </c>
      <c r="O576" s="3">
        <v>41856.6015625</v>
      </c>
      <c r="P576" s="3">
        <v>58435.875</v>
      </c>
      <c r="Q576" s="3">
        <v>1.08707571029663</v>
      </c>
      <c r="R576" s="3">
        <v>0.39763110876083402</v>
      </c>
      <c r="S576" s="3">
        <v>0.29472479224205</v>
      </c>
      <c r="T576" s="3">
        <v>0.32534646987915</v>
      </c>
      <c r="U576" s="3">
        <v>0.319871306419373</v>
      </c>
      <c r="W576" t="s">
        <v>50</v>
      </c>
      <c r="X576" t="s">
        <v>54</v>
      </c>
      <c r="Y576" t="s">
        <v>52</v>
      </c>
      <c r="Z576" t="s">
        <v>53</v>
      </c>
      <c r="AA576" t="s">
        <v>53</v>
      </c>
      <c r="AC576" s="2">
        <v>0.50887939088651202</v>
      </c>
      <c r="AD576" s="2">
        <v>0.49168327450752303</v>
      </c>
      <c r="AE576" s="2">
        <v>0.31489217281341603</v>
      </c>
      <c r="AF576" s="2">
        <v>0.22722031176090199</v>
      </c>
      <c r="AG576" s="2">
        <v>0.20270507037639601</v>
      </c>
      <c r="AH576" s="2">
        <v>-0.236500829458237</v>
      </c>
      <c r="AI576" s="2">
        <v>0</v>
      </c>
      <c r="AJ576" s="2">
        <v>0.34164978374894001</v>
      </c>
      <c r="AK576" s="2">
        <v>0.39525613994084302</v>
      </c>
      <c r="AL576" s="2">
        <v>0.19318355991212299</v>
      </c>
      <c r="AM576" s="2">
        <v>0.55254763364791903</v>
      </c>
      <c r="AN576" s="2">
        <v>0.54323142766952504</v>
      </c>
      <c r="AO576" s="2">
        <v>0.21514853835105899</v>
      </c>
      <c r="AP576" s="2">
        <v>0.53077512979507502</v>
      </c>
    </row>
    <row r="577" spans="1:42" x14ac:dyDescent="0.3">
      <c r="A577" t="s">
        <v>226</v>
      </c>
      <c r="B577" s="3">
        <v>2020</v>
      </c>
      <c r="C577" s="3">
        <v>7.346533</v>
      </c>
      <c r="D577" s="3"/>
      <c r="E577" t="s">
        <v>227</v>
      </c>
      <c r="G577" s="3">
        <v>40466.45703125</v>
      </c>
      <c r="H577" s="3">
        <v>58443.796875</v>
      </c>
      <c r="I577" s="3">
        <v>58843.67578125</v>
      </c>
      <c r="J577" s="3">
        <v>58378.29296875</v>
      </c>
      <c r="K577" s="3">
        <v>227240.9375</v>
      </c>
      <c r="L577" s="3">
        <v>2.4189339019358201E-3</v>
      </c>
      <c r="M577" s="3">
        <v>0.45405119657516502</v>
      </c>
      <c r="N577" s="3">
        <v>0.43606919050216703</v>
      </c>
      <c r="O577" s="3">
        <v>40123.2265625</v>
      </c>
      <c r="P577" s="3">
        <v>57005.06640625</v>
      </c>
      <c r="Q577" s="3">
        <v>1.04046618938446</v>
      </c>
      <c r="R577" s="3">
        <v>0.39763110876083402</v>
      </c>
      <c r="S577" s="3">
        <v>0.29043257236480702</v>
      </c>
      <c r="T577" s="3">
        <v>0.32486093044281</v>
      </c>
      <c r="U577" s="3">
        <v>0.32745069265365601</v>
      </c>
      <c r="W577" t="s">
        <v>50</v>
      </c>
      <c r="X577" t="s">
        <v>54</v>
      </c>
      <c r="Y577" t="s">
        <v>52</v>
      </c>
      <c r="Z577" t="s">
        <v>53</v>
      </c>
      <c r="AA577" t="s">
        <v>53</v>
      </c>
      <c r="AC577" s="2">
        <v>0.50732709293175804</v>
      </c>
      <c r="AD577" s="2">
        <v>0.46714246273040799</v>
      </c>
      <c r="AE577" s="2">
        <v>0.30794563889503501</v>
      </c>
      <c r="AF577" s="2">
        <v>0.226034000515938</v>
      </c>
      <c r="AG577" s="2">
        <v>0.18211692571640001</v>
      </c>
      <c r="AH577" s="2">
        <v>-0.18323899805545801</v>
      </c>
      <c r="AI577" s="2">
        <v>0</v>
      </c>
      <c r="AJ577" s="2">
        <v>0.335691970765359</v>
      </c>
      <c r="AK577" s="2">
        <v>0.40235814187666702</v>
      </c>
      <c r="AL577" s="2">
        <v>0.19689537363617499</v>
      </c>
      <c r="AM577" s="2">
        <v>0.559786736965179</v>
      </c>
      <c r="AN577" s="2">
        <v>0.54421502351760898</v>
      </c>
      <c r="AO577" s="2">
        <v>0.21867887675762199</v>
      </c>
      <c r="AP577" s="2">
        <v>0.56527632474899303</v>
      </c>
    </row>
    <row r="578" spans="1:42" x14ac:dyDescent="0.3">
      <c r="A578" t="s">
        <v>228</v>
      </c>
      <c r="B578" s="3">
        <v>2015</v>
      </c>
      <c r="C578" s="3">
        <v>6.4724690000000002</v>
      </c>
      <c r="D578" s="3">
        <v>2443.16</v>
      </c>
      <c r="E578" t="s">
        <v>229</v>
      </c>
      <c r="G578" s="3">
        <v>113602.8515625</v>
      </c>
      <c r="H578" s="3">
        <v>151292.640625</v>
      </c>
      <c r="I578" s="3">
        <v>120494.5703125</v>
      </c>
      <c r="J578" s="3">
        <v>128856.5546875</v>
      </c>
      <c r="K578" s="3">
        <v>809057.0625</v>
      </c>
      <c r="L578" s="3">
        <v>7.8248213976621593E-3</v>
      </c>
      <c r="M578" s="3"/>
      <c r="N578" s="3"/>
      <c r="O578" s="3">
        <v>108432.40625</v>
      </c>
      <c r="P578" s="3">
        <v>125096.0546875</v>
      </c>
      <c r="Q578" s="3"/>
      <c r="R578" s="3">
        <v>0.44451752305030801</v>
      </c>
      <c r="S578" s="3">
        <v>0.45417383313178999</v>
      </c>
      <c r="T578" s="3">
        <v>0.41437000036239602</v>
      </c>
      <c r="U578" s="3">
        <v>0.38748002052307101</v>
      </c>
      <c r="W578" t="s">
        <v>230</v>
      </c>
      <c r="X578" t="s">
        <v>51</v>
      </c>
      <c r="Y578" t="s">
        <v>52</v>
      </c>
      <c r="Z578" t="s">
        <v>53</v>
      </c>
      <c r="AA578" t="s">
        <v>53</v>
      </c>
      <c r="AC578" s="2"/>
      <c r="AD578" s="2">
        <v>0.75813400745391901</v>
      </c>
      <c r="AE578" s="2">
        <v>0.29249408841133101</v>
      </c>
      <c r="AF578" s="2">
        <v>0.123488619923592</v>
      </c>
      <c r="AG578" s="2">
        <v>4.0114652365446098E-2</v>
      </c>
      <c r="AH578" s="2">
        <v>-0.27200472354888899</v>
      </c>
      <c r="AI578" s="2">
        <v>5.7773377746343599E-2</v>
      </c>
      <c r="AJ578" s="2">
        <v>0.46410255914576098</v>
      </c>
      <c r="AK578" s="2">
        <v>0.29439508673693798</v>
      </c>
      <c r="AL578" s="2">
        <v>0.39321845547190698</v>
      </c>
      <c r="AM578" s="2">
        <v>0.57136160135269198</v>
      </c>
      <c r="AN578" s="2">
        <v>0.53067004680633501</v>
      </c>
      <c r="AO578" s="2">
        <v>0.19019418954849199</v>
      </c>
      <c r="AP578" s="2">
        <v>0.47355857491493197</v>
      </c>
    </row>
    <row r="579" spans="1:42" x14ac:dyDescent="0.3">
      <c r="A579" t="s">
        <v>228</v>
      </c>
      <c r="B579" s="3">
        <v>2016</v>
      </c>
      <c r="C579" s="3">
        <v>6.3230599999999999</v>
      </c>
      <c r="D579" s="3">
        <v>2440.17</v>
      </c>
      <c r="E579" t="s">
        <v>229</v>
      </c>
      <c r="G579" s="3">
        <v>118366.34375</v>
      </c>
      <c r="H579" s="3">
        <v>161274.3125</v>
      </c>
      <c r="I579" s="3">
        <v>129777.5703125</v>
      </c>
      <c r="J579" s="3">
        <v>139830.28125</v>
      </c>
      <c r="K579" s="3">
        <v>845107.625</v>
      </c>
      <c r="L579" s="3">
        <v>7.9554850235581398E-3</v>
      </c>
      <c r="M579" s="3"/>
      <c r="N579" s="3"/>
      <c r="O579" s="3">
        <v>110311.1171875</v>
      </c>
      <c r="P579" s="3">
        <v>129758.1953125</v>
      </c>
      <c r="Q579" s="3"/>
      <c r="R579" s="3">
        <v>0.44451752305030801</v>
      </c>
      <c r="S579" s="3">
        <v>0.43701547384262102</v>
      </c>
      <c r="T579" s="3">
        <v>0.39413967728614802</v>
      </c>
      <c r="U579" s="3">
        <v>0.36580410599708602</v>
      </c>
      <c r="W579" t="s">
        <v>230</v>
      </c>
      <c r="X579" t="s">
        <v>51</v>
      </c>
      <c r="Y579" t="s">
        <v>52</v>
      </c>
      <c r="Z579" t="s">
        <v>53</v>
      </c>
      <c r="AA579" t="s">
        <v>53</v>
      </c>
      <c r="AC579" s="2"/>
      <c r="AD579" s="2">
        <v>0.719013571739197</v>
      </c>
      <c r="AE579" s="2">
        <v>0.30685752630233798</v>
      </c>
      <c r="AF579" s="2">
        <v>0.127486482262611</v>
      </c>
      <c r="AG579" s="2">
        <v>3.7790812551975299E-2</v>
      </c>
      <c r="AH579" s="2">
        <v>-0.25589987635612499</v>
      </c>
      <c r="AI579" s="2">
        <v>6.4751386642456096E-2</v>
      </c>
      <c r="AJ579" s="2">
        <v>0.448446382382864</v>
      </c>
      <c r="AK579" s="2">
        <v>0.27586215334092701</v>
      </c>
      <c r="AL579" s="2">
        <v>0.37254603126015501</v>
      </c>
      <c r="AM579" s="2">
        <v>0.56328397989273105</v>
      </c>
      <c r="AN579" s="2">
        <v>0.52267783880233798</v>
      </c>
      <c r="AO579" s="2">
        <v>0.16300247609615301</v>
      </c>
      <c r="AP579" s="2">
        <v>0.46229246258735701</v>
      </c>
    </row>
    <row r="580" spans="1:42" x14ac:dyDescent="0.3">
      <c r="A580" t="s">
        <v>228</v>
      </c>
      <c r="B580" s="3">
        <v>2017</v>
      </c>
      <c r="C580" s="3">
        <v>6.1601280000000003</v>
      </c>
      <c r="D580" s="3">
        <v>2435.96</v>
      </c>
      <c r="E580" t="s">
        <v>229</v>
      </c>
      <c r="G580" s="3">
        <v>123438.5546875</v>
      </c>
      <c r="H580" s="3">
        <v>166180.765625</v>
      </c>
      <c r="I580" s="3">
        <v>133371.078125</v>
      </c>
      <c r="J580" s="3">
        <v>144714.453125</v>
      </c>
      <c r="K580" s="3">
        <v>866097.3125</v>
      </c>
      <c r="L580" s="3">
        <v>7.9745147377252596E-3</v>
      </c>
      <c r="M580" s="3"/>
      <c r="N580" s="3"/>
      <c r="O580" s="3">
        <v>111829.984375</v>
      </c>
      <c r="P580" s="3">
        <v>130780.3671875</v>
      </c>
      <c r="Q580" s="3"/>
      <c r="R580" s="3">
        <v>0.44451752305030801</v>
      </c>
      <c r="S580" s="3">
        <v>0.441689133644104</v>
      </c>
      <c r="T580" s="3">
        <v>0.39761555194854697</v>
      </c>
      <c r="U580" s="3">
        <v>0.36644867062568698</v>
      </c>
      <c r="W580" t="s">
        <v>51</v>
      </c>
      <c r="X580" t="s">
        <v>51</v>
      </c>
      <c r="Y580" t="s">
        <v>52</v>
      </c>
      <c r="Z580" t="s">
        <v>53</v>
      </c>
      <c r="AA580" t="s">
        <v>53</v>
      </c>
      <c r="AC580" s="2">
        <v>0.66523255387429703</v>
      </c>
      <c r="AD580" s="2">
        <v>0.71753251552581798</v>
      </c>
      <c r="AE580" s="2">
        <v>0.29535546898841902</v>
      </c>
      <c r="AF580" s="2">
        <v>0.13544757664203599</v>
      </c>
      <c r="AG580" s="2">
        <v>3.3883642405271502E-2</v>
      </c>
      <c r="AH580" s="2">
        <v>-0.251926869153976</v>
      </c>
      <c r="AI580" s="2">
        <v>6.9707624614238697E-2</v>
      </c>
      <c r="AJ580" s="2">
        <v>0.457610499158491</v>
      </c>
      <c r="AK580" s="2">
        <v>0.27033209242126199</v>
      </c>
      <c r="AL580" s="2">
        <v>0.35734581000912402</v>
      </c>
      <c r="AM580" s="2">
        <v>0.58009046316146895</v>
      </c>
      <c r="AN580" s="2">
        <v>0.53724831342697099</v>
      </c>
      <c r="AO580" s="2">
        <v>0.168153822422028</v>
      </c>
      <c r="AP580" s="2">
        <v>0.460876494646072</v>
      </c>
    </row>
    <row r="581" spans="1:42" x14ac:dyDescent="0.3">
      <c r="A581" t="s">
        <v>228</v>
      </c>
      <c r="B581" s="3">
        <v>2018</v>
      </c>
      <c r="C581" s="3">
        <v>5.9841189999999997</v>
      </c>
      <c r="D581" s="3">
        <v>2430.6</v>
      </c>
      <c r="E581" t="s">
        <v>229</v>
      </c>
      <c r="G581" s="3">
        <v>136030.15625</v>
      </c>
      <c r="H581" s="3">
        <v>174117.578125</v>
      </c>
      <c r="I581" s="3">
        <v>137371.53125</v>
      </c>
      <c r="J581" s="3">
        <v>149008.984375</v>
      </c>
      <c r="K581" s="3">
        <v>733259.5</v>
      </c>
      <c r="L581" s="3">
        <v>6.6338912583887603E-3</v>
      </c>
      <c r="M581" s="3"/>
      <c r="N581" s="3"/>
      <c r="O581" s="3">
        <v>110104.53125</v>
      </c>
      <c r="P581" s="3">
        <v>130526.3828125</v>
      </c>
      <c r="Q581" s="3"/>
      <c r="R581" s="3">
        <v>0.44451752305030801</v>
      </c>
      <c r="S581" s="3">
        <v>0.420772224664688</v>
      </c>
      <c r="T581" s="3">
        <v>0.39964044094085699</v>
      </c>
      <c r="U581" s="3">
        <v>0.368428915739059</v>
      </c>
      <c r="W581" t="s">
        <v>50</v>
      </c>
      <c r="X581" t="s">
        <v>51</v>
      </c>
      <c r="Y581" t="s">
        <v>52</v>
      </c>
      <c r="Z581" t="s">
        <v>53</v>
      </c>
      <c r="AA581" t="s">
        <v>53</v>
      </c>
      <c r="AC581" s="2">
        <v>0.68608005813787698</v>
      </c>
      <c r="AD581" s="2">
        <v>0.75162506103515603</v>
      </c>
      <c r="AE581" s="2">
        <v>0.25560486316680903</v>
      </c>
      <c r="AF581" s="2">
        <v>0.16127389669418299</v>
      </c>
      <c r="AG581" s="2">
        <v>3.3055581152439097E-2</v>
      </c>
      <c r="AH581" s="2">
        <v>-0.244273707270622</v>
      </c>
      <c r="AI581" s="2">
        <v>4.2714275419712101E-2</v>
      </c>
      <c r="AJ581" s="2">
        <v>0.4358740002723</v>
      </c>
      <c r="AK581" s="2">
        <v>0.32416763137862098</v>
      </c>
      <c r="AL581" s="2">
        <v>0.35038968684050598</v>
      </c>
      <c r="AM581" s="2">
        <v>0.59947478771209695</v>
      </c>
      <c r="AN581" s="2">
        <v>0.548997402191162</v>
      </c>
      <c r="AO581" s="2">
        <v>0.20406855642795599</v>
      </c>
      <c r="AP581" s="2">
        <v>0.543542921543121</v>
      </c>
    </row>
    <row r="582" spans="1:42" x14ac:dyDescent="0.3">
      <c r="A582" t="s">
        <v>228</v>
      </c>
      <c r="B582" s="3">
        <v>2019</v>
      </c>
      <c r="C582" s="3">
        <v>5.794594</v>
      </c>
      <c r="D582" s="3">
        <v>2423.1</v>
      </c>
      <c r="E582" t="s">
        <v>229</v>
      </c>
      <c r="G582" s="3">
        <v>147439.5</v>
      </c>
      <c r="H582" s="3">
        <v>170005.828125</v>
      </c>
      <c r="I582" s="3">
        <v>139848.28125</v>
      </c>
      <c r="J582" s="3">
        <v>149978.015625</v>
      </c>
      <c r="K582" s="3">
        <v>777105</v>
      </c>
      <c r="L582" s="3">
        <v>6.7485990002751402E-3</v>
      </c>
      <c r="M582" s="3"/>
      <c r="N582" s="3"/>
      <c r="O582" s="3">
        <v>109236.7421875</v>
      </c>
      <c r="P582" s="3">
        <v>119510.1875</v>
      </c>
      <c r="Q582" s="3"/>
      <c r="R582" s="3">
        <v>0.44451752305030801</v>
      </c>
      <c r="S582" s="3">
        <v>0.39457792043685902</v>
      </c>
      <c r="T582" s="3">
        <v>0.38076534867286699</v>
      </c>
      <c r="U582" s="3">
        <v>0.35504785180091902</v>
      </c>
      <c r="W582" t="s">
        <v>50</v>
      </c>
      <c r="X582" t="s">
        <v>54</v>
      </c>
      <c r="Y582" t="s">
        <v>52</v>
      </c>
      <c r="Z582" t="s">
        <v>53</v>
      </c>
      <c r="AA582" t="s">
        <v>53</v>
      </c>
      <c r="AC582" s="2">
        <v>0.67215123668185295</v>
      </c>
      <c r="AD582" s="2">
        <v>0.80477100610732999</v>
      </c>
      <c r="AE582" s="2">
        <v>0.150464251637459</v>
      </c>
      <c r="AF582" s="2">
        <v>0.178303122520447</v>
      </c>
      <c r="AG582" s="2">
        <v>3.2482720911502803E-2</v>
      </c>
      <c r="AH582" s="2">
        <v>-0.220462471246719</v>
      </c>
      <c r="AI582" s="2">
        <v>5.44413886964321E-2</v>
      </c>
      <c r="AJ582" s="2">
        <v>0.41311003193588702</v>
      </c>
      <c r="AK582" s="2">
        <v>0.29051946514757698</v>
      </c>
      <c r="AL582" s="2">
        <v>0.31093321834447002</v>
      </c>
      <c r="AM582" s="2">
        <v>0.58569008111953702</v>
      </c>
      <c r="AN582" s="2">
        <v>0.52126038074493397</v>
      </c>
      <c r="AO582" s="2">
        <v>0.18434046208858501</v>
      </c>
      <c r="AP582" s="2">
        <v>0.49852576851844799</v>
      </c>
    </row>
    <row r="583" spans="1:42" x14ac:dyDescent="0.3">
      <c r="A583" t="s">
        <v>228</v>
      </c>
      <c r="B583" s="3">
        <v>2020</v>
      </c>
      <c r="C583" s="3">
        <v>5.7023979999999996</v>
      </c>
      <c r="D583" s="3">
        <v>2306.09</v>
      </c>
      <c r="E583" t="s">
        <v>229</v>
      </c>
      <c r="G583" s="3">
        <v>81688.109375</v>
      </c>
      <c r="H583" s="3">
        <v>86067.3828125</v>
      </c>
      <c r="I583" s="3">
        <v>65670</v>
      </c>
      <c r="J583" s="3">
        <v>72300.5234375</v>
      </c>
      <c r="K583" s="3">
        <v>386667.34375</v>
      </c>
      <c r="L583" s="3">
        <v>3.0408937018364698E-3</v>
      </c>
      <c r="M583" s="3"/>
      <c r="N583" s="3"/>
      <c r="O583" s="3">
        <v>85943.5234375</v>
      </c>
      <c r="P583" s="3">
        <v>87317.84375</v>
      </c>
      <c r="Q583" s="3"/>
      <c r="R583" s="3">
        <v>0.44451752305030801</v>
      </c>
      <c r="S583" s="3">
        <v>0.34438204765319802</v>
      </c>
      <c r="T583" s="3">
        <v>0.35220628976821899</v>
      </c>
      <c r="U583" s="3">
        <v>0.31990620493888899</v>
      </c>
      <c r="W583" t="s">
        <v>50</v>
      </c>
      <c r="X583" t="s">
        <v>54</v>
      </c>
      <c r="Y583" t="s">
        <v>199</v>
      </c>
      <c r="Z583" t="s">
        <v>53</v>
      </c>
      <c r="AA583" t="s">
        <v>53</v>
      </c>
      <c r="AC583" s="2">
        <v>0.658943888959867</v>
      </c>
      <c r="AD583" s="2">
        <v>0.97855067253112804</v>
      </c>
      <c r="AE583" s="2">
        <v>6.0570403933525099E-2</v>
      </c>
      <c r="AF583" s="2">
        <v>0.15129047632217399</v>
      </c>
      <c r="AG583" s="2">
        <v>4.0686320513486897E-2</v>
      </c>
      <c r="AH583" s="2">
        <v>-0.30049487948417702</v>
      </c>
      <c r="AI583" s="2">
        <v>6.9397032260894803E-2</v>
      </c>
      <c r="AJ583" s="2">
        <v>0.35158041206512802</v>
      </c>
      <c r="AK583" s="2">
        <v>0.49815423906537798</v>
      </c>
      <c r="AL583" s="2">
        <v>0.29782292485642298</v>
      </c>
      <c r="AM583" s="2">
        <v>0.57060825824737604</v>
      </c>
      <c r="AN583" s="2">
        <v>0.48180752992629999</v>
      </c>
      <c r="AO583" s="2">
        <v>0.31325161457061801</v>
      </c>
      <c r="AP583" s="2">
        <v>0.50171625614166304</v>
      </c>
    </row>
    <row r="584" spans="1:42" x14ac:dyDescent="0.3">
      <c r="A584" t="s">
        <v>231</v>
      </c>
      <c r="B584" s="3">
        <v>2015</v>
      </c>
      <c r="C584" s="3">
        <v>4.6594309999999997</v>
      </c>
      <c r="D584" s="3"/>
      <c r="E584" t="s">
        <v>153</v>
      </c>
      <c r="G584" s="3">
        <v>8449.197265625</v>
      </c>
      <c r="H584" s="3">
        <v>9627.03125</v>
      </c>
      <c r="I584" s="3">
        <v>7156.28271484375</v>
      </c>
      <c r="J584" s="3">
        <v>7544.15576171875</v>
      </c>
      <c r="K584" s="3">
        <v>18287.01171875</v>
      </c>
      <c r="L584" s="3"/>
      <c r="M584" s="3"/>
      <c r="N584" s="3"/>
      <c r="O584" s="3">
        <v>8450.001953125</v>
      </c>
      <c r="P584" s="3">
        <v>8906.89453125</v>
      </c>
      <c r="Q584" s="3"/>
      <c r="R584" s="3"/>
      <c r="S584" s="3">
        <v>0.40767762064933799</v>
      </c>
      <c r="T584" s="3">
        <v>0.42761552333831798</v>
      </c>
      <c r="U584" s="3">
        <v>0.40563026070594799</v>
      </c>
      <c r="W584" t="s">
        <v>50</v>
      </c>
      <c r="X584" t="s">
        <v>51</v>
      </c>
      <c r="Y584" t="s">
        <v>52</v>
      </c>
      <c r="Z584" t="s">
        <v>53</v>
      </c>
      <c r="AC584" s="2">
        <v>0.47806409688011398</v>
      </c>
      <c r="AD584" s="2">
        <v>0.988395035266876</v>
      </c>
      <c r="AE584" s="2">
        <v>0.15612533688545199</v>
      </c>
      <c r="AF584" s="2">
        <v>0.131570890545845</v>
      </c>
      <c r="AG584" s="2">
        <v>9.6077598631382002E-2</v>
      </c>
      <c r="AH584" s="2">
        <v>-0.372168898582459</v>
      </c>
      <c r="AI584" s="2">
        <v>-3.2678293404586601E-10</v>
      </c>
      <c r="AJ584" s="2">
        <v>0.40181233276078598</v>
      </c>
      <c r="AK584" s="2">
        <v>0.57064016325002898</v>
      </c>
      <c r="AL584" s="2">
        <v>0.45173929185455203</v>
      </c>
      <c r="AM584" s="2">
        <v>0.59416735172271695</v>
      </c>
      <c r="AN584" s="2">
        <v>0.529685318470001</v>
      </c>
      <c r="AO584" s="2">
        <v>0.314903855323792</v>
      </c>
      <c r="AP584" s="2"/>
    </row>
    <row r="585" spans="1:42" x14ac:dyDescent="0.3">
      <c r="A585" t="s">
        <v>231</v>
      </c>
      <c r="B585" s="3">
        <v>2016</v>
      </c>
      <c r="C585" s="3">
        <v>4.7556079999999996</v>
      </c>
      <c r="D585" s="3"/>
      <c r="E585" t="s">
        <v>153</v>
      </c>
      <c r="G585" s="3">
        <v>9058.8388671875</v>
      </c>
      <c r="H585" s="3">
        <v>10120.15625</v>
      </c>
      <c r="I585" s="3">
        <v>7835.68359375</v>
      </c>
      <c r="J585" s="3">
        <v>8364.8271484375</v>
      </c>
      <c r="K585" s="3">
        <v>20492.8671875</v>
      </c>
      <c r="L585" s="3"/>
      <c r="M585" s="3"/>
      <c r="N585" s="3"/>
      <c r="O585" s="3">
        <v>9036.1171875</v>
      </c>
      <c r="P585" s="3">
        <v>10272.53515625</v>
      </c>
      <c r="Q585" s="3"/>
      <c r="R585" s="3"/>
      <c r="S585" s="3">
        <v>0.38803085684776301</v>
      </c>
      <c r="T585" s="3">
        <v>0.40897002816200301</v>
      </c>
      <c r="U585" s="3">
        <v>0.38309934735298201</v>
      </c>
      <c r="W585" t="s">
        <v>50</v>
      </c>
      <c r="X585" t="s">
        <v>51</v>
      </c>
      <c r="Y585" t="s">
        <v>52</v>
      </c>
      <c r="Z585" t="s">
        <v>53</v>
      </c>
      <c r="AC585" s="2">
        <v>0.405562402056586</v>
      </c>
      <c r="AD585" s="2">
        <v>0.97049474716186501</v>
      </c>
      <c r="AE585" s="2">
        <v>0.12687861919403101</v>
      </c>
      <c r="AF585" s="2">
        <v>0.112473130226135</v>
      </c>
      <c r="AG585" s="2">
        <v>8.3419032394886003E-2</v>
      </c>
      <c r="AH585" s="2">
        <v>-0.31905171275138899</v>
      </c>
      <c r="AI585" s="2">
        <v>2.57862098515034E-2</v>
      </c>
      <c r="AJ585" s="2">
        <v>0.38190203209609502</v>
      </c>
      <c r="AK585" s="2">
        <v>0.58769575030516996</v>
      </c>
      <c r="AL585" s="2">
        <v>0.440914463518574</v>
      </c>
      <c r="AM585" s="2">
        <v>0.583174228668213</v>
      </c>
      <c r="AN585" s="2">
        <v>0.53351271152496305</v>
      </c>
      <c r="AO585" s="2">
        <v>0.303490370512009</v>
      </c>
      <c r="AP585" s="2"/>
    </row>
    <row r="586" spans="1:42" x14ac:dyDescent="0.3">
      <c r="A586" t="s">
        <v>231</v>
      </c>
      <c r="B586" s="3">
        <v>2017</v>
      </c>
      <c r="C586" s="3">
        <v>4.8489250000000004</v>
      </c>
      <c r="D586" s="3"/>
      <c r="E586" t="s">
        <v>153</v>
      </c>
      <c r="G586" s="3">
        <v>9617.841796875</v>
      </c>
      <c r="H586" s="3">
        <v>10466.5087890625</v>
      </c>
      <c r="I586" s="3">
        <v>8583.884765625</v>
      </c>
      <c r="J586" s="3">
        <v>9190.0234375</v>
      </c>
      <c r="K586" s="3">
        <v>21678.1015625</v>
      </c>
      <c r="L586" s="3"/>
      <c r="M586" s="3"/>
      <c r="N586" s="3"/>
      <c r="O586" s="3">
        <v>9652.65625</v>
      </c>
      <c r="P586" s="3">
        <v>10524.6044921875</v>
      </c>
      <c r="Q586" s="3"/>
      <c r="R586" s="3"/>
      <c r="S586" s="3">
        <v>0.35635200142860401</v>
      </c>
      <c r="T586" s="3">
        <v>0.37330320477485701</v>
      </c>
      <c r="U586" s="3">
        <v>0.34868156909942599</v>
      </c>
      <c r="W586" t="s">
        <v>51</v>
      </c>
      <c r="X586" t="s">
        <v>51</v>
      </c>
      <c r="Y586" t="s">
        <v>52</v>
      </c>
      <c r="Z586" t="s">
        <v>53</v>
      </c>
      <c r="AC586" s="2">
        <v>0.36296967145347397</v>
      </c>
      <c r="AD586" s="2">
        <v>0.93215912580490101</v>
      </c>
      <c r="AE586" s="2">
        <v>9.2346519231796306E-2</v>
      </c>
      <c r="AF586" s="2">
        <v>0.114393338561058</v>
      </c>
      <c r="AG586" s="2">
        <v>7.8527152538299602E-2</v>
      </c>
      <c r="AH586" s="2">
        <v>-0.24524573981761899</v>
      </c>
      <c r="AI586" s="2">
        <v>2.78195906430483E-2</v>
      </c>
      <c r="AJ586" s="2">
        <v>0.34922598337701899</v>
      </c>
      <c r="AK586" s="2">
        <v>0.56540909374598702</v>
      </c>
      <c r="AL586" s="2">
        <v>0.41442002449014997</v>
      </c>
      <c r="AM586" s="2">
        <v>0.61006420850753795</v>
      </c>
      <c r="AN586" s="2">
        <v>0.54671627283096302</v>
      </c>
      <c r="AO586" s="2">
        <v>0.28531113266944902</v>
      </c>
      <c r="AP586" s="2"/>
    </row>
    <row r="587" spans="1:42" x14ac:dyDescent="0.3">
      <c r="A587" t="s">
        <v>231</v>
      </c>
      <c r="B587" s="3">
        <v>2018</v>
      </c>
      <c r="C587" s="3">
        <v>4.9447260000000002</v>
      </c>
      <c r="D587" s="3"/>
      <c r="E587" t="s">
        <v>153</v>
      </c>
      <c r="G587" s="3">
        <v>10112.99609375</v>
      </c>
      <c r="H587" s="3">
        <v>11225.88671875</v>
      </c>
      <c r="I587" s="3">
        <v>9166.0185546875</v>
      </c>
      <c r="J587" s="3">
        <v>9771.15234375</v>
      </c>
      <c r="K587" s="3">
        <v>25111.341796875</v>
      </c>
      <c r="L587" s="3"/>
      <c r="M587" s="3"/>
      <c r="N587" s="3"/>
      <c r="O587" s="3">
        <v>10053.73046875</v>
      </c>
      <c r="P587" s="3">
        <v>10984.8134765625</v>
      </c>
      <c r="Q587" s="3"/>
      <c r="R587" s="3"/>
      <c r="S587" s="3">
        <v>0.33780795335769698</v>
      </c>
      <c r="T587" s="3">
        <v>0.35362085700035101</v>
      </c>
      <c r="U587" s="3">
        <v>0.33172091841697698</v>
      </c>
      <c r="W587" t="s">
        <v>50</v>
      </c>
      <c r="X587" t="s">
        <v>51</v>
      </c>
      <c r="Y587" t="s">
        <v>52</v>
      </c>
      <c r="Z587" t="s">
        <v>53</v>
      </c>
      <c r="AC587" s="2">
        <v>0.34750370132352698</v>
      </c>
      <c r="AD587" s="2">
        <v>0.91248184442520097</v>
      </c>
      <c r="AE587" s="2">
        <v>0.11389554291963599</v>
      </c>
      <c r="AF587" s="2">
        <v>0.12250317633152</v>
      </c>
      <c r="AG587" s="2">
        <v>9.6214935183525099E-2</v>
      </c>
      <c r="AH587" s="2">
        <v>-0.232210278511047</v>
      </c>
      <c r="AI587" s="2">
        <v>-1.2885233387351E-2</v>
      </c>
      <c r="AJ587" s="2">
        <v>0.333463310394572</v>
      </c>
      <c r="AK587" s="2">
        <v>0.49731487544230901</v>
      </c>
      <c r="AL587" s="2">
        <v>0.370169688068407</v>
      </c>
      <c r="AM587" s="2">
        <v>0.59442740678787198</v>
      </c>
      <c r="AN587" s="2">
        <v>0.54892373085021995</v>
      </c>
      <c r="AO587" s="2">
        <v>0.27365514636039701</v>
      </c>
      <c r="AP587" s="2"/>
    </row>
    <row r="588" spans="1:42" x14ac:dyDescent="0.3">
      <c r="A588" t="s">
        <v>231</v>
      </c>
      <c r="B588" s="3">
        <v>2019</v>
      </c>
      <c r="C588" s="3">
        <v>5.0437209999999997</v>
      </c>
      <c r="D588" s="3"/>
      <c r="E588" t="s">
        <v>153</v>
      </c>
      <c r="G588" s="3">
        <v>10562.7236328125</v>
      </c>
      <c r="H588" s="3">
        <v>11663.232421875</v>
      </c>
      <c r="I588" s="3">
        <v>9741.033203125</v>
      </c>
      <c r="J588" s="3">
        <v>10420.4189453125</v>
      </c>
      <c r="K588" s="3">
        <v>25231.689453125</v>
      </c>
      <c r="L588" s="3"/>
      <c r="M588" s="3"/>
      <c r="N588" s="3"/>
      <c r="O588" s="3">
        <v>9803.3310546875</v>
      </c>
      <c r="P588" s="3">
        <v>10622.794921875</v>
      </c>
      <c r="Q588" s="3"/>
      <c r="R588" s="3"/>
      <c r="S588" s="3">
        <v>0.312866300344467</v>
      </c>
      <c r="T588" s="3">
        <v>0.32463154196739202</v>
      </c>
      <c r="U588" s="3">
        <v>0.30346632003784202</v>
      </c>
      <c r="W588" t="s">
        <v>50</v>
      </c>
      <c r="X588" t="s">
        <v>54</v>
      </c>
      <c r="Y588" t="s">
        <v>52</v>
      </c>
      <c r="Z588" t="s">
        <v>53</v>
      </c>
      <c r="AC588" s="2">
        <v>0.34161447619162</v>
      </c>
      <c r="AD588" s="2">
        <v>0.89518976211547896</v>
      </c>
      <c r="AE588" s="2">
        <v>0.105610810220242</v>
      </c>
      <c r="AF588" s="2">
        <v>0.11846658587455799</v>
      </c>
      <c r="AG588" s="2">
        <v>8.0026067793369293E-2</v>
      </c>
      <c r="AH588" s="2">
        <v>-0.220093354582787</v>
      </c>
      <c r="AI588" s="2">
        <v>2.0800124853849401E-2</v>
      </c>
      <c r="AJ588" s="2">
        <v>0.314024418850195</v>
      </c>
      <c r="AK588" s="2">
        <v>0.43755464167246599</v>
      </c>
      <c r="AL588" s="2">
        <v>0.30411504312966697</v>
      </c>
      <c r="AM588" s="2">
        <v>0.66436177492141701</v>
      </c>
      <c r="AN588" s="2">
        <v>0.54232197999954201</v>
      </c>
      <c r="AO588" s="2">
        <v>0.26299652457237199</v>
      </c>
      <c r="AP588" s="2"/>
    </row>
    <row r="589" spans="1:42" x14ac:dyDescent="0.3">
      <c r="A589" t="s">
        <v>231</v>
      </c>
      <c r="B589" s="3">
        <v>2020</v>
      </c>
      <c r="C589" s="3">
        <v>5.1494629999999999</v>
      </c>
      <c r="D589" s="3"/>
      <c r="E589" t="s">
        <v>153</v>
      </c>
      <c r="G589" s="3">
        <v>10118.0361328125</v>
      </c>
      <c r="H589" s="3">
        <v>11448.1328125</v>
      </c>
      <c r="I589" s="3">
        <v>9540.015625</v>
      </c>
      <c r="J589" s="3">
        <v>10086.353515625</v>
      </c>
      <c r="K589" s="3">
        <v>24997.60546875</v>
      </c>
      <c r="L589" s="3"/>
      <c r="M589" s="3"/>
      <c r="N589" s="3"/>
      <c r="O589" s="3">
        <v>9355.947265625</v>
      </c>
      <c r="P589" s="3">
        <v>10410.9482421875</v>
      </c>
      <c r="Q589" s="3"/>
      <c r="R589" s="3"/>
      <c r="S589" s="3">
        <v>0.35041913390159601</v>
      </c>
      <c r="T589" s="3">
        <v>0.36278381943702698</v>
      </c>
      <c r="U589" s="3">
        <v>0.34313327074050898</v>
      </c>
      <c r="W589" t="s">
        <v>50</v>
      </c>
      <c r="X589" t="s">
        <v>54</v>
      </c>
      <c r="Y589" t="s">
        <v>52</v>
      </c>
      <c r="Z589" t="s">
        <v>53</v>
      </c>
      <c r="AC589" s="2">
        <v>0.33136594257389901</v>
      </c>
      <c r="AD589" s="2">
        <v>0.85311043262481701</v>
      </c>
      <c r="AE589" s="2">
        <v>0.13187088072299999</v>
      </c>
      <c r="AF589" s="2">
        <v>0.150030732154846</v>
      </c>
      <c r="AG589" s="2">
        <v>7.9272091388702406E-2</v>
      </c>
      <c r="AH589" s="2">
        <v>-0.21460500359535201</v>
      </c>
      <c r="AI589" s="2">
        <v>3.2084275153465602E-4</v>
      </c>
      <c r="AJ589" s="2">
        <v>0.35432834923364998</v>
      </c>
      <c r="AK589" s="2">
        <v>0.45684176283924799</v>
      </c>
      <c r="AL589" s="2">
        <v>0.328190499377297</v>
      </c>
      <c r="AM589" s="2">
        <v>0.77463918924331698</v>
      </c>
      <c r="AN589" s="2">
        <v>0.60645419359207198</v>
      </c>
      <c r="AO589" s="2">
        <v>0.29714187979698198</v>
      </c>
      <c r="AP589" s="2"/>
    </row>
    <row r="590" spans="1:42" x14ac:dyDescent="0.3">
      <c r="A590" t="s">
        <v>232</v>
      </c>
      <c r="B590" s="3">
        <v>2015</v>
      </c>
      <c r="C590" s="3">
        <v>0.174905</v>
      </c>
      <c r="D590" s="3"/>
      <c r="E590" t="s">
        <v>58</v>
      </c>
      <c r="G590" s="3">
        <v>2314.08642578125</v>
      </c>
      <c r="H590" s="3">
        <v>2798.64624023438</v>
      </c>
      <c r="I590" s="3">
        <v>2755.51318359375</v>
      </c>
      <c r="J590" s="3">
        <v>2487.50341796875</v>
      </c>
      <c r="K590" s="3">
        <v>12755.6435546875</v>
      </c>
      <c r="L590" s="3"/>
      <c r="M590" s="3"/>
      <c r="N590" s="3"/>
      <c r="O590" s="3">
        <v>2972.63671875</v>
      </c>
      <c r="P590" s="3">
        <v>3664.28955078125</v>
      </c>
      <c r="Q590" s="3"/>
      <c r="R590" s="3"/>
      <c r="S590" s="3">
        <v>0.63430988788604703</v>
      </c>
      <c r="T590" s="3">
        <v>0.656008720397949</v>
      </c>
      <c r="U590" s="3">
        <v>0.72668880224227905</v>
      </c>
      <c r="W590" t="s">
        <v>50</v>
      </c>
      <c r="X590" t="s">
        <v>51</v>
      </c>
      <c r="Y590" t="s">
        <v>52</v>
      </c>
      <c r="Z590" t="s">
        <v>53</v>
      </c>
      <c r="AC590" s="2">
        <v>0.38369973236841498</v>
      </c>
      <c r="AD590" s="2">
        <v>0.77010113000869795</v>
      </c>
      <c r="AE590" s="2">
        <v>0.19479769468307501</v>
      </c>
      <c r="AF590" s="2">
        <v>0.16018359363079099</v>
      </c>
      <c r="AG590" s="2">
        <v>0.12943384051322901</v>
      </c>
      <c r="AH590" s="2">
        <v>-0.46171227097511303</v>
      </c>
      <c r="AI590" s="2">
        <v>0.20719599723815901</v>
      </c>
      <c r="AJ590" s="2">
        <v>0.65039038658242299</v>
      </c>
      <c r="AK590" s="2">
        <v>0.759634722559134</v>
      </c>
      <c r="AL590" s="2">
        <v>0.557001090563223</v>
      </c>
      <c r="AM590" s="2">
        <v>0.56091690063476596</v>
      </c>
      <c r="AN590" s="2">
        <v>0.50798696279525801</v>
      </c>
      <c r="AO590" s="2">
        <v>0.50845682621002197</v>
      </c>
      <c r="AP590" s="2"/>
    </row>
    <row r="591" spans="1:42" x14ac:dyDescent="0.3">
      <c r="A591" t="s">
        <v>232</v>
      </c>
      <c r="B591" s="3">
        <v>2016</v>
      </c>
      <c r="C591" s="3">
        <v>0.175646</v>
      </c>
      <c r="D591" s="3"/>
      <c r="E591" t="s">
        <v>58</v>
      </c>
      <c r="G591" s="3">
        <v>2586.28344726563</v>
      </c>
      <c r="H591" s="3">
        <v>3131.27221679688</v>
      </c>
      <c r="I591" s="3">
        <v>2911.7177734375</v>
      </c>
      <c r="J591" s="3">
        <v>2575.5107421875</v>
      </c>
      <c r="K591" s="3">
        <v>13215.6669921875</v>
      </c>
      <c r="L591" s="3"/>
      <c r="M591" s="3"/>
      <c r="N591" s="3"/>
      <c r="O591" s="3">
        <v>3236.6298828125</v>
      </c>
      <c r="P591" s="3">
        <v>4012.85424804688</v>
      </c>
      <c r="Q591" s="3"/>
      <c r="R591" s="3"/>
      <c r="S591" s="3">
        <v>0.617603659629822</v>
      </c>
      <c r="T591" s="3">
        <v>0.64173269271850597</v>
      </c>
      <c r="U591" s="3">
        <v>0.72550445795059204</v>
      </c>
      <c r="W591" t="s">
        <v>50</v>
      </c>
      <c r="X591" t="s">
        <v>51</v>
      </c>
      <c r="Y591" t="s">
        <v>52</v>
      </c>
      <c r="Z591" t="s">
        <v>53</v>
      </c>
      <c r="AC591" s="2">
        <v>0.49474727242896799</v>
      </c>
      <c r="AD591" s="2">
        <v>0.83878272771835305</v>
      </c>
      <c r="AE591" s="2">
        <v>0.21160419285297399</v>
      </c>
      <c r="AF591" s="2">
        <v>0.16539999842643699</v>
      </c>
      <c r="AG591" s="2">
        <v>8.5471898317336994E-2</v>
      </c>
      <c r="AH591" s="2">
        <v>-0.51950454711914096</v>
      </c>
      <c r="AI591" s="2">
        <v>0.218245670199394</v>
      </c>
      <c r="AJ591" s="2">
        <v>0.632488424274116</v>
      </c>
      <c r="AK591" s="2">
        <v>0.75623869745061001</v>
      </c>
      <c r="AL591" s="2">
        <v>0.54211942451527195</v>
      </c>
      <c r="AM591" s="2">
        <v>0.54424446821212802</v>
      </c>
      <c r="AN591" s="2">
        <v>0.49963295459747298</v>
      </c>
      <c r="AO591" s="2">
        <v>0.50125926733017001</v>
      </c>
      <c r="AP591" s="2"/>
    </row>
    <row r="592" spans="1:42" x14ac:dyDescent="0.3">
      <c r="A592" t="s">
        <v>232</v>
      </c>
      <c r="B592" s="3">
        <v>2017</v>
      </c>
      <c r="C592" s="3">
        <v>0.176342</v>
      </c>
      <c r="D592" s="3"/>
      <c r="E592" t="s">
        <v>58</v>
      </c>
      <c r="G592" s="3">
        <v>2364.75024414063</v>
      </c>
      <c r="H592" s="3">
        <v>2926.2958984375</v>
      </c>
      <c r="I592" s="3">
        <v>3045.71069335938</v>
      </c>
      <c r="J592" s="3">
        <v>2491.06396484375</v>
      </c>
      <c r="K592" s="3">
        <v>13682.1611328125</v>
      </c>
      <c r="L592" s="3"/>
      <c r="M592" s="3"/>
      <c r="N592" s="3"/>
      <c r="O592" s="3">
        <v>2916.88623046875</v>
      </c>
      <c r="P592" s="3">
        <v>3706.34985351563</v>
      </c>
      <c r="Q592" s="3"/>
      <c r="R592" s="3"/>
      <c r="S592" s="3">
        <v>0.62978702783584595</v>
      </c>
      <c r="T592" s="3">
        <v>0.65616989135742199</v>
      </c>
      <c r="U592" s="3">
        <v>0.80226910114288297</v>
      </c>
      <c r="W592" t="s">
        <v>51</v>
      </c>
      <c r="X592" t="s">
        <v>51</v>
      </c>
      <c r="Y592" t="s">
        <v>52</v>
      </c>
      <c r="Z592" t="s">
        <v>53</v>
      </c>
      <c r="AC592" s="2">
        <v>0.68580001089283804</v>
      </c>
      <c r="AD592" s="2">
        <v>0.78626853227615401</v>
      </c>
      <c r="AE592" s="2">
        <v>0.22542405128479001</v>
      </c>
      <c r="AF592" s="2">
        <v>0.16302469372749301</v>
      </c>
      <c r="AG592" s="2">
        <v>9.6608884632587405E-2</v>
      </c>
      <c r="AH592" s="2">
        <v>-0.57174760103225697</v>
      </c>
      <c r="AI592" s="2">
        <v>0.30042138695716902</v>
      </c>
      <c r="AJ592" s="2">
        <v>0.646771466958178</v>
      </c>
      <c r="AK592" s="2">
        <v>0.76727199202666496</v>
      </c>
      <c r="AL592" s="2">
        <v>0.547871142320282</v>
      </c>
      <c r="AM592" s="2">
        <v>0.58861410617828402</v>
      </c>
      <c r="AN592" s="2">
        <v>0.465990900993347</v>
      </c>
      <c r="AO592" s="2">
        <v>0.51185661554336603</v>
      </c>
      <c r="AP592" s="2"/>
    </row>
    <row r="593" spans="1:42" x14ac:dyDescent="0.3">
      <c r="A593" t="s">
        <v>232</v>
      </c>
      <c r="B593" s="3">
        <v>2018</v>
      </c>
      <c r="C593" s="3">
        <v>0.17701700000000001</v>
      </c>
      <c r="D593" s="3"/>
      <c r="E593" t="s">
        <v>58</v>
      </c>
      <c r="G593" s="3">
        <v>2430.39575195313</v>
      </c>
      <c r="H593" s="3">
        <v>3074.08520507813</v>
      </c>
      <c r="I593" s="3">
        <v>3277.27197265625</v>
      </c>
      <c r="J593" s="3">
        <v>3173.39135742188</v>
      </c>
      <c r="K593" s="3">
        <v>15111.2685546875</v>
      </c>
      <c r="L593" s="3"/>
      <c r="M593" s="3"/>
      <c r="N593" s="3"/>
      <c r="O593" s="3">
        <v>2901.65991210938</v>
      </c>
      <c r="P593" s="3">
        <v>3722.88623046875</v>
      </c>
      <c r="Q593" s="3"/>
      <c r="R593" s="3"/>
      <c r="S593" s="3">
        <v>0.61098861694335904</v>
      </c>
      <c r="T593" s="3">
        <v>0.62886309623718295</v>
      </c>
      <c r="U593" s="3">
        <v>0.64944893121719405</v>
      </c>
      <c r="W593" t="s">
        <v>50</v>
      </c>
      <c r="X593" t="s">
        <v>51</v>
      </c>
      <c r="Y593" t="s">
        <v>52</v>
      </c>
      <c r="Z593" t="s">
        <v>53</v>
      </c>
      <c r="AC593" s="2">
        <v>0.68717511914052598</v>
      </c>
      <c r="AD593" s="2">
        <v>0.62010645866393999</v>
      </c>
      <c r="AE593" s="2">
        <v>0.20283959805965401</v>
      </c>
      <c r="AF593" s="2">
        <v>0.14576059579849199</v>
      </c>
      <c r="AG593" s="2">
        <v>7.1783110499382005E-2</v>
      </c>
      <c r="AH593" s="2">
        <v>-0.37232801318168601</v>
      </c>
      <c r="AI593" s="2">
        <v>0.33183825016021701</v>
      </c>
      <c r="AJ593" s="2">
        <v>0.64262823207893904</v>
      </c>
      <c r="AK593" s="2">
        <v>0.69635233110139205</v>
      </c>
      <c r="AL593" s="2">
        <v>0.47638488667915402</v>
      </c>
      <c r="AM593" s="2">
        <v>0.51280105113983199</v>
      </c>
      <c r="AN593" s="2">
        <v>0.56954461336135898</v>
      </c>
      <c r="AO593" s="2">
        <v>0.47517165541648898</v>
      </c>
      <c r="AP593" s="2"/>
    </row>
    <row r="594" spans="1:42" x14ac:dyDescent="0.3">
      <c r="A594" t="s">
        <v>232</v>
      </c>
      <c r="B594" s="3">
        <v>2019</v>
      </c>
      <c r="C594" s="3">
        <v>0.17766100000000001</v>
      </c>
      <c r="D594" s="3"/>
      <c r="E594" t="s">
        <v>58</v>
      </c>
      <c r="G594" s="3">
        <v>2405.54809570313</v>
      </c>
      <c r="H594" s="3">
        <v>3101.24682617188</v>
      </c>
      <c r="I594" s="3">
        <v>3500.3447265625</v>
      </c>
      <c r="J594" s="3">
        <v>3488.43090820313</v>
      </c>
      <c r="K594" s="3">
        <v>16637.46484375</v>
      </c>
      <c r="L594" s="3"/>
      <c r="M594" s="3"/>
      <c r="N594" s="3"/>
      <c r="O594" s="3">
        <v>2680.88134765625</v>
      </c>
      <c r="P594" s="3">
        <v>3491.80297851563</v>
      </c>
      <c r="Q594" s="3"/>
      <c r="R594" s="3"/>
      <c r="S594" s="3">
        <v>0.583937168121338</v>
      </c>
      <c r="T594" s="3">
        <v>0.59861093759536699</v>
      </c>
      <c r="U594" s="3">
        <v>0.600655257701874</v>
      </c>
      <c r="W594" t="s">
        <v>50</v>
      </c>
      <c r="X594" t="s">
        <v>54</v>
      </c>
      <c r="Y594" t="s">
        <v>52</v>
      </c>
      <c r="Z594" t="s">
        <v>53</v>
      </c>
      <c r="AC594" s="2">
        <v>0.69063895679736997</v>
      </c>
      <c r="AD594" s="2">
        <v>0.55851489305496205</v>
      </c>
      <c r="AE594" s="2">
        <v>0.199430286884308</v>
      </c>
      <c r="AF594" s="2">
        <v>0.131063938140869</v>
      </c>
      <c r="AG594" s="2">
        <v>5.2886448800563798E-2</v>
      </c>
      <c r="AH594" s="2">
        <v>-0.30720150470733598</v>
      </c>
      <c r="AI594" s="2">
        <v>0.36530596017837502</v>
      </c>
      <c r="AJ594" s="2">
        <v>0.61465597546000095</v>
      </c>
      <c r="AK594" s="2">
        <v>0.64934895801754999</v>
      </c>
      <c r="AL594" s="2">
        <v>0.45303219484431601</v>
      </c>
      <c r="AM594" s="2">
        <v>0.52715533971786499</v>
      </c>
      <c r="AN594" s="2">
        <v>0.58208554983139005</v>
      </c>
      <c r="AO594" s="2">
        <v>0.45095700025558499</v>
      </c>
      <c r="AP594" s="2"/>
    </row>
    <row r="595" spans="1:42" x14ac:dyDescent="0.3">
      <c r="A595" t="s">
        <v>232</v>
      </c>
      <c r="B595" s="3">
        <v>2020</v>
      </c>
      <c r="C595" s="3">
        <v>0.17824999999999999</v>
      </c>
      <c r="D595" s="3"/>
      <c r="E595" t="s">
        <v>58</v>
      </c>
      <c r="G595" s="3">
        <v>2614.10009765625</v>
      </c>
      <c r="H595" s="3">
        <v>3211.70825195313</v>
      </c>
      <c r="I595" s="3">
        <v>2731.78735351563</v>
      </c>
      <c r="J595" s="3">
        <v>2766.36499023438</v>
      </c>
      <c r="K595" s="3">
        <v>17201.3984375</v>
      </c>
      <c r="L595" s="3"/>
      <c r="M595" s="3"/>
      <c r="N595" s="3"/>
      <c r="O595" s="3">
        <v>2833.9736328125</v>
      </c>
      <c r="P595" s="3">
        <v>3504.74536132813</v>
      </c>
      <c r="Q595" s="3"/>
      <c r="R595" s="3"/>
      <c r="S595" s="3">
        <v>0.53735178709030196</v>
      </c>
      <c r="T595" s="3">
        <v>0.548825323581696</v>
      </c>
      <c r="U595" s="3">
        <v>0.54196542501449596</v>
      </c>
      <c r="W595" t="s">
        <v>50</v>
      </c>
      <c r="X595" t="s">
        <v>54</v>
      </c>
      <c r="Y595" t="s">
        <v>52</v>
      </c>
      <c r="Z595" t="s">
        <v>53</v>
      </c>
      <c r="AC595" s="2">
        <v>0.68965472584728404</v>
      </c>
      <c r="AD595" s="2">
        <v>0.76586896181106601</v>
      </c>
      <c r="AE595" s="2">
        <v>0.21602652966976199</v>
      </c>
      <c r="AF595" s="2">
        <v>0.179089546203613</v>
      </c>
      <c r="AG595" s="2">
        <v>2.5446828454732898E-2</v>
      </c>
      <c r="AH595" s="2">
        <v>-0.292903572320938</v>
      </c>
      <c r="AI595" s="2">
        <v>0.106471702456474</v>
      </c>
      <c r="AJ595" s="2">
        <v>0.56460557232886899</v>
      </c>
      <c r="AK595" s="2">
        <v>0.59901362791734902</v>
      </c>
      <c r="AL595" s="2">
        <v>0.42080213934842098</v>
      </c>
      <c r="AM595" s="2">
        <v>0.51538532972335804</v>
      </c>
      <c r="AN595" s="2">
        <v>0.56684696674346902</v>
      </c>
      <c r="AO595" s="2">
        <v>0.416954696178436</v>
      </c>
      <c r="AP595" s="2"/>
    </row>
    <row r="596" spans="1:42" x14ac:dyDescent="0.3">
      <c r="A596" t="s">
        <v>233</v>
      </c>
      <c r="B596" s="3">
        <v>2015</v>
      </c>
      <c r="C596" s="3">
        <v>21.729970999999999</v>
      </c>
      <c r="D596" s="3">
        <v>2146.33</v>
      </c>
      <c r="E596" t="s">
        <v>234</v>
      </c>
      <c r="G596" s="3">
        <v>225759.921875</v>
      </c>
      <c r="H596" s="3">
        <v>301726.59375</v>
      </c>
      <c r="I596" s="3">
        <v>281642.15625</v>
      </c>
      <c r="J596" s="3">
        <v>292388.625</v>
      </c>
      <c r="K596" s="3">
        <v>795987.8125</v>
      </c>
      <c r="L596" s="3">
        <v>8.0213434994220699E-3</v>
      </c>
      <c r="M596" s="3">
        <v>0.70481073856353804</v>
      </c>
      <c r="N596" s="3">
        <v>0.70167803764343295</v>
      </c>
      <c r="O596" s="3">
        <v>220627.34375</v>
      </c>
      <c r="P596" s="3">
        <v>297078.125</v>
      </c>
      <c r="Q596" s="3">
        <v>1.0562663078308101</v>
      </c>
      <c r="R596" s="3">
        <v>0.45914235711097701</v>
      </c>
      <c r="S596" s="3">
        <v>0.27475994825363198</v>
      </c>
      <c r="T596" s="3">
        <v>0.30230191349983199</v>
      </c>
      <c r="U596" s="3">
        <v>0.29119107127189597</v>
      </c>
      <c r="W596" t="s">
        <v>50</v>
      </c>
      <c r="X596" t="s">
        <v>51</v>
      </c>
      <c r="Y596" t="s">
        <v>52</v>
      </c>
      <c r="Z596" t="s">
        <v>53</v>
      </c>
      <c r="AA596" t="s">
        <v>53</v>
      </c>
      <c r="AC596" s="2">
        <v>0.33373795503131798</v>
      </c>
      <c r="AD596" s="2">
        <v>0.62772047519683805</v>
      </c>
      <c r="AE596" s="2">
        <v>0.259814083576202</v>
      </c>
      <c r="AF596" s="2">
        <v>0.144402280449867</v>
      </c>
      <c r="AG596" s="2">
        <v>6.2950268387794495E-2</v>
      </c>
      <c r="AH596" s="2">
        <v>-0.123732596635818</v>
      </c>
      <c r="AI596" s="2">
        <v>2.8845494613051401E-2</v>
      </c>
      <c r="AJ596" s="2">
        <v>0.29663105790662198</v>
      </c>
      <c r="AK596" s="2">
        <v>0.38415184613516101</v>
      </c>
      <c r="AL596" s="2">
        <v>0.17968568429051099</v>
      </c>
      <c r="AM596" s="2">
        <v>0.56719338893890403</v>
      </c>
      <c r="AN596" s="2">
        <v>0.524275243282318</v>
      </c>
      <c r="AO596" s="2">
        <v>0.22903268039226499</v>
      </c>
      <c r="AP596" s="2">
        <v>0.76700174808502197</v>
      </c>
    </row>
    <row r="597" spans="1:42" x14ac:dyDescent="0.3">
      <c r="A597" t="s">
        <v>233</v>
      </c>
      <c r="B597" s="3">
        <v>2016</v>
      </c>
      <c r="C597" s="3">
        <v>21.910772000000001</v>
      </c>
      <c r="D597" s="3">
        <v>2199.48</v>
      </c>
      <c r="E597" t="s">
        <v>234</v>
      </c>
      <c r="G597" s="3">
        <v>233125.453125</v>
      </c>
      <c r="H597" s="3">
        <v>319930.65625</v>
      </c>
      <c r="I597" s="3">
        <v>299494.75</v>
      </c>
      <c r="J597" s="3">
        <v>311083.46875</v>
      </c>
      <c r="K597" s="3">
        <v>872712.1875</v>
      </c>
      <c r="L597" s="3">
        <v>8.6630303412675892E-3</v>
      </c>
      <c r="M597" s="3">
        <v>0.69950562715530396</v>
      </c>
      <c r="N597" s="3">
        <v>0.69552439451217696</v>
      </c>
      <c r="O597" s="3">
        <v>226247.984375</v>
      </c>
      <c r="P597" s="3">
        <v>313674.6875</v>
      </c>
      <c r="Q597" s="3">
        <v>1.04280245304108</v>
      </c>
      <c r="R597" s="3">
        <v>0.45500022172927901</v>
      </c>
      <c r="S597" s="3">
        <v>0.265670746564865</v>
      </c>
      <c r="T597" s="3">
        <v>0.29386919736862199</v>
      </c>
      <c r="U597" s="3">
        <v>0.28292176127433799</v>
      </c>
      <c r="W597" t="s">
        <v>50</v>
      </c>
      <c r="X597" t="s">
        <v>51</v>
      </c>
      <c r="Y597" t="s">
        <v>52</v>
      </c>
      <c r="Z597" t="s">
        <v>53</v>
      </c>
      <c r="AA597" t="s">
        <v>53</v>
      </c>
      <c r="AC597" s="2">
        <v>0.27823695229280199</v>
      </c>
      <c r="AD597" s="2">
        <v>0.61870044469833396</v>
      </c>
      <c r="AE597" s="2">
        <v>0.279041558504105</v>
      </c>
      <c r="AF597" s="2">
        <v>0.13069796562194799</v>
      </c>
      <c r="AG597" s="2">
        <v>6.0576669871807098E-2</v>
      </c>
      <c r="AH597" s="2">
        <v>-0.122527651488781</v>
      </c>
      <c r="AI597" s="2">
        <v>3.3511012792587301E-2</v>
      </c>
      <c r="AJ597" s="2">
        <v>0.28443122990125502</v>
      </c>
      <c r="AK597" s="2">
        <v>0.36959937516769897</v>
      </c>
      <c r="AL597" s="2">
        <v>0.17686199023656299</v>
      </c>
      <c r="AM597" s="2">
        <v>0.55963003635406505</v>
      </c>
      <c r="AN597" s="2">
        <v>0.51161164045333896</v>
      </c>
      <c r="AO597" s="2">
        <v>0.21911109983921101</v>
      </c>
      <c r="AP597" s="2">
        <v>0.71669274568557695</v>
      </c>
    </row>
    <row r="598" spans="1:42" x14ac:dyDescent="0.3">
      <c r="A598" t="s">
        <v>233</v>
      </c>
      <c r="B598" s="3">
        <v>2017</v>
      </c>
      <c r="C598" s="3">
        <v>22.087522</v>
      </c>
      <c r="D598" s="3">
        <v>2216.61</v>
      </c>
      <c r="E598" t="s">
        <v>234</v>
      </c>
      <c r="G598" s="3">
        <v>230639.234375</v>
      </c>
      <c r="H598" s="3">
        <v>333266.8125</v>
      </c>
      <c r="I598" s="3">
        <v>312363.40625</v>
      </c>
      <c r="J598" s="3">
        <v>323519</v>
      </c>
      <c r="K598" s="3">
        <v>960694.625</v>
      </c>
      <c r="L598" s="3">
        <v>9.3798050656914694E-3</v>
      </c>
      <c r="M598" s="3">
        <v>0.67864549160003695</v>
      </c>
      <c r="N598" s="3">
        <v>0.67323970794677701</v>
      </c>
      <c r="O598" s="3">
        <v>226449.15625</v>
      </c>
      <c r="P598" s="3">
        <v>333285.8125</v>
      </c>
      <c r="Q598" s="3">
        <v>1.03722655773163</v>
      </c>
      <c r="R598" s="3">
        <v>0.43169960379600503</v>
      </c>
      <c r="S598" s="3">
        <v>0.27401843667030301</v>
      </c>
      <c r="T598" s="3">
        <v>0.30213603377342202</v>
      </c>
      <c r="U598" s="3">
        <v>0.29171776771545399</v>
      </c>
      <c r="W598" t="s">
        <v>51</v>
      </c>
      <c r="X598" t="s">
        <v>51</v>
      </c>
      <c r="Y598" t="s">
        <v>52</v>
      </c>
      <c r="Z598" t="s">
        <v>53</v>
      </c>
      <c r="AA598" t="s">
        <v>53</v>
      </c>
      <c r="AC598" s="2">
        <v>0.25352581455286699</v>
      </c>
      <c r="AD598" s="2">
        <v>0.59362632036209095</v>
      </c>
      <c r="AE598" s="2">
        <v>0.31722268462181102</v>
      </c>
      <c r="AF598" s="2">
        <v>0.11928157508373299</v>
      </c>
      <c r="AG598" s="2">
        <v>6.2349028885364498E-2</v>
      </c>
      <c r="AH598" s="2">
        <v>-0.127016812562943</v>
      </c>
      <c r="AI598" s="2">
        <v>3.4537237137556097E-2</v>
      </c>
      <c r="AJ598" s="2">
        <v>0.29048687680006202</v>
      </c>
      <c r="AK598" s="2">
        <v>0.36532581641738998</v>
      </c>
      <c r="AL598" s="2">
        <v>0.19206035719814701</v>
      </c>
      <c r="AM598" s="2">
        <v>0.58207237720489502</v>
      </c>
      <c r="AN598" s="2">
        <v>0.51873886585235596</v>
      </c>
      <c r="AO598" s="2">
        <v>0.21819956600665999</v>
      </c>
      <c r="AP598" s="2">
        <v>0.71341180801391602</v>
      </c>
    </row>
    <row r="599" spans="1:42" x14ac:dyDescent="0.3">
      <c r="A599" t="s">
        <v>233</v>
      </c>
      <c r="B599" s="3">
        <v>2018</v>
      </c>
      <c r="C599" s="3">
        <v>22.253118000000001</v>
      </c>
      <c r="D599" s="3">
        <v>2177.4699999999998</v>
      </c>
      <c r="E599" t="s">
        <v>234</v>
      </c>
      <c r="G599" s="3">
        <v>245101.234375</v>
      </c>
      <c r="H599" s="3">
        <v>344022.09375</v>
      </c>
      <c r="I599" s="3">
        <v>321765.875</v>
      </c>
      <c r="J599" s="3">
        <v>335053.09375</v>
      </c>
      <c r="K599" s="3">
        <v>1006207.6875</v>
      </c>
      <c r="L599" s="3">
        <v>9.5398025587201101E-3</v>
      </c>
      <c r="M599" s="3">
        <v>0.69366812705993697</v>
      </c>
      <c r="N599" s="3">
        <v>0.68559902906417902</v>
      </c>
      <c r="O599" s="3">
        <v>240792.84375</v>
      </c>
      <c r="P599" s="3">
        <v>339572.09375</v>
      </c>
      <c r="Q599" s="3">
        <v>1.03468036651611</v>
      </c>
      <c r="R599" s="3">
        <v>0.44641891121864302</v>
      </c>
      <c r="S599" s="3">
        <v>0.26547640562057501</v>
      </c>
      <c r="T599" s="3">
        <v>0.29367274045944203</v>
      </c>
      <c r="U599" s="3">
        <v>0.28202655911445601</v>
      </c>
      <c r="W599" t="s">
        <v>50</v>
      </c>
      <c r="X599" t="s">
        <v>51</v>
      </c>
      <c r="Y599" t="s">
        <v>52</v>
      </c>
      <c r="Z599" t="s">
        <v>53</v>
      </c>
      <c r="AA599" t="s">
        <v>53</v>
      </c>
      <c r="AC599" s="2">
        <v>0.26025062790626802</v>
      </c>
      <c r="AD599" s="2">
        <v>0.59835898876190197</v>
      </c>
      <c r="AE599" s="2">
        <v>0.29523935914039601</v>
      </c>
      <c r="AF599" s="2">
        <v>0.13317054510116599</v>
      </c>
      <c r="AG599" s="2">
        <v>6.1941593885421802E-2</v>
      </c>
      <c r="AH599" s="2">
        <v>-0.12562336027622201</v>
      </c>
      <c r="AI599" s="2">
        <v>3.6912895739078501E-2</v>
      </c>
      <c r="AJ599" s="2">
        <v>0.28398289654529302</v>
      </c>
      <c r="AK599" s="2">
        <v>0.36353628775782898</v>
      </c>
      <c r="AL599" s="2">
        <v>0.18232341355928</v>
      </c>
      <c r="AM599" s="2">
        <v>0.60066384077072099</v>
      </c>
      <c r="AN599" s="2">
        <v>0.53432720899581898</v>
      </c>
      <c r="AO599" s="2">
        <v>0.21650819480419201</v>
      </c>
      <c r="AP599" s="2">
        <v>0.64835256338119496</v>
      </c>
    </row>
    <row r="600" spans="1:42" x14ac:dyDescent="0.3">
      <c r="A600" t="s">
        <v>233</v>
      </c>
      <c r="B600" s="3">
        <v>2019</v>
      </c>
      <c r="C600" s="3">
        <v>22.410551999999999</v>
      </c>
      <c r="D600" s="3">
        <v>2137.42</v>
      </c>
      <c r="E600" t="s">
        <v>234</v>
      </c>
      <c r="G600" s="3">
        <v>255729.296875</v>
      </c>
      <c r="H600" s="3">
        <v>339062.71875</v>
      </c>
      <c r="I600" s="3">
        <v>320540.4375</v>
      </c>
      <c r="J600" s="3">
        <v>332869.53125</v>
      </c>
      <c r="K600" s="3">
        <v>1034143.875</v>
      </c>
      <c r="L600" s="3">
        <v>9.4779329374432598E-3</v>
      </c>
      <c r="M600" s="3">
        <v>0.67511582374572798</v>
      </c>
      <c r="N600" s="3">
        <v>0.66173589229583696</v>
      </c>
      <c r="O600" s="3">
        <v>250817.15625</v>
      </c>
      <c r="P600" s="3">
        <v>334145.65625</v>
      </c>
      <c r="Q600" s="3">
        <v>1.00603604316711</v>
      </c>
      <c r="R600" s="3">
        <v>0.45989948511123702</v>
      </c>
      <c r="S600" s="3">
        <v>0.249470084905624</v>
      </c>
      <c r="T600" s="3">
        <v>0.27770280838012701</v>
      </c>
      <c r="U600" s="3">
        <v>0.26741701364517201</v>
      </c>
      <c r="W600" t="s">
        <v>50</v>
      </c>
      <c r="X600" t="s">
        <v>54</v>
      </c>
      <c r="Y600" t="s">
        <v>52</v>
      </c>
      <c r="Z600" t="s">
        <v>53</v>
      </c>
      <c r="AA600" t="s">
        <v>53</v>
      </c>
      <c r="AC600" s="2">
        <v>0.27212385693942598</v>
      </c>
      <c r="AD600" s="2">
        <v>0.62582230567932096</v>
      </c>
      <c r="AE600" s="2">
        <v>0.25034862756729098</v>
      </c>
      <c r="AF600" s="2">
        <v>0.142434552311897</v>
      </c>
      <c r="AG600" s="2">
        <v>6.4350731670856504E-2</v>
      </c>
      <c r="AH600" s="2">
        <v>-0.122545495629311</v>
      </c>
      <c r="AI600" s="2">
        <v>3.9589285850524902E-2</v>
      </c>
      <c r="AJ600" s="2">
        <v>0.26790828172674902</v>
      </c>
      <c r="AK600" s="2">
        <v>0.36434195232556699</v>
      </c>
      <c r="AL600" s="2">
        <v>0.16845716978606401</v>
      </c>
      <c r="AM600" s="2">
        <v>0.55787009000778198</v>
      </c>
      <c r="AN600" s="2">
        <v>0.505434989929199</v>
      </c>
      <c r="AO600" s="2">
        <v>0.215943858027458</v>
      </c>
      <c r="AP600" s="2">
        <v>0.57695299386978205</v>
      </c>
    </row>
    <row r="601" spans="1:42" x14ac:dyDescent="0.3">
      <c r="A601" t="s">
        <v>233</v>
      </c>
      <c r="B601" s="3">
        <v>2020</v>
      </c>
      <c r="C601" s="3">
        <v>22.561807000000002</v>
      </c>
      <c r="D601" s="3">
        <v>1882.91</v>
      </c>
      <c r="E601" t="s">
        <v>234</v>
      </c>
      <c r="G601" s="3">
        <v>225992.078125</v>
      </c>
      <c r="H601" s="3">
        <v>305987.3125</v>
      </c>
      <c r="I601" s="3">
        <v>288221.6875</v>
      </c>
      <c r="J601" s="3">
        <v>296199.28125</v>
      </c>
      <c r="K601" s="3">
        <v>1063740.125</v>
      </c>
      <c r="L601" s="3">
        <v>9.2130135744810104E-3</v>
      </c>
      <c r="M601" s="3">
        <v>0.63533043861389205</v>
      </c>
      <c r="N601" s="3">
        <v>0.62962567806243896</v>
      </c>
      <c r="O601" s="3">
        <v>238242.421875</v>
      </c>
      <c r="P601" s="3">
        <v>321961.96875</v>
      </c>
      <c r="Q601" s="3">
        <v>1.00562703609467</v>
      </c>
      <c r="R601" s="3">
        <v>0.48159858584403997</v>
      </c>
      <c r="S601" s="3">
        <v>0.27344921231269798</v>
      </c>
      <c r="T601" s="3">
        <v>0.29297080636024497</v>
      </c>
      <c r="U601" s="3">
        <v>0.28508016467094399</v>
      </c>
      <c r="W601" t="s">
        <v>50</v>
      </c>
      <c r="X601" t="s">
        <v>54</v>
      </c>
      <c r="Y601" t="s">
        <v>52</v>
      </c>
      <c r="Z601" t="s">
        <v>53</v>
      </c>
      <c r="AA601" t="s">
        <v>53</v>
      </c>
      <c r="AC601" s="2">
        <v>0.27723691832384501</v>
      </c>
      <c r="AD601" s="2">
        <v>0.60432761907577504</v>
      </c>
      <c r="AE601" s="2">
        <v>0.270072370767593</v>
      </c>
      <c r="AF601" s="2">
        <v>0.15864549577236201</v>
      </c>
      <c r="AG601" s="2">
        <v>5.0834402441978503E-2</v>
      </c>
      <c r="AH601" s="2">
        <v>-0.108533687889576</v>
      </c>
      <c r="AI601" s="2">
        <v>2.46538240462542E-2</v>
      </c>
      <c r="AJ601" s="2">
        <v>0.29626287659907702</v>
      </c>
      <c r="AK601" s="2">
        <v>0.34812066385978302</v>
      </c>
      <c r="AL601" s="2">
        <v>0.186545172859409</v>
      </c>
      <c r="AM601" s="2">
        <v>0.53238254785537698</v>
      </c>
      <c r="AN601" s="2">
        <v>0.47601503133773798</v>
      </c>
      <c r="AO601" s="2">
        <v>0.20218832790851601</v>
      </c>
      <c r="AP601" s="2">
        <v>0.56420946121215798</v>
      </c>
    </row>
    <row r="602" spans="1:42" x14ac:dyDescent="0.3">
      <c r="A602" t="s">
        <v>235</v>
      </c>
      <c r="B602" s="3">
        <v>2015</v>
      </c>
      <c r="C602" s="3">
        <v>2.1046109999999998</v>
      </c>
      <c r="D602" s="3"/>
      <c r="E602" t="s">
        <v>236</v>
      </c>
      <c r="G602" s="3">
        <v>8018.806640625</v>
      </c>
      <c r="H602" s="3">
        <v>9815.0068359375</v>
      </c>
      <c r="I602" s="3">
        <v>6818.857421875</v>
      </c>
      <c r="J602" s="3">
        <v>7527.7080078125</v>
      </c>
      <c r="K602" s="3">
        <v>32483.77734375</v>
      </c>
      <c r="L602" s="3">
        <v>3.6164891207590699E-4</v>
      </c>
      <c r="M602" s="3">
        <v>0.41259467601776101</v>
      </c>
      <c r="N602" s="3">
        <v>0.518995881080627</v>
      </c>
      <c r="O602" s="3">
        <v>7059.8603515625</v>
      </c>
      <c r="P602" s="3">
        <v>8497.73828125</v>
      </c>
      <c r="Q602" s="3">
        <v>1.1867147684097299</v>
      </c>
      <c r="R602" s="3">
        <v>0.66112887859344505</v>
      </c>
      <c r="S602" s="3">
        <v>0.33400285243987998</v>
      </c>
      <c r="T602" s="3">
        <v>0.34605309367179898</v>
      </c>
      <c r="U602" s="3">
        <v>0.313466846942902</v>
      </c>
      <c r="W602" t="s">
        <v>50</v>
      </c>
      <c r="X602" t="s">
        <v>51</v>
      </c>
      <c r="Y602" t="s">
        <v>52</v>
      </c>
      <c r="Z602" t="s">
        <v>53</v>
      </c>
      <c r="AA602" t="s">
        <v>53</v>
      </c>
      <c r="AC602" s="2">
        <v>0.42766237813303798</v>
      </c>
      <c r="AD602" s="2">
        <v>0.77522605657577504</v>
      </c>
      <c r="AE602" s="2">
        <v>0.23861183226108601</v>
      </c>
      <c r="AF602" s="2">
        <v>0.290012717247009</v>
      </c>
      <c r="AG602" s="2">
        <v>0.249943137168884</v>
      </c>
      <c r="AH602" s="2">
        <v>-0.55379480123519897</v>
      </c>
      <c r="AI602" s="2">
        <v>9.8382167834642999E-7</v>
      </c>
      <c r="AJ602" s="2">
        <v>0.30956868360246398</v>
      </c>
      <c r="AK602" s="2">
        <v>0.39984922093747599</v>
      </c>
      <c r="AL602" s="2">
        <v>0.39931719527950099</v>
      </c>
      <c r="AM602" s="2">
        <v>0.53792870044708296</v>
      </c>
      <c r="AN602" s="2">
        <v>0.49149361252784701</v>
      </c>
      <c r="AO602" s="2">
        <v>0.23736187815666199</v>
      </c>
      <c r="AP602" s="2">
        <v>0.29540899395942699</v>
      </c>
    </row>
    <row r="603" spans="1:42" x14ac:dyDescent="0.3">
      <c r="A603" t="s">
        <v>235</v>
      </c>
      <c r="B603" s="3">
        <v>2016</v>
      </c>
      <c r="C603" s="3">
        <v>2.1304219999999998</v>
      </c>
      <c r="D603" s="3"/>
      <c r="E603" t="s">
        <v>236</v>
      </c>
      <c r="G603" s="3">
        <v>7843.564453125</v>
      </c>
      <c r="H603" s="3">
        <v>9428.81640625</v>
      </c>
      <c r="I603" s="3">
        <v>6513.59619140625</v>
      </c>
      <c r="J603" s="3">
        <v>7266.47900390625</v>
      </c>
      <c r="K603" s="3">
        <v>32888.84375</v>
      </c>
      <c r="L603" s="3">
        <v>3.54317249730229E-4</v>
      </c>
      <c r="M603" s="3">
        <v>0.36992233991622903</v>
      </c>
      <c r="N603" s="3">
        <v>0.46407189965248102</v>
      </c>
      <c r="O603" s="3">
        <v>7053.92724609375</v>
      </c>
      <c r="P603" s="3">
        <v>8527.421875</v>
      </c>
      <c r="Q603" s="3">
        <v>1.1172388792037999</v>
      </c>
      <c r="R603" s="3">
        <v>0.66112887859344505</v>
      </c>
      <c r="S603" s="3">
        <v>0.312652498483658</v>
      </c>
      <c r="T603" s="3">
        <v>0.32461735606193498</v>
      </c>
      <c r="U603" s="3">
        <v>0.290983617305756</v>
      </c>
      <c r="W603" t="s">
        <v>50</v>
      </c>
      <c r="X603" t="s">
        <v>51</v>
      </c>
      <c r="Y603" t="s">
        <v>52</v>
      </c>
      <c r="Z603" t="s">
        <v>53</v>
      </c>
      <c r="AA603" t="s">
        <v>53</v>
      </c>
      <c r="AC603" s="2">
        <v>0.38711323959697402</v>
      </c>
      <c r="AD603" s="2">
        <v>0.771534323692322</v>
      </c>
      <c r="AE603" s="2">
        <v>0.21815957129001601</v>
      </c>
      <c r="AF603" s="2">
        <v>0.30788311362266502</v>
      </c>
      <c r="AG603" s="2">
        <v>0.24943317472934701</v>
      </c>
      <c r="AH603" s="2">
        <v>-0.54701018333435103</v>
      </c>
      <c r="AI603" s="2">
        <v>-3.2151940831948199E-11</v>
      </c>
      <c r="AJ603" s="2">
        <v>0.28797504927683498</v>
      </c>
      <c r="AK603" s="2">
        <v>0.38381753987065098</v>
      </c>
      <c r="AL603" s="2">
        <v>0.37449250413192497</v>
      </c>
      <c r="AM603" s="2">
        <v>0.53405624628067005</v>
      </c>
      <c r="AN603" s="2">
        <v>0.48160660266876198</v>
      </c>
      <c r="AO603" s="2">
        <v>0.21841132640838601</v>
      </c>
      <c r="AP603" s="2">
        <v>0.26175689697265597</v>
      </c>
    </row>
    <row r="604" spans="1:42" x14ac:dyDescent="0.3">
      <c r="A604" t="s">
        <v>235</v>
      </c>
      <c r="B604" s="3">
        <v>2017</v>
      </c>
      <c r="C604" s="3">
        <v>2.1571099999999999</v>
      </c>
      <c r="D604" s="3"/>
      <c r="E604" t="s">
        <v>236</v>
      </c>
      <c r="G604" s="3">
        <v>8034.1982421875</v>
      </c>
      <c r="H604" s="3">
        <v>9170.3486328125</v>
      </c>
      <c r="I604" s="3">
        <v>6056.517578125</v>
      </c>
      <c r="J604" s="3">
        <v>6956.576171875</v>
      </c>
      <c r="K604" s="3">
        <v>32758.396484375</v>
      </c>
      <c r="L604" s="3">
        <v>3.4421691088937201E-4</v>
      </c>
      <c r="M604" s="3">
        <v>0.36829978227615401</v>
      </c>
      <c r="N604" s="3">
        <v>0.46754789352416998</v>
      </c>
      <c r="O604" s="3">
        <v>7256.35986328125</v>
      </c>
      <c r="P604" s="3">
        <v>8324.6962890625</v>
      </c>
      <c r="Q604" s="3">
        <v>1.12203669548035</v>
      </c>
      <c r="R604" s="3">
        <v>0.66112887859344505</v>
      </c>
      <c r="S604" s="3">
        <v>0.37097397446632402</v>
      </c>
      <c r="T604" s="3">
        <v>0.38086932897567799</v>
      </c>
      <c r="U604" s="3">
        <v>0.331591486930847</v>
      </c>
      <c r="W604" t="s">
        <v>51</v>
      </c>
      <c r="X604" t="s">
        <v>51</v>
      </c>
      <c r="Y604" t="s">
        <v>52</v>
      </c>
      <c r="Z604" t="s">
        <v>53</v>
      </c>
      <c r="AA604" t="s">
        <v>53</v>
      </c>
      <c r="AC604" s="2">
        <v>0.35542180689241998</v>
      </c>
      <c r="AD604" s="2">
        <v>0.85736709833145097</v>
      </c>
      <c r="AE604" s="2">
        <v>0.163320332765579</v>
      </c>
      <c r="AF604" s="2">
        <v>0.29753980040550199</v>
      </c>
      <c r="AG604" s="2">
        <v>0.27972033619880698</v>
      </c>
      <c r="AH604" s="2">
        <v>-0.597947597503662</v>
      </c>
      <c r="AI604" s="2">
        <v>2.2157463419603099E-8</v>
      </c>
      <c r="AJ604" s="2">
        <v>0.34624957559719499</v>
      </c>
      <c r="AK604" s="2">
        <v>0.45084359291674297</v>
      </c>
      <c r="AL604" s="2">
        <v>0.44221779586934601</v>
      </c>
      <c r="AM604" s="2">
        <v>0.56281030178070102</v>
      </c>
      <c r="AN604" s="2">
        <v>0.54839307069778398</v>
      </c>
      <c r="AO604" s="2">
        <v>0.25799375772476202</v>
      </c>
      <c r="AP604" s="2">
        <v>0.28333142399787897</v>
      </c>
    </row>
    <row r="605" spans="1:42" x14ac:dyDescent="0.3">
      <c r="A605" t="s">
        <v>235</v>
      </c>
      <c r="B605" s="3">
        <v>2018</v>
      </c>
      <c r="C605" s="3">
        <v>2.1836030000000002</v>
      </c>
      <c r="D605" s="3"/>
      <c r="E605" t="s">
        <v>236</v>
      </c>
      <c r="G605" s="3">
        <v>7854.07470703125</v>
      </c>
      <c r="H605" s="3">
        <v>8961.4326171875</v>
      </c>
      <c r="I605" s="3">
        <v>6190.17138671875</v>
      </c>
      <c r="J605" s="3">
        <v>6456.71728515625</v>
      </c>
      <c r="K605" s="3">
        <v>30197.859375</v>
      </c>
      <c r="L605" s="3">
        <v>3.1673413468524797E-4</v>
      </c>
      <c r="M605" s="3">
        <v>0.34349456429481501</v>
      </c>
      <c r="N605" s="3">
        <v>0.45891398191451999</v>
      </c>
      <c r="O605" s="3">
        <v>7085.11328125</v>
      </c>
      <c r="P605" s="3">
        <v>8159.10791015625</v>
      </c>
      <c r="Q605" s="3">
        <v>1.0743386745452901</v>
      </c>
      <c r="R605" s="3">
        <v>0.66112887859344505</v>
      </c>
      <c r="S605" s="3">
        <v>0.401371419429779</v>
      </c>
      <c r="T605" s="3">
        <v>0.41295260190963701</v>
      </c>
      <c r="U605" s="3">
        <v>0.39590513706207298</v>
      </c>
      <c r="W605" t="s">
        <v>50</v>
      </c>
      <c r="X605" t="s">
        <v>51</v>
      </c>
      <c r="Y605" t="s">
        <v>52</v>
      </c>
      <c r="Z605" t="s">
        <v>53</v>
      </c>
      <c r="AA605" t="s">
        <v>53</v>
      </c>
      <c r="AC605" s="2">
        <v>0.33273208696284801</v>
      </c>
      <c r="AD605" s="2">
        <v>0.90277725458145097</v>
      </c>
      <c r="AE605" s="2">
        <v>0.171504735946655</v>
      </c>
      <c r="AF605" s="2">
        <v>0.31364193558692899</v>
      </c>
      <c r="AG605" s="2">
        <v>0.35727417469024703</v>
      </c>
      <c r="AH605" s="2">
        <v>-0.74519807100295998</v>
      </c>
      <c r="AI605" s="2">
        <v>-1.9982740795399001E-8</v>
      </c>
      <c r="AJ605" s="2">
        <v>0.37389352290218802</v>
      </c>
      <c r="AK605" s="2">
        <v>0.49509343901886599</v>
      </c>
      <c r="AL605" s="2">
        <v>0.48046296613601502</v>
      </c>
      <c r="AM605" s="2">
        <v>0.55221408605575595</v>
      </c>
      <c r="AN605" s="2">
        <v>0.50259590148925803</v>
      </c>
      <c r="AO605" s="2">
        <v>0.29412582516670199</v>
      </c>
      <c r="AP605" s="2">
        <v>0.32337635755538902</v>
      </c>
    </row>
    <row r="606" spans="1:42" x14ac:dyDescent="0.3">
      <c r="A606" t="s">
        <v>235</v>
      </c>
      <c r="B606" s="3">
        <v>2019</v>
      </c>
      <c r="C606" s="3">
        <v>2.2094049999999998</v>
      </c>
      <c r="D606" s="3"/>
      <c r="E606" t="s">
        <v>236</v>
      </c>
      <c r="G606" s="3">
        <v>7487.50390625</v>
      </c>
      <c r="H606" s="3">
        <v>8813.001953125</v>
      </c>
      <c r="I606" s="3">
        <v>5950.79150390625</v>
      </c>
      <c r="J606" s="3">
        <v>6017.94970703125</v>
      </c>
      <c r="K606" s="3">
        <v>28581.67578125</v>
      </c>
      <c r="L606" s="3">
        <v>2.9842453659512103E-4</v>
      </c>
      <c r="M606" s="3">
        <v>0.32593274116516102</v>
      </c>
      <c r="N606" s="3">
        <v>0.459307581186295</v>
      </c>
      <c r="O606" s="3">
        <v>6996.2607421875</v>
      </c>
      <c r="P606" s="3">
        <v>8378.1484375</v>
      </c>
      <c r="Q606" s="3">
        <v>1.0578920841217001</v>
      </c>
      <c r="R606" s="3">
        <v>0.66112887859344505</v>
      </c>
      <c r="S606" s="3">
        <v>0.38731262087821999</v>
      </c>
      <c r="T606" s="3">
        <v>0.40174525976181003</v>
      </c>
      <c r="U606" s="3">
        <v>0.39726188778877303</v>
      </c>
      <c r="W606" t="s">
        <v>50</v>
      </c>
      <c r="X606" t="s">
        <v>54</v>
      </c>
      <c r="Y606" t="s">
        <v>52</v>
      </c>
      <c r="Z606" t="s">
        <v>53</v>
      </c>
      <c r="AA606" t="s">
        <v>53</v>
      </c>
      <c r="AC606" s="2">
        <v>0.33694787809427501</v>
      </c>
      <c r="AD606" s="2">
        <v>0.92788934707641602</v>
      </c>
      <c r="AE606" s="2">
        <v>0.22025737166404699</v>
      </c>
      <c r="AF606" s="2">
        <v>0.31630581617355302</v>
      </c>
      <c r="AG606" s="2">
        <v>0.32901903986930803</v>
      </c>
      <c r="AH606" s="2">
        <v>-0.79347157478332497</v>
      </c>
      <c r="AI606" s="2">
        <v>2.5534218295320001E-8</v>
      </c>
      <c r="AJ606" s="2">
        <v>0.35796753257663999</v>
      </c>
      <c r="AK606" s="2">
        <v>0.48327265358562599</v>
      </c>
      <c r="AL606" s="2">
        <v>0.47339702585780802</v>
      </c>
      <c r="AM606" s="2">
        <v>0.55793756246566795</v>
      </c>
      <c r="AN606" s="2">
        <v>0.47216185927391102</v>
      </c>
      <c r="AO606" s="2">
        <v>0.30026215314865101</v>
      </c>
      <c r="AP606" s="2">
        <v>0.30877479910850503</v>
      </c>
    </row>
    <row r="607" spans="1:42" x14ac:dyDescent="0.3">
      <c r="A607" t="s">
        <v>235</v>
      </c>
      <c r="B607" s="3">
        <v>2020</v>
      </c>
      <c r="C607" s="3">
        <v>2.2357269999999998</v>
      </c>
      <c r="D607" s="3"/>
      <c r="E607" t="s">
        <v>236</v>
      </c>
      <c r="G607" s="3">
        <v>7292.55029296875</v>
      </c>
      <c r="H607" s="3">
        <v>8507.7744140625</v>
      </c>
      <c r="I607" s="3">
        <v>5589.9169921875</v>
      </c>
      <c r="J607" s="3">
        <v>5496.49755859375</v>
      </c>
      <c r="K607" s="3">
        <v>26870.8046875</v>
      </c>
      <c r="L607" s="3">
        <v>2.75665894150734E-4</v>
      </c>
      <c r="M607" s="3">
        <v>0.30913358926773099</v>
      </c>
      <c r="N607" s="3">
        <v>0.45902839303016701</v>
      </c>
      <c r="O607" s="3">
        <v>6976.41650390625</v>
      </c>
      <c r="P607" s="3">
        <v>8244.423828125</v>
      </c>
      <c r="Q607" s="3">
        <v>0.99008232355117798</v>
      </c>
      <c r="R607" s="3">
        <v>0.66112887859344505</v>
      </c>
      <c r="S607" s="3">
        <v>0.35465404391288802</v>
      </c>
      <c r="T607" s="3">
        <v>0.36739358305931102</v>
      </c>
      <c r="U607" s="3">
        <v>0.373637914657593</v>
      </c>
      <c r="W607" t="s">
        <v>50</v>
      </c>
      <c r="X607" t="s">
        <v>54</v>
      </c>
      <c r="Y607" t="s">
        <v>52</v>
      </c>
      <c r="Z607" t="s">
        <v>53</v>
      </c>
      <c r="AA607" t="s">
        <v>53</v>
      </c>
      <c r="AC607" s="2">
        <v>0.330661103395127</v>
      </c>
      <c r="AD607" s="2">
        <v>1.01317358016968</v>
      </c>
      <c r="AE607" s="2">
        <v>0.22109064459800701</v>
      </c>
      <c r="AF607" s="2">
        <v>0.31358960270881697</v>
      </c>
      <c r="AG607" s="2">
        <v>0.30342891812324502</v>
      </c>
      <c r="AH607" s="2">
        <v>-0.85128271579742398</v>
      </c>
      <c r="AI607" s="2">
        <v>-2.12708926028427E-8</v>
      </c>
      <c r="AJ607" s="2">
        <v>0.32747634868665099</v>
      </c>
      <c r="AK607" s="2">
        <v>0.44384363777137997</v>
      </c>
      <c r="AL607" s="2">
        <v>0.44246216231268598</v>
      </c>
      <c r="AM607" s="2">
        <v>0.54733860492706299</v>
      </c>
      <c r="AN607" s="2">
        <v>0.42419752478599598</v>
      </c>
      <c r="AO607" s="2">
        <v>0.28719192743301403</v>
      </c>
      <c r="AP607" s="2">
        <v>0.29978743195533802</v>
      </c>
    </row>
    <row r="608" spans="1:42" x14ac:dyDescent="0.3">
      <c r="A608" t="s">
        <v>237</v>
      </c>
      <c r="B608" s="3">
        <v>2015</v>
      </c>
      <c r="C608" s="3">
        <v>2.905764</v>
      </c>
      <c r="D608" s="3">
        <v>1673.2</v>
      </c>
      <c r="E608" t="s">
        <v>74</v>
      </c>
      <c r="G608" s="3">
        <v>76794.8203125</v>
      </c>
      <c r="H608" s="3">
        <v>96047.390625</v>
      </c>
      <c r="I608" s="3">
        <v>95108.8359375</v>
      </c>
      <c r="J608" s="3">
        <v>86572.78125</v>
      </c>
      <c r="K608" s="3">
        <v>362564.59375</v>
      </c>
      <c r="L608" s="3">
        <v>3.8852016441523998E-3</v>
      </c>
      <c r="M608" s="3">
        <v>0.75212609767913796</v>
      </c>
      <c r="N608" s="3">
        <v>0.80502194166183505</v>
      </c>
      <c r="O608" s="3">
        <v>82514.984375</v>
      </c>
      <c r="P608" s="3">
        <v>106010.828125</v>
      </c>
      <c r="Q608" s="3">
        <v>0.89563298225402799</v>
      </c>
      <c r="R608" s="3">
        <v>0.50810480117797896</v>
      </c>
      <c r="S608" s="3">
        <v>0.42426338791847201</v>
      </c>
      <c r="T608" s="3">
        <v>0.43677279353141801</v>
      </c>
      <c r="U608" s="3">
        <v>0.47983855009079002</v>
      </c>
      <c r="W608" t="s">
        <v>50</v>
      </c>
      <c r="X608" t="s">
        <v>51</v>
      </c>
      <c r="Y608" t="s">
        <v>52</v>
      </c>
      <c r="Z608" t="s">
        <v>53</v>
      </c>
      <c r="AA608" t="s">
        <v>53</v>
      </c>
      <c r="AC608" s="2">
        <v>0.68676267652246503</v>
      </c>
      <c r="AD608" s="2">
        <v>0.63504946231841997</v>
      </c>
      <c r="AE608" s="2">
        <v>0.22238592803478199</v>
      </c>
      <c r="AF608" s="2">
        <v>0.25200554728508001</v>
      </c>
      <c r="AG608" s="2">
        <v>0.57699292898178101</v>
      </c>
      <c r="AH608" s="2">
        <v>-0.68643385171890303</v>
      </c>
      <c r="AI608" s="2">
        <v>-1.75151405127155E-16</v>
      </c>
      <c r="AJ608" s="2">
        <v>0.46304710535285898</v>
      </c>
      <c r="AK608" s="2">
        <v>0.486670489550666</v>
      </c>
      <c r="AL608" s="2">
        <v>0.32652907678391901</v>
      </c>
      <c r="AM608" s="2">
        <v>0.57052731513977095</v>
      </c>
      <c r="AN608" s="2">
        <v>0.486463963985443</v>
      </c>
      <c r="AO608" s="2">
        <v>0.357297122478485</v>
      </c>
      <c r="AP608" s="2">
        <v>0.70267987251281705</v>
      </c>
    </row>
    <row r="609" spans="1:42" x14ac:dyDescent="0.3">
      <c r="A609" t="s">
        <v>237</v>
      </c>
      <c r="B609" s="3">
        <v>2016</v>
      </c>
      <c r="C609" s="3">
        <v>2.86911</v>
      </c>
      <c r="D609" s="3">
        <v>1694.33</v>
      </c>
      <c r="E609" t="s">
        <v>74</v>
      </c>
      <c r="G609" s="3">
        <v>79193.390625</v>
      </c>
      <c r="H609" s="3">
        <v>97208.6953125</v>
      </c>
      <c r="I609" s="3">
        <v>97921.96875</v>
      </c>
      <c r="J609" s="3">
        <v>89345.71875</v>
      </c>
      <c r="K609" s="3">
        <v>374469.09375</v>
      </c>
      <c r="L609" s="3">
        <v>3.9585153572261299E-3</v>
      </c>
      <c r="M609" s="3">
        <v>0.74737566709518399</v>
      </c>
      <c r="N609" s="3">
        <v>0.78616225719451904</v>
      </c>
      <c r="O609" s="3">
        <v>84974.09375</v>
      </c>
      <c r="P609" s="3">
        <v>108240.75</v>
      </c>
      <c r="Q609" s="3">
        <v>0.88639998435974099</v>
      </c>
      <c r="R609" s="3">
        <v>0.52924668788909901</v>
      </c>
      <c r="S609" s="3">
        <v>0.42857110500335699</v>
      </c>
      <c r="T609" s="3">
        <v>0.43882647156715399</v>
      </c>
      <c r="U609" s="3">
        <v>0.48094916343688998</v>
      </c>
      <c r="W609" t="s">
        <v>50</v>
      </c>
      <c r="X609" t="s">
        <v>51</v>
      </c>
      <c r="Y609" t="s">
        <v>52</v>
      </c>
      <c r="Z609" t="s">
        <v>53</v>
      </c>
      <c r="AA609" t="s">
        <v>53</v>
      </c>
      <c r="AC609" s="2">
        <v>0.69370144232724895</v>
      </c>
      <c r="AD609" s="2">
        <v>0.63946735858917203</v>
      </c>
      <c r="AE609" s="2">
        <v>0.201635926961899</v>
      </c>
      <c r="AF609" s="2">
        <v>0.24690294265747101</v>
      </c>
      <c r="AG609" s="2">
        <v>0.57857745885848999</v>
      </c>
      <c r="AH609" s="2">
        <v>-0.66658371686935403</v>
      </c>
      <c r="AI609" s="2">
        <v>-1.6932348757780101E-16</v>
      </c>
      <c r="AJ609" s="2">
        <v>0.46648925736830499</v>
      </c>
      <c r="AK609" s="2">
        <v>0.48390798623560499</v>
      </c>
      <c r="AL609" s="2">
        <v>0.33036478032808497</v>
      </c>
      <c r="AM609" s="2">
        <v>0.56284236907958995</v>
      </c>
      <c r="AN609" s="2">
        <v>0.48327717185020402</v>
      </c>
      <c r="AO609" s="2">
        <v>0.35929438471794101</v>
      </c>
      <c r="AP609" s="2">
        <v>0.66145038604736295</v>
      </c>
    </row>
    <row r="610" spans="1:42" x14ac:dyDescent="0.3">
      <c r="A610" t="s">
        <v>237</v>
      </c>
      <c r="B610" s="3">
        <v>2017</v>
      </c>
      <c r="C610" s="3">
        <v>2.829313</v>
      </c>
      <c r="D610" s="3">
        <v>1656.93</v>
      </c>
      <c r="E610" t="s">
        <v>74</v>
      </c>
      <c r="G610" s="3">
        <v>82042.90625</v>
      </c>
      <c r="H610" s="3">
        <v>101846.1796875</v>
      </c>
      <c r="I610" s="3">
        <v>104237.6953125</v>
      </c>
      <c r="J610" s="3">
        <v>92564.96875</v>
      </c>
      <c r="K610" s="3">
        <v>383348.375</v>
      </c>
      <c r="L610" s="3">
        <v>4.0726223960518802E-3</v>
      </c>
      <c r="M610" s="3">
        <v>0.76187568902969405</v>
      </c>
      <c r="N610" s="3">
        <v>0.80726611614227295</v>
      </c>
      <c r="O610" s="3">
        <v>86984.40625</v>
      </c>
      <c r="P610" s="3">
        <v>111454.6171875</v>
      </c>
      <c r="Q610" s="3">
        <v>0.92502707242965698</v>
      </c>
      <c r="R610" s="3">
        <v>0.52954298257827803</v>
      </c>
      <c r="S610" s="3">
        <v>0.44952630996704102</v>
      </c>
      <c r="T610" s="3">
        <v>0.45815253257751498</v>
      </c>
      <c r="U610" s="3">
        <v>0.51592695713043202</v>
      </c>
      <c r="W610" t="s">
        <v>51</v>
      </c>
      <c r="X610" t="s">
        <v>51</v>
      </c>
      <c r="Y610" t="s">
        <v>52</v>
      </c>
      <c r="Z610" t="s">
        <v>53</v>
      </c>
      <c r="AA610" t="s">
        <v>53</v>
      </c>
      <c r="AC610" s="2">
        <v>0.69759588544177498</v>
      </c>
      <c r="AD610" s="2">
        <v>0.64284503459930398</v>
      </c>
      <c r="AE610" s="2">
        <v>0.21393916010856601</v>
      </c>
      <c r="AF610" s="2">
        <v>0.24348278343677501</v>
      </c>
      <c r="AG610" s="2">
        <v>0.64628672599792503</v>
      </c>
      <c r="AH610" s="2">
        <v>-0.74655365943908703</v>
      </c>
      <c r="AI610" s="2">
        <v>0</v>
      </c>
      <c r="AJ610" s="2">
        <v>0.48917971697322299</v>
      </c>
      <c r="AK610" s="2">
        <v>0.49389014501684197</v>
      </c>
      <c r="AL610" s="2">
        <v>0.34483312025401502</v>
      </c>
      <c r="AM610" s="2">
        <v>0.58759516477584794</v>
      </c>
      <c r="AN610" s="2">
        <v>0.49282205104827898</v>
      </c>
      <c r="AO610" s="2">
        <v>0.37266427278518699</v>
      </c>
      <c r="AP610" s="2">
        <v>0.68829423189163197</v>
      </c>
    </row>
    <row r="611" spans="1:42" x14ac:dyDescent="0.3">
      <c r="A611" t="s">
        <v>237</v>
      </c>
      <c r="B611" s="3">
        <v>2018</v>
      </c>
      <c r="C611" s="3">
        <v>2.8024779999999998</v>
      </c>
      <c r="D611" s="3">
        <v>1664.1</v>
      </c>
      <c r="E611" t="s">
        <v>74</v>
      </c>
      <c r="G611" s="3">
        <v>83329.9765625</v>
      </c>
      <c r="H611" s="3">
        <v>106988.515625</v>
      </c>
      <c r="I611" s="3">
        <v>109012.7890625</v>
      </c>
      <c r="J611" s="3">
        <v>96816.3515625</v>
      </c>
      <c r="K611" s="3">
        <v>403653.46875</v>
      </c>
      <c r="L611" s="3">
        <v>4.2310319840908103E-3</v>
      </c>
      <c r="M611" s="3">
        <v>0.76039838790893599</v>
      </c>
      <c r="N611" s="3">
        <v>0.80886346101760898</v>
      </c>
      <c r="O611" s="3">
        <v>89444.8046875</v>
      </c>
      <c r="P611" s="3">
        <v>116167.3828125</v>
      </c>
      <c r="Q611" s="3">
        <v>0.94188797473907504</v>
      </c>
      <c r="R611" s="3">
        <v>0.53066229820251498</v>
      </c>
      <c r="S611" s="3">
        <v>0.49317136406898499</v>
      </c>
      <c r="T611" s="3">
        <v>0.49775624275207497</v>
      </c>
      <c r="U611" s="3">
        <v>0.56046110391616799</v>
      </c>
      <c r="W611" t="s">
        <v>50</v>
      </c>
      <c r="X611" t="s">
        <v>51</v>
      </c>
      <c r="Y611" t="s">
        <v>52</v>
      </c>
      <c r="Z611" t="s">
        <v>53</v>
      </c>
      <c r="AA611" t="s">
        <v>53</v>
      </c>
      <c r="AC611" s="2">
        <v>0.70890046324719003</v>
      </c>
      <c r="AD611" s="2">
        <v>0.62856161594390902</v>
      </c>
      <c r="AE611" s="2">
        <v>0.24436512589454701</v>
      </c>
      <c r="AF611" s="2">
        <v>0.23213987052440599</v>
      </c>
      <c r="AG611" s="2">
        <v>0.69031018018722501</v>
      </c>
      <c r="AH611" s="2">
        <v>-0.795376837253571</v>
      </c>
      <c r="AI611" s="2">
        <v>2.1764014590530701E-8</v>
      </c>
      <c r="AJ611" s="2">
        <v>0.53108323108258604</v>
      </c>
      <c r="AK611" s="2">
        <v>0.51390509636738602</v>
      </c>
      <c r="AL611" s="2">
        <v>0.39051795441125398</v>
      </c>
      <c r="AM611" s="2">
        <v>0.60510325431823697</v>
      </c>
      <c r="AN611" s="2">
        <v>0.51208645105361905</v>
      </c>
      <c r="AO611" s="2">
        <v>0.389104604721069</v>
      </c>
      <c r="AP611" s="2">
        <v>0.711703300476074</v>
      </c>
    </row>
    <row r="612" spans="1:42" x14ac:dyDescent="0.3">
      <c r="A612" t="s">
        <v>237</v>
      </c>
      <c r="B612" s="3">
        <v>2019</v>
      </c>
      <c r="C612" s="3">
        <v>2.795058</v>
      </c>
      <c r="D612" s="3">
        <v>1665.66</v>
      </c>
      <c r="E612" t="s">
        <v>74</v>
      </c>
      <c r="G612" s="3">
        <v>90616.0546875</v>
      </c>
      <c r="H612" s="3">
        <v>113062.6328125</v>
      </c>
      <c r="I612" s="3">
        <v>119342.9921875</v>
      </c>
      <c r="J612" s="3">
        <v>105371.4609375</v>
      </c>
      <c r="K612" s="3">
        <v>434925.5625</v>
      </c>
      <c r="L612" s="3">
        <v>4.4734780676662896E-3</v>
      </c>
      <c r="M612" s="3">
        <v>0.78914988040924094</v>
      </c>
      <c r="N612" s="3">
        <v>0.81480914354324296</v>
      </c>
      <c r="O612" s="3">
        <v>91352.140625</v>
      </c>
      <c r="P612" s="3">
        <v>118093.1484375</v>
      </c>
      <c r="Q612" s="3">
        <v>0.96184378862381004</v>
      </c>
      <c r="R612" s="3">
        <v>0.54820770025253296</v>
      </c>
      <c r="S612" s="3">
        <v>0.45718365907669101</v>
      </c>
      <c r="T612" s="3">
        <v>0.461879342794418</v>
      </c>
      <c r="U612" s="3">
        <v>0.52312141656875599</v>
      </c>
      <c r="W612" t="s">
        <v>50</v>
      </c>
      <c r="X612" t="s">
        <v>54</v>
      </c>
      <c r="Y612" t="s">
        <v>52</v>
      </c>
      <c r="Z612" t="s">
        <v>53</v>
      </c>
      <c r="AA612" t="s">
        <v>53</v>
      </c>
      <c r="AC612" s="2">
        <v>0.72163514638259296</v>
      </c>
      <c r="AD612" s="2">
        <v>0.62166899442672696</v>
      </c>
      <c r="AE612" s="2">
        <v>0.21302331984043099</v>
      </c>
      <c r="AF612" s="2">
        <v>0.23829875886440299</v>
      </c>
      <c r="AG612" s="2">
        <v>0.70540386438369795</v>
      </c>
      <c r="AH612" s="2">
        <v>-0.77839493751525901</v>
      </c>
      <c r="AI612" s="2">
        <v>1.31997180812027E-16</v>
      </c>
      <c r="AJ612" s="2">
        <v>0.491349887646297</v>
      </c>
      <c r="AK612" s="2">
        <v>0.48083557531709797</v>
      </c>
      <c r="AL612" s="2">
        <v>0.36805151350196003</v>
      </c>
      <c r="AM612" s="2">
        <v>0.56968098878860496</v>
      </c>
      <c r="AN612" s="2">
        <v>0.48089492321014399</v>
      </c>
      <c r="AO612" s="2">
        <v>0.36517405509948703</v>
      </c>
      <c r="AP612" s="2">
        <v>0.63319206237793002</v>
      </c>
    </row>
    <row r="613" spans="1:42" x14ac:dyDescent="0.3">
      <c r="A613" t="s">
        <v>237</v>
      </c>
      <c r="B613" s="3">
        <v>2020</v>
      </c>
      <c r="C613" s="3">
        <v>2.7957649999999998</v>
      </c>
      <c r="D613" s="3">
        <v>1595.55</v>
      </c>
      <c r="E613" t="s">
        <v>74</v>
      </c>
      <c r="G613" s="3">
        <v>89133.8046875</v>
      </c>
      <c r="H613" s="3">
        <v>108228.9375</v>
      </c>
      <c r="I613" s="3">
        <v>119028.140625</v>
      </c>
      <c r="J613" s="3">
        <v>105122.3046875</v>
      </c>
      <c r="K613" s="3">
        <v>463076.375</v>
      </c>
      <c r="L613" s="3">
        <v>4.4921124354004903E-3</v>
      </c>
      <c r="M613" s="3">
        <v>0.79341787099838301</v>
      </c>
      <c r="N613" s="3">
        <v>0.78363525867462203</v>
      </c>
      <c r="O613" s="3">
        <v>88826.359375</v>
      </c>
      <c r="P613" s="3">
        <v>114262.25</v>
      </c>
      <c r="Q613" s="3">
        <v>0.97689807415008501</v>
      </c>
      <c r="R613" s="3">
        <v>0.55814117193222101</v>
      </c>
      <c r="S613" s="3">
        <v>0.47926583886146501</v>
      </c>
      <c r="T613" s="3">
        <v>0.482340067625046</v>
      </c>
      <c r="U613" s="3">
        <v>0.54614520072937001</v>
      </c>
      <c r="W613" t="s">
        <v>50</v>
      </c>
      <c r="X613" t="s">
        <v>54</v>
      </c>
      <c r="Y613" t="s">
        <v>52</v>
      </c>
      <c r="Z613" t="s">
        <v>53</v>
      </c>
      <c r="AA613" t="s">
        <v>53</v>
      </c>
      <c r="AC613" s="2">
        <v>0.73078007721136296</v>
      </c>
      <c r="AD613" s="2">
        <v>0.59747004508972201</v>
      </c>
      <c r="AE613" s="2">
        <v>0.18164686858654</v>
      </c>
      <c r="AF613" s="2">
        <v>0.250435680150986</v>
      </c>
      <c r="AG613" s="2">
        <v>0.70402628183364901</v>
      </c>
      <c r="AH613" s="2">
        <v>-0.73357897996902499</v>
      </c>
      <c r="AI613" s="2">
        <v>1.9894713432222502E-8</v>
      </c>
      <c r="AJ613" s="2">
        <v>0.51226316420997797</v>
      </c>
      <c r="AK613" s="2">
        <v>0.49669018719798402</v>
      </c>
      <c r="AL613" s="2">
        <v>0.40054336210483499</v>
      </c>
      <c r="AM613" s="2">
        <v>0.56190872192382801</v>
      </c>
      <c r="AN613" s="2">
        <v>0.471725404262543</v>
      </c>
      <c r="AO613" s="2">
        <v>0.374743312597275</v>
      </c>
      <c r="AP613" s="2">
        <v>0.67059582471847501</v>
      </c>
    </row>
    <row r="614" spans="1:42" x14ac:dyDescent="0.3">
      <c r="A614" t="s">
        <v>238</v>
      </c>
      <c r="B614" s="3">
        <v>2015</v>
      </c>
      <c r="C614" s="3">
        <v>0.56953600000000004</v>
      </c>
      <c r="D614" s="3">
        <v>1519.45</v>
      </c>
      <c r="E614" t="s">
        <v>74</v>
      </c>
      <c r="G614" s="3">
        <v>27413.775390625</v>
      </c>
      <c r="H614" s="3">
        <v>45026.48046875</v>
      </c>
      <c r="I614" s="3">
        <v>66744.3828125</v>
      </c>
      <c r="J614" s="3">
        <v>51408.4921875</v>
      </c>
      <c r="K614" s="3">
        <v>262075.828125</v>
      </c>
      <c r="L614" s="3">
        <v>2.9772575944662098E-3</v>
      </c>
      <c r="M614" s="3">
        <v>0.95368140935897805</v>
      </c>
      <c r="N614" s="3">
        <v>0.80584061145782504</v>
      </c>
      <c r="O614" s="3">
        <v>27982.19921875</v>
      </c>
      <c r="P614" s="3">
        <v>46345.45703125</v>
      </c>
      <c r="Q614" s="3">
        <v>1.0246216058731099</v>
      </c>
      <c r="R614" s="3">
        <v>0.42074885964393599</v>
      </c>
      <c r="S614" s="3">
        <v>1.06283342838287</v>
      </c>
      <c r="T614" s="3">
        <v>0.90002453327178999</v>
      </c>
      <c r="U614" s="3">
        <v>1.1685148477554299</v>
      </c>
      <c r="W614" t="s">
        <v>50</v>
      </c>
      <c r="X614" t="s">
        <v>51</v>
      </c>
      <c r="Y614" t="s">
        <v>52</v>
      </c>
      <c r="Z614" t="s">
        <v>53</v>
      </c>
      <c r="AA614" t="s">
        <v>53</v>
      </c>
      <c r="AC614" s="2">
        <v>0.65632555612494303</v>
      </c>
      <c r="AD614" s="2">
        <v>0.39458999037742598</v>
      </c>
      <c r="AE614" s="2">
        <v>0.34260302782058699</v>
      </c>
      <c r="AF614" s="2">
        <v>0.13866382837295499</v>
      </c>
      <c r="AG614" s="2">
        <v>0.41952353715896601</v>
      </c>
      <c r="AH614" s="2">
        <v>-0.731814384460449</v>
      </c>
      <c r="AI614" s="2">
        <v>0.43643397092819203</v>
      </c>
      <c r="AJ614" s="2">
        <v>0.96345479106774101</v>
      </c>
      <c r="AK614" s="2">
        <v>0.64661630727920905</v>
      </c>
      <c r="AL614" s="2">
        <v>1.34563111483966</v>
      </c>
      <c r="AM614" s="2">
        <v>0.58541572093963601</v>
      </c>
      <c r="AN614" s="2">
        <v>0.51290756464004505</v>
      </c>
      <c r="AO614" s="2">
        <v>0.544852554798126</v>
      </c>
      <c r="AP614" s="2">
        <v>1.5614985227584799</v>
      </c>
    </row>
    <row r="615" spans="1:42" x14ac:dyDescent="0.3">
      <c r="A615" t="s">
        <v>238</v>
      </c>
      <c r="B615" s="3">
        <v>2016</v>
      </c>
      <c r="C615" s="3">
        <v>0.58350599999999997</v>
      </c>
      <c r="D615" s="3">
        <v>1517.97</v>
      </c>
      <c r="E615" t="s">
        <v>74</v>
      </c>
      <c r="G615" s="3">
        <v>28213.171875</v>
      </c>
      <c r="H615" s="3">
        <v>45178.578125</v>
      </c>
      <c r="I615" s="3">
        <v>68204.2265625</v>
      </c>
      <c r="J615" s="3">
        <v>54250.8671875</v>
      </c>
      <c r="K615" s="3">
        <v>266088.625</v>
      </c>
      <c r="L615" s="3">
        <v>2.9623406007885898E-3</v>
      </c>
      <c r="M615" s="3">
        <v>0.97990322113037098</v>
      </c>
      <c r="N615" s="3">
        <v>0.78895288705825795</v>
      </c>
      <c r="O615" s="3">
        <v>28714.50390625</v>
      </c>
      <c r="P615" s="3">
        <v>46874.76953125</v>
      </c>
      <c r="Q615" s="3">
        <v>1.0420298576355</v>
      </c>
      <c r="R615" s="3">
        <v>0.42173999547958402</v>
      </c>
      <c r="S615" s="3">
        <v>1.06531357765198</v>
      </c>
      <c r="T615" s="3">
        <v>0.91221451759338401</v>
      </c>
      <c r="U615" s="3">
        <v>1.1468366384506199</v>
      </c>
      <c r="W615" t="s">
        <v>50</v>
      </c>
      <c r="X615" t="s">
        <v>51</v>
      </c>
      <c r="Y615" t="s">
        <v>52</v>
      </c>
      <c r="Z615" t="s">
        <v>53</v>
      </c>
      <c r="AA615" t="s">
        <v>53</v>
      </c>
      <c r="AC615" s="2">
        <v>0.64908931656204005</v>
      </c>
      <c r="AD615" s="2">
        <v>0.38166770339012102</v>
      </c>
      <c r="AE615" s="2">
        <v>0.31272137165069602</v>
      </c>
      <c r="AF615" s="2">
        <v>0.13838243484497101</v>
      </c>
      <c r="AG615" s="2">
        <v>0.408226698637009</v>
      </c>
      <c r="AH615" s="2">
        <v>-0.679618239402771</v>
      </c>
      <c r="AI615" s="2">
        <v>0.43862003087997398</v>
      </c>
      <c r="AJ615" s="2">
        <v>0.98058811687592096</v>
      </c>
      <c r="AK615" s="2">
        <v>0.65761339728406698</v>
      </c>
      <c r="AL615" s="2">
        <v>1.2989919822195299</v>
      </c>
      <c r="AM615" s="2">
        <v>0.57969850301742598</v>
      </c>
      <c r="AN615" s="2">
        <v>0.51867866516113303</v>
      </c>
      <c r="AO615" s="2">
        <v>0.54700201749801602</v>
      </c>
      <c r="AP615" s="2">
        <v>1.572026014328</v>
      </c>
    </row>
    <row r="616" spans="1:42" x14ac:dyDescent="0.3">
      <c r="A616" t="s">
        <v>238</v>
      </c>
      <c r="B616" s="3">
        <v>2017</v>
      </c>
      <c r="C616" s="3">
        <v>0.596495</v>
      </c>
      <c r="D616" s="3">
        <v>1508.08</v>
      </c>
      <c r="E616" t="s">
        <v>74</v>
      </c>
      <c r="G616" s="3">
        <v>29691.7890625</v>
      </c>
      <c r="H616" s="3">
        <v>48459.703125</v>
      </c>
      <c r="I616" s="3">
        <v>70952.3046875</v>
      </c>
      <c r="J616" s="3">
        <v>58211.9296875</v>
      </c>
      <c r="K616" s="3">
        <v>267350.8125</v>
      </c>
      <c r="L616" s="3">
        <v>2.9595876112580299E-3</v>
      </c>
      <c r="M616" s="3">
        <v>1.02851486206055</v>
      </c>
      <c r="N616" s="3">
        <v>0.82454317808151301</v>
      </c>
      <c r="O616" s="3">
        <v>29668.314453125</v>
      </c>
      <c r="P616" s="3">
        <v>48950.703125</v>
      </c>
      <c r="Q616" s="3">
        <v>1.02022051811218</v>
      </c>
      <c r="R616" s="3">
        <v>0.44213780760765098</v>
      </c>
      <c r="S616" s="3">
        <v>1.0934977531433101</v>
      </c>
      <c r="T616" s="3">
        <v>0.92614585161209095</v>
      </c>
      <c r="U616" s="3">
        <v>1.12884390354157</v>
      </c>
      <c r="W616" t="s">
        <v>51</v>
      </c>
      <c r="X616" t="s">
        <v>51</v>
      </c>
      <c r="Y616" t="s">
        <v>52</v>
      </c>
      <c r="Z616" t="s">
        <v>53</v>
      </c>
      <c r="AA616" t="s">
        <v>53</v>
      </c>
      <c r="AC616" s="2">
        <v>0.65861440919182801</v>
      </c>
      <c r="AD616" s="2">
        <v>0.369426339864731</v>
      </c>
      <c r="AE616" s="2">
        <v>0.32240664958953902</v>
      </c>
      <c r="AF616" s="2">
        <v>0.14063732326030701</v>
      </c>
      <c r="AG616" s="2">
        <v>0.3942691385746</v>
      </c>
      <c r="AH616" s="2">
        <v>-0.65197598934173595</v>
      </c>
      <c r="AI616" s="2">
        <v>0.42523658275604298</v>
      </c>
      <c r="AJ616" s="2">
        <v>1.0141730043667401</v>
      </c>
      <c r="AK616" s="2">
        <v>0.66138655957616299</v>
      </c>
      <c r="AL616" s="2">
        <v>1.3018682842134</v>
      </c>
      <c r="AM616" s="2">
        <v>0.60820591449737604</v>
      </c>
      <c r="AN616" s="2">
        <v>0.55518543720245395</v>
      </c>
      <c r="AO616" s="2">
        <v>0.563298881053925</v>
      </c>
      <c r="AP616" s="2">
        <v>1.5453791618347199</v>
      </c>
    </row>
    <row r="617" spans="1:42" x14ac:dyDescent="0.3">
      <c r="A617" t="s">
        <v>238</v>
      </c>
      <c r="B617" s="3">
        <v>2018</v>
      </c>
      <c r="C617" s="3">
        <v>0.608101</v>
      </c>
      <c r="D617" s="3">
        <v>1498.61</v>
      </c>
      <c r="E617" t="s">
        <v>74</v>
      </c>
      <c r="G617" s="3">
        <v>30635.49609375</v>
      </c>
      <c r="H617" s="3">
        <v>47637.515625</v>
      </c>
      <c r="I617" s="3">
        <v>70656.5546875</v>
      </c>
      <c r="J617" s="3">
        <v>55768.15234375</v>
      </c>
      <c r="K617" s="3">
        <v>273593.65625</v>
      </c>
      <c r="L617" s="3">
        <v>2.9557719826698299E-3</v>
      </c>
      <c r="M617" s="3">
        <v>0.96401578187942505</v>
      </c>
      <c r="N617" s="3">
        <v>0.79267078638076804</v>
      </c>
      <c r="O617" s="3">
        <v>30721.771484375</v>
      </c>
      <c r="P617" s="3">
        <v>49120.9765625</v>
      </c>
      <c r="Q617" s="3">
        <v>1.0028263330459599</v>
      </c>
      <c r="R617" s="3">
        <v>0.46411868929862998</v>
      </c>
      <c r="S617" s="3">
        <v>1.16751897335053</v>
      </c>
      <c r="T617" s="3">
        <v>1.00486588478088</v>
      </c>
      <c r="U617" s="3">
        <v>1.2731345891952499</v>
      </c>
      <c r="W617" t="s">
        <v>50</v>
      </c>
      <c r="X617" t="s">
        <v>51</v>
      </c>
      <c r="Y617" t="s">
        <v>52</v>
      </c>
      <c r="Z617" t="s">
        <v>53</v>
      </c>
      <c r="AA617" t="s">
        <v>53</v>
      </c>
      <c r="AC617" s="2">
        <v>0.63159918484770405</v>
      </c>
      <c r="AD617" s="2">
        <v>0.39872428774833701</v>
      </c>
      <c r="AE617" s="2">
        <v>0.30486968159675598</v>
      </c>
      <c r="AF617" s="2">
        <v>0.150612458586693</v>
      </c>
      <c r="AG617" s="2">
        <v>0.43269705772399902</v>
      </c>
      <c r="AH617" s="2">
        <v>-0.72495049238205</v>
      </c>
      <c r="AI617" s="2">
        <v>0.43804702162742598</v>
      </c>
      <c r="AJ617" s="2">
        <v>1.07198843559811</v>
      </c>
      <c r="AK617" s="2">
        <v>0.71178546650498098</v>
      </c>
      <c r="AL617" s="2">
        <v>1.4204221419481999</v>
      </c>
      <c r="AM617" s="2">
        <v>0.62776291370391901</v>
      </c>
      <c r="AN617" s="2">
        <v>0.57183539867401101</v>
      </c>
      <c r="AO617" s="2">
        <v>0.61498963832855202</v>
      </c>
      <c r="AP617" s="2">
        <v>1.52203261852264</v>
      </c>
    </row>
    <row r="618" spans="1:42" x14ac:dyDescent="0.3">
      <c r="A618" t="s">
        <v>238</v>
      </c>
      <c r="B618" s="3">
        <v>2019</v>
      </c>
      <c r="C618" s="3">
        <v>0.62016300000000002</v>
      </c>
      <c r="D618" s="3">
        <v>1493.28</v>
      </c>
      <c r="E618" t="s">
        <v>74</v>
      </c>
      <c r="G618" s="3">
        <v>32434.349609375</v>
      </c>
      <c r="H618" s="3">
        <v>52097.62890625</v>
      </c>
      <c r="I618" s="3">
        <v>74933.59375</v>
      </c>
      <c r="J618" s="3">
        <v>61454.0390625</v>
      </c>
      <c r="K618" s="3">
        <v>291549.71875</v>
      </c>
      <c r="L618" s="3">
        <v>3.06295487098396E-3</v>
      </c>
      <c r="M618" s="3">
        <v>1.00860631465912</v>
      </c>
      <c r="N618" s="3">
        <v>0.82279157638549805</v>
      </c>
      <c r="O618" s="3">
        <v>31524.6328125</v>
      </c>
      <c r="P618" s="3">
        <v>51521.60546875</v>
      </c>
      <c r="Q618" s="3">
        <v>0.99582165479660001</v>
      </c>
      <c r="R618" s="3">
        <v>0.47159698605537398</v>
      </c>
      <c r="S618" s="3">
        <v>1.0953458547592201</v>
      </c>
      <c r="T618" s="3">
        <v>0.93269926309585605</v>
      </c>
      <c r="U618" s="3">
        <v>1.1372808218002299</v>
      </c>
      <c r="W618" t="s">
        <v>50</v>
      </c>
      <c r="X618" t="s">
        <v>54</v>
      </c>
      <c r="Y618" t="s">
        <v>52</v>
      </c>
      <c r="Z618" t="s">
        <v>53</v>
      </c>
      <c r="AA618" t="s">
        <v>53</v>
      </c>
      <c r="AC618" s="2">
        <v>0.64267665372879001</v>
      </c>
      <c r="AD618" s="2">
        <v>0.37684831023216298</v>
      </c>
      <c r="AE618" s="2">
        <v>0.31996726989746099</v>
      </c>
      <c r="AF618" s="2">
        <v>0.15093393623828899</v>
      </c>
      <c r="AG618" s="2">
        <v>0.39544570446014399</v>
      </c>
      <c r="AH618" s="2">
        <v>-0.66191887855529796</v>
      </c>
      <c r="AI618" s="2">
        <v>0.41872370243072499</v>
      </c>
      <c r="AJ618" s="2">
        <v>1.0137987870640299</v>
      </c>
      <c r="AK618" s="2">
        <v>0.66441575223995997</v>
      </c>
      <c r="AL618" s="2">
        <v>1.29895057070192</v>
      </c>
      <c r="AM618" s="2">
        <v>0.60381716489791903</v>
      </c>
      <c r="AN618" s="2">
        <v>0.55656033754348799</v>
      </c>
      <c r="AO618" s="2">
        <v>0.57821148633956898</v>
      </c>
      <c r="AP618" s="2">
        <v>1.3713845014572099</v>
      </c>
    </row>
    <row r="619" spans="1:42" x14ac:dyDescent="0.3">
      <c r="A619" t="s">
        <v>238</v>
      </c>
      <c r="B619" s="3">
        <v>2020</v>
      </c>
      <c r="C619" s="3">
        <v>0.63059699999999996</v>
      </c>
      <c r="D619" s="3">
        <v>1408.21</v>
      </c>
      <c r="E619" t="s">
        <v>74</v>
      </c>
      <c r="G619" s="3">
        <v>30542.462890625</v>
      </c>
      <c r="H619" s="3">
        <v>48432.796875</v>
      </c>
      <c r="I619" s="3">
        <v>73348.7109375</v>
      </c>
      <c r="J619" s="3">
        <v>59011.73828125</v>
      </c>
      <c r="K619" s="3">
        <v>292462.53125</v>
      </c>
      <c r="L619" s="3">
        <v>2.9170622583478698E-3</v>
      </c>
      <c r="M619" s="3">
        <v>0.99002873897552501</v>
      </c>
      <c r="N619" s="3">
        <v>0.77949321269989003</v>
      </c>
      <c r="O619" s="3">
        <v>30545.11328125</v>
      </c>
      <c r="P619" s="3">
        <v>49457.15625</v>
      </c>
      <c r="Q619" s="3">
        <v>0.98805123567581199</v>
      </c>
      <c r="R619" s="3">
        <v>0.47388198971748402</v>
      </c>
      <c r="S619" s="3">
        <v>1.17478883266449</v>
      </c>
      <c r="T619" s="3">
        <v>1.0047806501388601</v>
      </c>
      <c r="U619" s="3">
        <v>1.2488933801651001</v>
      </c>
      <c r="W619" t="s">
        <v>50</v>
      </c>
      <c r="X619" t="s">
        <v>54</v>
      </c>
      <c r="Y619" t="s">
        <v>52</v>
      </c>
      <c r="Z619" t="s">
        <v>53</v>
      </c>
      <c r="AA619" t="s">
        <v>53</v>
      </c>
      <c r="AC619" s="2">
        <v>0.63368506353421095</v>
      </c>
      <c r="AD619" s="2">
        <v>0.34947726130485501</v>
      </c>
      <c r="AE619" s="2">
        <v>0.303165674209595</v>
      </c>
      <c r="AF619" s="2">
        <v>0.16808861494064301</v>
      </c>
      <c r="AG619" s="2">
        <v>0.41221380233764698</v>
      </c>
      <c r="AH619" s="2">
        <v>-0.67746549844741799</v>
      </c>
      <c r="AI619" s="2">
        <v>0.44452011585235601</v>
      </c>
      <c r="AJ619" s="2">
        <v>1.07969642317017</v>
      </c>
      <c r="AK619" s="2">
        <v>0.714541984349229</v>
      </c>
      <c r="AL619" s="2">
        <v>1.37249790648536</v>
      </c>
      <c r="AM619" s="2">
        <v>0.625959813594818</v>
      </c>
      <c r="AN619" s="2">
        <v>0.57412427663803101</v>
      </c>
      <c r="AO619" s="2">
        <v>0.61874926090240501</v>
      </c>
      <c r="AP619" s="2">
        <v>1.5784330368042001</v>
      </c>
    </row>
    <row r="620" spans="1:42" x14ac:dyDescent="0.3">
      <c r="A620" t="s">
        <v>239</v>
      </c>
      <c r="B620" s="3">
        <v>2015</v>
      </c>
      <c r="C620" s="3">
        <v>1.977867</v>
      </c>
      <c r="D620" s="3">
        <v>1663.19</v>
      </c>
      <c r="E620" t="s">
        <v>74</v>
      </c>
      <c r="G620" s="3">
        <v>42165.36328125</v>
      </c>
      <c r="H620" s="3">
        <v>54683.09765625</v>
      </c>
      <c r="I620" s="3">
        <v>54040.61328125</v>
      </c>
      <c r="J620" s="3">
        <v>51421.1171875</v>
      </c>
      <c r="K620" s="3">
        <v>433720.1875</v>
      </c>
      <c r="L620" s="3">
        <v>4.1719917207956297E-3</v>
      </c>
      <c r="M620" s="3">
        <v>0.57012057304382302</v>
      </c>
      <c r="N620" s="3">
        <v>0.58491265773773204</v>
      </c>
      <c r="O620" s="3">
        <v>44943.6328125</v>
      </c>
      <c r="P620" s="3">
        <v>56559.8046875</v>
      </c>
      <c r="Q620" s="3">
        <v>0.90933126211166404</v>
      </c>
      <c r="R620" s="3">
        <v>0.567674219608307</v>
      </c>
      <c r="S620" s="3">
        <v>0.48133417963981601</v>
      </c>
      <c r="T620" s="3">
        <v>0.48749569058418302</v>
      </c>
      <c r="U620" s="3">
        <v>0.51232975721359297</v>
      </c>
      <c r="W620" t="s">
        <v>50</v>
      </c>
      <c r="X620" t="s">
        <v>51</v>
      </c>
      <c r="Y620" t="s">
        <v>52</v>
      </c>
      <c r="Z620" t="s">
        <v>53</v>
      </c>
      <c r="AA620" t="s">
        <v>53</v>
      </c>
      <c r="AC620" s="2">
        <v>0.76914458377520201</v>
      </c>
      <c r="AD620" s="2">
        <v>0.56534969806671098</v>
      </c>
      <c r="AE620" s="2">
        <v>0.24343568086624101</v>
      </c>
      <c r="AF620" s="2">
        <v>0.25465127825737</v>
      </c>
      <c r="AG620" s="2">
        <v>0.40161484479904203</v>
      </c>
      <c r="AH620" s="2">
        <v>-0.54600399732589699</v>
      </c>
      <c r="AI620" s="2">
        <v>8.0952517688274397E-2</v>
      </c>
      <c r="AJ620" s="2">
        <v>0.53340997239645505</v>
      </c>
      <c r="AK620" s="2">
        <v>0.50825036088633102</v>
      </c>
      <c r="AL620" s="2">
        <v>0.36572106692684703</v>
      </c>
      <c r="AM620" s="2">
        <v>0.56412118673324596</v>
      </c>
      <c r="AN620" s="2">
        <v>0.50205653905868497</v>
      </c>
      <c r="AO620" s="2">
        <v>0.37102225422859197</v>
      </c>
      <c r="AP620" s="2">
        <v>0.364737778902054</v>
      </c>
    </row>
    <row r="621" spans="1:42" x14ac:dyDescent="0.3">
      <c r="A621" t="s">
        <v>239</v>
      </c>
      <c r="B621" s="3">
        <v>2016</v>
      </c>
      <c r="C621" s="3">
        <v>1.9598629999999999</v>
      </c>
      <c r="D621" s="3">
        <v>1663.84</v>
      </c>
      <c r="E621" t="s">
        <v>74</v>
      </c>
      <c r="G621" s="3">
        <v>43471.3046875</v>
      </c>
      <c r="H621" s="3">
        <v>55583.8671875</v>
      </c>
      <c r="I621" s="3">
        <v>55877.96484375</v>
      </c>
      <c r="J621" s="3">
        <v>53035.87109375</v>
      </c>
      <c r="K621" s="3">
        <v>461105.21875</v>
      </c>
      <c r="L621" s="3">
        <v>4.2244782671332403E-3</v>
      </c>
      <c r="M621" s="3">
        <v>0.58322042226791404</v>
      </c>
      <c r="N621" s="3">
        <v>0.590953469276428</v>
      </c>
      <c r="O621" s="3">
        <v>46550.1953125</v>
      </c>
      <c r="P621" s="3">
        <v>58131.515625</v>
      </c>
      <c r="Q621" s="3">
        <v>0.92920160293579102</v>
      </c>
      <c r="R621" s="3">
        <v>0.58294481039047197</v>
      </c>
      <c r="S621" s="3">
        <v>0.48479792475700401</v>
      </c>
      <c r="T621" s="3">
        <v>0.48529154062271102</v>
      </c>
      <c r="U621" s="3">
        <v>0.51129746437072798</v>
      </c>
      <c r="W621" t="s">
        <v>50</v>
      </c>
      <c r="X621" t="s">
        <v>51</v>
      </c>
      <c r="Y621" t="s">
        <v>52</v>
      </c>
      <c r="Z621" t="s">
        <v>53</v>
      </c>
      <c r="AA621" t="s">
        <v>53</v>
      </c>
      <c r="AC621" s="2">
        <v>0.77459279479528798</v>
      </c>
      <c r="AD621" s="2">
        <v>0.56511485576629605</v>
      </c>
      <c r="AE621" s="2">
        <v>0.22838434576988201</v>
      </c>
      <c r="AF621" s="2">
        <v>0.25454366207122803</v>
      </c>
      <c r="AG621" s="2">
        <v>0.39124944806098899</v>
      </c>
      <c r="AH621" s="2">
        <v>-0.52307468652725198</v>
      </c>
      <c r="AI621" s="2">
        <v>8.3782374858856201E-2</v>
      </c>
      <c r="AJ621" s="2">
        <v>0.54006056573748995</v>
      </c>
      <c r="AK621" s="2">
        <v>0.48706316243977699</v>
      </c>
      <c r="AL621" s="2">
        <v>0.362108762180057</v>
      </c>
      <c r="AM621" s="2">
        <v>0.55938088893890403</v>
      </c>
      <c r="AN621" s="2">
        <v>0.49515694379806502</v>
      </c>
      <c r="AO621" s="2">
        <v>0.35868263244628901</v>
      </c>
      <c r="AP621" s="2">
        <v>0.34651902318000799</v>
      </c>
    </row>
    <row r="622" spans="1:42" x14ac:dyDescent="0.3">
      <c r="A622" t="s">
        <v>239</v>
      </c>
      <c r="B622" s="3">
        <v>2017</v>
      </c>
      <c r="C622" s="3">
        <v>1.9425939999999999</v>
      </c>
      <c r="D622" s="3">
        <v>1649.86</v>
      </c>
      <c r="E622" t="s">
        <v>74</v>
      </c>
      <c r="G622" s="3">
        <v>45473.95703125</v>
      </c>
      <c r="H622" s="3">
        <v>59001.51171875</v>
      </c>
      <c r="I622" s="3">
        <v>58746.49609375</v>
      </c>
      <c r="J622" s="3">
        <v>55921.19140625</v>
      </c>
      <c r="K622" s="3">
        <v>473093.46875</v>
      </c>
      <c r="L622" s="3">
        <v>4.32162219658494E-3</v>
      </c>
      <c r="M622" s="3">
        <v>0.60138368606567405</v>
      </c>
      <c r="N622" s="3">
        <v>0.61104404926300104</v>
      </c>
      <c r="O622" s="3">
        <v>47963.125</v>
      </c>
      <c r="P622" s="3">
        <v>60847.12890625</v>
      </c>
      <c r="Q622" s="3">
        <v>0.95620632171630904</v>
      </c>
      <c r="R622" s="3">
        <v>0.59181439876556396</v>
      </c>
      <c r="S622" s="3">
        <v>0.502338826656342</v>
      </c>
      <c r="T622" s="3">
        <v>0.50030320882797197</v>
      </c>
      <c r="U622" s="3">
        <v>0.52557998895645097</v>
      </c>
      <c r="W622" t="s">
        <v>51</v>
      </c>
      <c r="X622" t="s">
        <v>51</v>
      </c>
      <c r="Y622" t="s">
        <v>52</v>
      </c>
      <c r="Z622" t="s">
        <v>53</v>
      </c>
      <c r="AA622" t="s">
        <v>53</v>
      </c>
      <c r="AC622" s="2">
        <v>0.76296106009517894</v>
      </c>
      <c r="AD622" s="2">
        <v>0.55356168746948198</v>
      </c>
      <c r="AE622" s="2">
        <v>0.241903871297836</v>
      </c>
      <c r="AF622" s="2">
        <v>0.25961768627166798</v>
      </c>
      <c r="AG622" s="2">
        <v>0.41016402840614302</v>
      </c>
      <c r="AH622" s="2">
        <v>-0.55832374095916804</v>
      </c>
      <c r="AI622" s="2">
        <v>9.3076474964618697E-2</v>
      </c>
      <c r="AJ622" s="2">
        <v>0.56429505178402295</v>
      </c>
      <c r="AK622" s="2">
        <v>0.493460172072752</v>
      </c>
      <c r="AL622" s="2">
        <v>0.370234701888355</v>
      </c>
      <c r="AM622" s="2">
        <v>0.57505458593368497</v>
      </c>
      <c r="AN622" s="2">
        <v>0.51415932178497303</v>
      </c>
      <c r="AO622" s="2">
        <v>0.37644666433334401</v>
      </c>
      <c r="AP622" s="2">
        <v>0.34635347127914401</v>
      </c>
    </row>
    <row r="623" spans="1:42" x14ac:dyDescent="0.3">
      <c r="A623" t="s">
        <v>239</v>
      </c>
      <c r="B623" s="3">
        <v>2018</v>
      </c>
      <c r="C623" s="3">
        <v>1.9275880000000001</v>
      </c>
      <c r="D623" s="3">
        <v>1661.18</v>
      </c>
      <c r="E623" t="s">
        <v>74</v>
      </c>
      <c r="G623" s="3">
        <v>46343.84375</v>
      </c>
      <c r="H623" s="3">
        <v>61670.5234375</v>
      </c>
      <c r="I623" s="3">
        <v>61367.0859375</v>
      </c>
      <c r="J623" s="3">
        <v>57682.20703125</v>
      </c>
      <c r="K623" s="3">
        <v>494762.8125</v>
      </c>
      <c r="L623" s="3">
        <v>4.4147875159978901E-3</v>
      </c>
      <c r="M623" s="3">
        <v>0.59736067056655895</v>
      </c>
      <c r="N623" s="3">
        <v>0.61477792263030995</v>
      </c>
      <c r="O623" s="3">
        <v>49506.37109375</v>
      </c>
      <c r="P623" s="3">
        <v>64219.84375</v>
      </c>
      <c r="Q623" s="3">
        <v>0.96942412853241</v>
      </c>
      <c r="R623" s="3">
        <v>0.60601711273193404</v>
      </c>
      <c r="S623" s="3">
        <v>0.54968738555908203</v>
      </c>
      <c r="T623" s="3">
        <v>0.54178768396377597</v>
      </c>
      <c r="U623" s="3">
        <v>0.57639849185943604</v>
      </c>
      <c r="W623" t="s">
        <v>50</v>
      </c>
      <c r="X623" t="s">
        <v>51</v>
      </c>
      <c r="Y623" t="s">
        <v>52</v>
      </c>
      <c r="Z623" t="s">
        <v>53</v>
      </c>
      <c r="AA623" t="s">
        <v>53</v>
      </c>
      <c r="AC623" s="2">
        <v>0.76784092389035197</v>
      </c>
      <c r="AD623" s="2">
        <v>0.54909938573837302</v>
      </c>
      <c r="AE623" s="2">
        <v>0.26570898294448902</v>
      </c>
      <c r="AF623" s="2">
        <v>0.25433456897735601</v>
      </c>
      <c r="AG623" s="2">
        <v>0.43977397680282598</v>
      </c>
      <c r="AH623" s="2">
        <v>-0.61068463325500499</v>
      </c>
      <c r="AI623" s="2">
        <v>0.101767741143703</v>
      </c>
      <c r="AJ623" s="2">
        <v>0.61325676791608197</v>
      </c>
      <c r="AK623" s="2">
        <v>0.51790130709307702</v>
      </c>
      <c r="AL623" s="2">
        <v>0.41244329238611599</v>
      </c>
      <c r="AM623" s="2">
        <v>0.59387868642806996</v>
      </c>
      <c r="AN623" s="2">
        <v>0.528392553329468</v>
      </c>
      <c r="AO623" s="2">
        <v>0.40007254481315602</v>
      </c>
      <c r="AP623" s="2">
        <v>0.35083100199699402</v>
      </c>
    </row>
    <row r="624" spans="1:42" x14ac:dyDescent="0.3">
      <c r="A624" t="s">
        <v>239</v>
      </c>
      <c r="B624" s="3">
        <v>2019</v>
      </c>
      <c r="C624" s="3">
        <v>1.914263</v>
      </c>
      <c r="D624" s="3">
        <v>1660.63</v>
      </c>
      <c r="E624" t="s">
        <v>74</v>
      </c>
      <c r="G624" s="3">
        <v>49566.3359375</v>
      </c>
      <c r="H624" s="3">
        <v>65248.88671875</v>
      </c>
      <c r="I624" s="3">
        <v>65106.9921875</v>
      </c>
      <c r="J624" s="3">
        <v>60712.98046875</v>
      </c>
      <c r="K624" s="3">
        <v>521957.59375</v>
      </c>
      <c r="L624" s="3">
        <v>4.3805222958326296E-3</v>
      </c>
      <c r="M624" s="3">
        <v>0.61558610200882002</v>
      </c>
      <c r="N624" s="3">
        <v>0.63662052154541005</v>
      </c>
      <c r="O624" s="3">
        <v>50129.01171875</v>
      </c>
      <c r="P624" s="3">
        <v>65704.7578125</v>
      </c>
      <c r="Q624" s="3">
        <v>0.95473235845565796</v>
      </c>
      <c r="R624" s="3">
        <v>0.61935329437255904</v>
      </c>
      <c r="S624" s="3">
        <v>0.51338720321655296</v>
      </c>
      <c r="T624" s="3">
        <v>0.50838631391525302</v>
      </c>
      <c r="U624" s="3">
        <v>0.545179963111877</v>
      </c>
      <c r="W624" t="s">
        <v>50</v>
      </c>
      <c r="X624" t="s">
        <v>54</v>
      </c>
      <c r="Y624" t="s">
        <v>52</v>
      </c>
      <c r="Z624" t="s">
        <v>53</v>
      </c>
      <c r="AA624" t="s">
        <v>53</v>
      </c>
      <c r="AC624" s="2">
        <v>0.7778002199638</v>
      </c>
      <c r="AD624" s="2">
        <v>0.54864573478698697</v>
      </c>
      <c r="AE624" s="2">
        <v>0.258306413888931</v>
      </c>
      <c r="AF624" s="2">
        <v>0.267758518457413</v>
      </c>
      <c r="AG624" s="2">
        <v>0.41197398304939298</v>
      </c>
      <c r="AH624" s="2">
        <v>-0.58482319116592396</v>
      </c>
      <c r="AI624" s="2">
        <v>9.8138496279716506E-2</v>
      </c>
      <c r="AJ624" s="2">
        <v>0.57038835856905701</v>
      </c>
      <c r="AK624" s="2">
        <v>0.49258048926478198</v>
      </c>
      <c r="AL624" s="2">
        <v>0.39659003300590001</v>
      </c>
      <c r="AM624" s="2">
        <v>0.57760292291641202</v>
      </c>
      <c r="AN624" s="2">
        <v>0.50040543079376198</v>
      </c>
      <c r="AO624" s="2">
        <v>0.38565364480018599</v>
      </c>
      <c r="AP624" s="2">
        <v>0.327140241861343</v>
      </c>
    </row>
    <row r="625" spans="1:42" x14ac:dyDescent="0.3">
      <c r="A625" t="s">
        <v>239</v>
      </c>
      <c r="B625" s="3">
        <v>2020</v>
      </c>
      <c r="C625" s="3">
        <v>1.9011229999999999</v>
      </c>
      <c r="D625" s="3">
        <v>1570.68</v>
      </c>
      <c r="E625" t="s">
        <v>74</v>
      </c>
      <c r="G625" s="3">
        <v>49238.34375</v>
      </c>
      <c r="H625" s="3">
        <v>64017.94140625</v>
      </c>
      <c r="I625" s="3">
        <v>64950.1640625</v>
      </c>
      <c r="J625" s="3">
        <v>60226.48828125</v>
      </c>
      <c r="K625" s="3">
        <v>537006.5</v>
      </c>
      <c r="L625" s="3">
        <v>4.39874175935984E-3</v>
      </c>
      <c r="M625" s="3">
        <v>0.61840492486953702</v>
      </c>
      <c r="N625" s="3">
        <v>0.63059532642364502</v>
      </c>
      <c r="O625" s="3">
        <v>48843.78125</v>
      </c>
      <c r="P625" s="3">
        <v>63089.0390625</v>
      </c>
      <c r="Q625" s="3">
        <v>0.95015853643417403</v>
      </c>
      <c r="R625" s="3">
        <v>0.62589287757873502</v>
      </c>
      <c r="S625" s="3">
        <v>0.51799803972244296</v>
      </c>
      <c r="T625" s="3">
        <v>0.51393139362335205</v>
      </c>
      <c r="U625" s="3">
        <v>0.55423998832702603</v>
      </c>
      <c r="W625" t="s">
        <v>50</v>
      </c>
      <c r="X625" t="s">
        <v>54</v>
      </c>
      <c r="Y625" t="s">
        <v>52</v>
      </c>
      <c r="Z625" t="s">
        <v>53</v>
      </c>
      <c r="AA625" t="s">
        <v>53</v>
      </c>
      <c r="AC625" s="2">
        <v>0.78411203759500003</v>
      </c>
      <c r="AD625" s="2">
        <v>0.52894991636276301</v>
      </c>
      <c r="AE625" s="2">
        <v>0.2454002648592</v>
      </c>
      <c r="AF625" s="2">
        <v>0.28860303759574901</v>
      </c>
      <c r="AG625" s="2">
        <v>0.41078916192054798</v>
      </c>
      <c r="AH625" s="2">
        <v>-0.57446444034576405</v>
      </c>
      <c r="AI625" s="2">
        <v>0.10072200745344199</v>
      </c>
      <c r="AJ625" s="2">
        <v>0.580883237378784</v>
      </c>
      <c r="AK625" s="2">
        <v>0.500383421748815</v>
      </c>
      <c r="AL625" s="2">
        <v>0.40274236271365998</v>
      </c>
      <c r="AM625" s="2">
        <v>0.59004795551300104</v>
      </c>
      <c r="AN625" s="2">
        <v>0.50526112318038896</v>
      </c>
      <c r="AO625" s="2">
        <v>0.39209157228469899</v>
      </c>
      <c r="AP625" s="2">
        <v>0.33711481094360402</v>
      </c>
    </row>
    <row r="626" spans="1:42" x14ac:dyDescent="0.3">
      <c r="A626" t="s">
        <v>240</v>
      </c>
      <c r="B626" s="3">
        <v>2015</v>
      </c>
      <c r="C626" s="3">
        <v>0.62217900000000004</v>
      </c>
      <c r="D626" s="3"/>
      <c r="E626" t="s">
        <v>241</v>
      </c>
      <c r="G626" s="3">
        <v>24683.16796875</v>
      </c>
      <c r="H626" s="3">
        <v>42190.23046875</v>
      </c>
      <c r="I626" s="3">
        <v>68619.1953125</v>
      </c>
      <c r="J626" s="3">
        <v>65417.90234375</v>
      </c>
      <c r="K626" s="3">
        <v>198707.5</v>
      </c>
      <c r="L626" s="3">
        <v>2.0215294789522899E-3</v>
      </c>
      <c r="M626" s="3">
        <v>1.41300773620605</v>
      </c>
      <c r="N626" s="3">
        <v>0.87916904687881503</v>
      </c>
      <c r="O626" s="3">
        <v>24757.67578125</v>
      </c>
      <c r="P626" s="3">
        <v>41901.66796875</v>
      </c>
      <c r="Q626" s="3">
        <v>1.89336609840393</v>
      </c>
      <c r="R626" s="3">
        <v>0.32206133008003202</v>
      </c>
      <c r="S626" s="3">
        <v>0.65971529483795199</v>
      </c>
      <c r="T626" s="3">
        <v>0.65649545192718495</v>
      </c>
      <c r="U626" s="3">
        <v>0.68862169981002797</v>
      </c>
      <c r="W626" t="s">
        <v>67</v>
      </c>
      <c r="X626" t="s">
        <v>51</v>
      </c>
      <c r="Y626" t="s">
        <v>52</v>
      </c>
      <c r="Z626" t="s">
        <v>53</v>
      </c>
      <c r="AA626" t="s">
        <v>53</v>
      </c>
      <c r="AC626" s="2">
        <v>0.55015231257888098</v>
      </c>
      <c r="AD626" s="2">
        <v>0.284783005714417</v>
      </c>
      <c r="AE626" s="2">
        <v>0.26761883497238198</v>
      </c>
      <c r="AF626" s="2">
        <v>9.2532195150852203E-2</v>
      </c>
      <c r="AG626" s="2">
        <v>3.5542741417884799E-2</v>
      </c>
      <c r="AH626" s="2">
        <v>-0.27126765251159701</v>
      </c>
      <c r="AI626" s="2">
        <v>0.59079086780548096</v>
      </c>
      <c r="AJ626" s="2">
        <v>0.64027023717821796</v>
      </c>
      <c r="AK626" s="2">
        <v>0.65195585474072004</v>
      </c>
      <c r="AL626" s="2">
        <v>0.71956053559934996</v>
      </c>
      <c r="AM626" s="2">
        <v>0.57588672637939498</v>
      </c>
      <c r="AN626" s="2">
        <v>0.59747105836868297</v>
      </c>
      <c r="AO626" s="2">
        <v>0.460299521684647</v>
      </c>
      <c r="AP626" s="2">
        <v>2.01841115951538</v>
      </c>
    </row>
    <row r="627" spans="1:42" x14ac:dyDescent="0.3">
      <c r="A627" t="s">
        <v>240</v>
      </c>
      <c r="B627" s="3">
        <v>2016</v>
      </c>
      <c r="C627" s="3">
        <v>0.63431199999999999</v>
      </c>
      <c r="D627" s="3"/>
      <c r="E627" t="s">
        <v>241</v>
      </c>
      <c r="G627" s="3">
        <v>24775.603515625</v>
      </c>
      <c r="H627" s="3">
        <v>39651.34765625</v>
      </c>
      <c r="I627" s="3">
        <v>67318.0703125</v>
      </c>
      <c r="J627" s="3">
        <v>61797.2734375</v>
      </c>
      <c r="K627" s="3">
        <v>209012.0625</v>
      </c>
      <c r="L627" s="3">
        <v>2.0767254754900902E-3</v>
      </c>
      <c r="M627" s="3">
        <v>1.30332314968109</v>
      </c>
      <c r="N627" s="3">
        <v>0.808504998683929</v>
      </c>
      <c r="O627" s="3">
        <v>24819.841796875</v>
      </c>
      <c r="P627" s="3">
        <v>39619.953125</v>
      </c>
      <c r="Q627" s="3">
        <v>1.8037687540054299</v>
      </c>
      <c r="R627" s="3">
        <v>0.32206133008003202</v>
      </c>
      <c r="S627" s="3">
        <v>0.67407757043838501</v>
      </c>
      <c r="T627" s="3">
        <v>0.66952025890350297</v>
      </c>
      <c r="U627" s="3">
        <v>0.72933328151702903</v>
      </c>
      <c r="W627" t="s">
        <v>67</v>
      </c>
      <c r="X627" t="s">
        <v>51</v>
      </c>
      <c r="Y627" t="s">
        <v>52</v>
      </c>
      <c r="Z627" t="s">
        <v>53</v>
      </c>
      <c r="AA627" t="s">
        <v>53</v>
      </c>
      <c r="AC627" s="2">
        <v>0.57011445236417702</v>
      </c>
      <c r="AD627" s="2">
        <v>0.29701110720634499</v>
      </c>
      <c r="AE627" s="2">
        <v>0.240718439221382</v>
      </c>
      <c r="AF627" s="2">
        <v>0.10390630364418001</v>
      </c>
      <c r="AG627" s="2">
        <v>3.6645624786615399E-2</v>
      </c>
      <c r="AH627" s="2">
        <v>-0.25939571857452398</v>
      </c>
      <c r="AI627" s="2">
        <v>0.58111429214477495</v>
      </c>
      <c r="AJ627" s="2">
        <v>0.65454261104588296</v>
      </c>
      <c r="AK627" s="2">
        <v>0.66192994560290097</v>
      </c>
      <c r="AL627" s="2">
        <v>0.72991737839385595</v>
      </c>
      <c r="AM627" s="2">
        <v>0.55488973855972301</v>
      </c>
      <c r="AN627" s="2">
        <v>0.55673682689666804</v>
      </c>
      <c r="AO627" s="2">
        <v>0.46621623635292098</v>
      </c>
      <c r="AP627" s="2">
        <v>1.90445172786713</v>
      </c>
    </row>
    <row r="628" spans="1:42" x14ac:dyDescent="0.3">
      <c r="A628" t="s">
        <v>240</v>
      </c>
      <c r="B628" s="3">
        <v>2017</v>
      </c>
      <c r="C628" s="3">
        <v>0.64655399999999996</v>
      </c>
      <c r="D628" s="3"/>
      <c r="E628" t="s">
        <v>241</v>
      </c>
      <c r="G628" s="3">
        <v>25040.337890625</v>
      </c>
      <c r="H628" s="3">
        <v>39107.68359375</v>
      </c>
      <c r="I628" s="3">
        <v>72613.09375</v>
      </c>
      <c r="J628" s="3">
        <v>64457.5625</v>
      </c>
      <c r="K628" s="3">
        <v>215188.203125</v>
      </c>
      <c r="L628" s="3">
        <v>2.0891476888209599E-3</v>
      </c>
      <c r="M628" s="3">
        <v>1.33896672725678</v>
      </c>
      <c r="N628" s="3">
        <v>0.78233408927917503</v>
      </c>
      <c r="O628" s="3">
        <v>25295.212890625</v>
      </c>
      <c r="P628" s="3">
        <v>39474.87109375</v>
      </c>
      <c r="Q628" s="3">
        <v>1.9130164384841899</v>
      </c>
      <c r="R628" s="3">
        <v>0.32206133008003202</v>
      </c>
      <c r="S628" s="3">
        <v>0.68964219093322798</v>
      </c>
      <c r="T628" s="3">
        <v>0.69386762380599998</v>
      </c>
      <c r="U628" s="3">
        <v>0.78165960311889704</v>
      </c>
      <c r="W628" t="s">
        <v>67</v>
      </c>
      <c r="X628" t="s">
        <v>51</v>
      </c>
      <c r="Y628" t="s">
        <v>52</v>
      </c>
      <c r="Z628" t="s">
        <v>53</v>
      </c>
      <c r="AA628" t="s">
        <v>53</v>
      </c>
      <c r="AC628" s="2">
        <v>0.57307598885062605</v>
      </c>
      <c r="AD628" s="2">
        <v>0.28478634357452398</v>
      </c>
      <c r="AE628" s="2">
        <v>0.21824197471141801</v>
      </c>
      <c r="AF628" s="2">
        <v>0.103691563010216</v>
      </c>
      <c r="AG628" s="2">
        <v>3.8482896983623498E-2</v>
      </c>
      <c r="AH628" s="2">
        <v>-0.268925160169601</v>
      </c>
      <c r="AI628" s="2">
        <v>0.62372237443923995</v>
      </c>
      <c r="AJ628" s="2">
        <v>0.67366970912823299</v>
      </c>
      <c r="AK628" s="2">
        <v>0.70138903620581605</v>
      </c>
      <c r="AL628" s="2">
        <v>0.73351021067751798</v>
      </c>
      <c r="AM628" s="2">
        <v>0.59507143497466997</v>
      </c>
      <c r="AN628" s="2">
        <v>0.55689227581024203</v>
      </c>
      <c r="AO628" s="2">
        <v>0.50030910968780495</v>
      </c>
      <c r="AP628" s="2">
        <v>2.0398876667022701</v>
      </c>
    </row>
    <row r="629" spans="1:42" x14ac:dyDescent="0.3">
      <c r="A629" t="s">
        <v>240</v>
      </c>
      <c r="B629" s="3">
        <v>2018</v>
      </c>
      <c r="C629" s="3">
        <v>0.65877200000000002</v>
      </c>
      <c r="D629" s="3"/>
      <c r="E629" t="s">
        <v>241</v>
      </c>
      <c r="G629" s="3">
        <v>26071.63671875</v>
      </c>
      <c r="H629" s="3">
        <v>39376.50390625</v>
      </c>
      <c r="I629" s="3">
        <v>77933.828125</v>
      </c>
      <c r="J629" s="3">
        <v>70370.0703125</v>
      </c>
      <c r="K629" s="3">
        <v>223605.109375</v>
      </c>
      <c r="L629" s="3">
        <v>2.1183986682444798E-3</v>
      </c>
      <c r="M629" s="3">
        <v>1.4026403427123999</v>
      </c>
      <c r="N629" s="3">
        <v>0.75551187992096003</v>
      </c>
      <c r="O629" s="3">
        <v>26289.931640625</v>
      </c>
      <c r="P629" s="3">
        <v>39608.19140625</v>
      </c>
      <c r="Q629" s="3">
        <v>1.9495722055435201</v>
      </c>
      <c r="R629" s="3">
        <v>0.32206133008003202</v>
      </c>
      <c r="S629" s="3">
        <v>0.70445477962493896</v>
      </c>
      <c r="T629" s="3">
        <v>0.70817333459854104</v>
      </c>
      <c r="U629" s="3">
        <v>0.78429168462753296</v>
      </c>
      <c r="W629" t="s">
        <v>54</v>
      </c>
      <c r="X629" t="s">
        <v>51</v>
      </c>
      <c r="Y629" t="s">
        <v>52</v>
      </c>
      <c r="Z629" t="s">
        <v>53</v>
      </c>
      <c r="AA629" t="s">
        <v>53</v>
      </c>
      <c r="AC629" s="2"/>
      <c r="AD629" s="2">
        <v>0.268897354602814</v>
      </c>
      <c r="AE629" s="2">
        <v>0.18906994163990001</v>
      </c>
      <c r="AF629" s="2">
        <v>0.101595915853977</v>
      </c>
      <c r="AG629" s="2">
        <v>2.71601807326078E-2</v>
      </c>
      <c r="AH629" s="2">
        <v>-0.27910354733467102</v>
      </c>
      <c r="AI629" s="2">
        <v>0.692380130290985</v>
      </c>
      <c r="AJ629" s="2">
        <v>0.69534257084433304</v>
      </c>
      <c r="AK629" s="2">
        <v>0.71546001469438203</v>
      </c>
      <c r="AL629" s="2">
        <v>0.72857228451079104</v>
      </c>
      <c r="AM629" s="2">
        <v>0.60745358467102095</v>
      </c>
      <c r="AN629" s="2">
        <v>0.61447662115097101</v>
      </c>
      <c r="AO629" s="2">
        <v>0.51606571674346902</v>
      </c>
      <c r="AP629" s="2">
        <v>2.0884015560150102</v>
      </c>
    </row>
    <row r="630" spans="1:42" x14ac:dyDescent="0.3">
      <c r="A630" t="s">
        <v>240</v>
      </c>
      <c r="B630" s="3">
        <v>2019</v>
      </c>
      <c r="C630" s="3">
        <v>0.67097399999999996</v>
      </c>
      <c r="D630" s="3"/>
      <c r="E630" t="s">
        <v>241</v>
      </c>
      <c r="G630" s="3">
        <v>26875.103515625</v>
      </c>
      <c r="H630" s="3">
        <v>37722.56640625</v>
      </c>
      <c r="I630" s="3">
        <v>76531.4609375</v>
      </c>
      <c r="J630" s="3">
        <v>67401.1875</v>
      </c>
      <c r="K630" s="3">
        <v>229520.828125</v>
      </c>
      <c r="L630" s="3">
        <v>2.0946059376001401E-3</v>
      </c>
      <c r="M630" s="3">
        <v>1.3186388015747099</v>
      </c>
      <c r="N630" s="3">
        <v>0.71016603708267201</v>
      </c>
      <c r="O630" s="3">
        <v>27158.732421875</v>
      </c>
      <c r="P630" s="3">
        <v>37992.71875</v>
      </c>
      <c r="Q630" s="3">
        <v>1.85388278961182</v>
      </c>
      <c r="R630" s="3">
        <v>0.32206133008003202</v>
      </c>
      <c r="S630" s="3">
        <v>0.72042781114578303</v>
      </c>
      <c r="T630" s="3">
        <v>0.71973401308059703</v>
      </c>
      <c r="U630" s="3">
        <v>0.81723028421402</v>
      </c>
      <c r="W630" t="s">
        <v>54</v>
      </c>
      <c r="X630" t="s">
        <v>54</v>
      </c>
      <c r="Y630" t="s">
        <v>52</v>
      </c>
      <c r="Z630" t="s">
        <v>53</v>
      </c>
      <c r="AA630" t="s">
        <v>53</v>
      </c>
      <c r="AC630" s="2"/>
      <c r="AD630" s="2">
        <v>0.28979560732841497</v>
      </c>
      <c r="AE630" s="2">
        <v>0.16093875467777299</v>
      </c>
      <c r="AF630" s="2">
        <v>0.108937785029411</v>
      </c>
      <c r="AG630" s="2">
        <v>2.48799510300159E-2</v>
      </c>
      <c r="AH630" s="2">
        <v>-0.29135119915008501</v>
      </c>
      <c r="AI630" s="2">
        <v>0.70679908990859996</v>
      </c>
      <c r="AJ630" s="2">
        <v>0.70345154499614404</v>
      </c>
      <c r="AK630" s="2">
        <v>0.71801504185263798</v>
      </c>
      <c r="AL630" s="2">
        <v>0.76558803480390902</v>
      </c>
      <c r="AM630" s="2">
        <v>0.61062651872634899</v>
      </c>
      <c r="AN630" s="2">
        <v>0.61230140924453702</v>
      </c>
      <c r="AO630" s="2">
        <v>0.51824140548706099</v>
      </c>
      <c r="AP630" s="2">
        <v>2.02775955200195</v>
      </c>
    </row>
    <row r="631" spans="1:42" x14ac:dyDescent="0.3">
      <c r="A631" t="s">
        <v>240</v>
      </c>
      <c r="B631" s="3">
        <v>2020</v>
      </c>
      <c r="C631" s="3">
        <v>0.68306699999999998</v>
      </c>
      <c r="D631" s="3"/>
      <c r="E631" t="s">
        <v>241</v>
      </c>
      <c r="G631" s="3">
        <v>24975.50390625</v>
      </c>
      <c r="H631" s="3">
        <v>33972.453125</v>
      </c>
      <c r="I631" s="3">
        <v>34467.3203125</v>
      </c>
      <c r="J631" s="3">
        <v>30616.658203125</v>
      </c>
      <c r="K631" s="3">
        <v>232499.859375</v>
      </c>
      <c r="L631" s="3">
        <v>2.0239683799445599E-3</v>
      </c>
      <c r="M631" s="3">
        <v>0.596868216991425</v>
      </c>
      <c r="N631" s="3">
        <v>0.63534712791442904</v>
      </c>
      <c r="O631" s="3">
        <v>25218.62109375</v>
      </c>
      <c r="P631" s="3">
        <v>34279.94921875</v>
      </c>
      <c r="Q631" s="3">
        <v>0.83049511909484897</v>
      </c>
      <c r="R631" s="3">
        <v>0.32206133008003202</v>
      </c>
      <c r="S631" s="3">
        <v>0.73544019460678101</v>
      </c>
      <c r="T631" s="3">
        <v>0.73529148101806596</v>
      </c>
      <c r="U631" s="3">
        <v>0.82776916027069103</v>
      </c>
      <c r="W631" t="s">
        <v>54</v>
      </c>
      <c r="X631" t="s">
        <v>54</v>
      </c>
      <c r="Y631" t="s">
        <v>52</v>
      </c>
      <c r="Z631" t="s">
        <v>53</v>
      </c>
      <c r="AA631" t="s">
        <v>62</v>
      </c>
      <c r="AC631" s="2"/>
      <c r="AD631" s="2">
        <v>0.54211109876632702</v>
      </c>
      <c r="AE631" s="2">
        <v>0.293857932090759</v>
      </c>
      <c r="AF631" s="2">
        <v>0.27363771200180098</v>
      </c>
      <c r="AG631" s="2">
        <v>1.87798496335745E-2</v>
      </c>
      <c r="AH631" s="2">
        <v>-0.538488209247589</v>
      </c>
      <c r="AI631" s="2">
        <v>0.41010162234306302</v>
      </c>
      <c r="AJ631" s="2">
        <v>0.71175983380988805</v>
      </c>
      <c r="AK631" s="2">
        <v>0.73487864999852603</v>
      </c>
      <c r="AL631" s="2">
        <v>0.78235399805475603</v>
      </c>
      <c r="AM631" s="2">
        <v>0.60898745059966997</v>
      </c>
      <c r="AN631" s="2">
        <v>0.62957990169525202</v>
      </c>
      <c r="AO631" s="2">
        <v>0.52834331989288297</v>
      </c>
      <c r="AP631" s="2">
        <v>1.0080420970916699</v>
      </c>
    </row>
    <row r="632" spans="1:42" x14ac:dyDescent="0.3">
      <c r="A632" t="s">
        <v>242</v>
      </c>
      <c r="B632" s="3">
        <v>2015</v>
      </c>
      <c r="C632" s="3">
        <v>34.607588</v>
      </c>
      <c r="D632" s="3">
        <v>2209.92</v>
      </c>
      <c r="E632" t="s">
        <v>243</v>
      </c>
      <c r="G632" s="3">
        <v>227057.453125</v>
      </c>
      <c r="H632" s="3">
        <v>328820.75</v>
      </c>
      <c r="I632" s="3">
        <v>306458.5625</v>
      </c>
      <c r="J632" s="3">
        <v>316487.5625</v>
      </c>
      <c r="K632" s="3">
        <v>1508207.625</v>
      </c>
      <c r="L632" s="3">
        <v>1.7960077151656199E-2</v>
      </c>
      <c r="M632" s="3">
        <v>0.51645964384079002</v>
      </c>
      <c r="N632" s="3">
        <v>0.51766824722289995</v>
      </c>
      <c r="O632" s="3">
        <v>223216.875</v>
      </c>
      <c r="P632" s="3">
        <v>302372.96875</v>
      </c>
      <c r="Q632" s="3">
        <v>1.05026030540466</v>
      </c>
      <c r="R632" s="3">
        <v>0.50307071208953902</v>
      </c>
      <c r="S632" s="3">
        <v>0.37501916289329501</v>
      </c>
      <c r="T632" s="3">
        <v>0.36028954386711098</v>
      </c>
      <c r="U632" s="3">
        <v>0.34887257218360901</v>
      </c>
      <c r="W632" t="s">
        <v>50</v>
      </c>
      <c r="X632" t="s">
        <v>51</v>
      </c>
      <c r="Y632" t="s">
        <v>52</v>
      </c>
      <c r="Z632" t="s">
        <v>53</v>
      </c>
      <c r="AA632" t="s">
        <v>53</v>
      </c>
      <c r="AC632" s="2">
        <v>0.67442765399985705</v>
      </c>
      <c r="AD632" s="2">
        <v>0.54623335599899303</v>
      </c>
      <c r="AE632" s="2">
        <v>0.32153964042663602</v>
      </c>
      <c r="AF632" s="2">
        <v>0.171195983886719</v>
      </c>
      <c r="AG632" s="2">
        <v>0.12207741290330899</v>
      </c>
      <c r="AH632" s="2">
        <v>-0.231256619095802</v>
      </c>
      <c r="AI632" s="2">
        <v>7.0210225880145999E-2</v>
      </c>
      <c r="AJ632" s="2">
        <v>0.37659165033861203</v>
      </c>
      <c r="AK632" s="2">
        <v>0.32742441275343598</v>
      </c>
      <c r="AL632" s="2">
        <v>0.37000180931502602</v>
      </c>
      <c r="AM632" s="2">
        <v>0.57812809944152799</v>
      </c>
      <c r="AN632" s="2">
        <v>0.52118694782257102</v>
      </c>
      <c r="AO632" s="2">
        <v>0.20276249945163699</v>
      </c>
      <c r="AP632" s="2">
        <v>0.40816134214401201</v>
      </c>
    </row>
    <row r="633" spans="1:42" x14ac:dyDescent="0.3">
      <c r="A633" t="s">
        <v>242</v>
      </c>
      <c r="B633" s="3">
        <v>2016</v>
      </c>
      <c r="C633" s="3">
        <v>35.023457000000001</v>
      </c>
      <c r="D633" s="3">
        <v>2205.65</v>
      </c>
      <c r="E633" t="s">
        <v>243</v>
      </c>
      <c r="G633" s="3">
        <v>227927.5</v>
      </c>
      <c r="H633" s="3">
        <v>335893.5</v>
      </c>
      <c r="I633" s="3">
        <v>306322.75</v>
      </c>
      <c r="J633" s="3">
        <v>319111.65625</v>
      </c>
      <c r="K633" s="3">
        <v>1598197.875</v>
      </c>
      <c r="L633" s="3">
        <v>1.8447220325469998E-2</v>
      </c>
      <c r="M633" s="3">
        <v>0.50761073827743497</v>
      </c>
      <c r="N633" s="3">
        <v>0.51657301187515303</v>
      </c>
      <c r="O633" s="3">
        <v>227769.03125</v>
      </c>
      <c r="P633" s="3">
        <v>313667.34375</v>
      </c>
      <c r="Q633" s="3">
        <v>1.02636682987213</v>
      </c>
      <c r="R633" s="3">
        <v>0.49220862984657299</v>
      </c>
      <c r="S633" s="3">
        <v>0.38032767176628102</v>
      </c>
      <c r="T633" s="3">
        <v>0.36423331499099698</v>
      </c>
      <c r="U633" s="3">
        <v>0.34963604807853699</v>
      </c>
      <c r="W633" t="s">
        <v>50</v>
      </c>
      <c r="X633" t="s">
        <v>51</v>
      </c>
      <c r="Y633" t="s">
        <v>52</v>
      </c>
      <c r="Z633" t="s">
        <v>53</v>
      </c>
      <c r="AA633" t="s">
        <v>53</v>
      </c>
      <c r="AC633" s="2">
        <v>0.66006063273230697</v>
      </c>
      <c r="AD633" s="2">
        <v>0.54163008928298995</v>
      </c>
      <c r="AE633" s="2">
        <v>0.338333010673523</v>
      </c>
      <c r="AF633" s="2">
        <v>0.172626167535782</v>
      </c>
      <c r="AG633" s="2">
        <v>0.12548922002315499</v>
      </c>
      <c r="AH633" s="2">
        <v>-0.25038230419158902</v>
      </c>
      <c r="AI633" s="2">
        <v>7.2303846478462205E-2</v>
      </c>
      <c r="AJ633" s="2">
        <v>0.38301453837362998</v>
      </c>
      <c r="AK633" s="2">
        <v>0.33025646093835098</v>
      </c>
      <c r="AL633" s="2">
        <v>0.371897372043966</v>
      </c>
      <c r="AM633" s="2">
        <v>0.57081407308578502</v>
      </c>
      <c r="AN633" s="2">
        <v>0.52185416221618697</v>
      </c>
      <c r="AO633" s="2">
        <v>0.20046737790107699</v>
      </c>
      <c r="AP633" s="2">
        <v>0.39753603935241699</v>
      </c>
    </row>
    <row r="634" spans="1:42" x14ac:dyDescent="0.3">
      <c r="A634" t="s">
        <v>242</v>
      </c>
      <c r="B634" s="3">
        <v>2017</v>
      </c>
      <c r="C634" s="3">
        <v>35.446392000000003</v>
      </c>
      <c r="D634" s="3">
        <v>2205.0100000000002</v>
      </c>
      <c r="E634" t="s">
        <v>243</v>
      </c>
      <c r="G634" s="3">
        <v>237111.609375</v>
      </c>
      <c r="H634" s="3">
        <v>344741.75</v>
      </c>
      <c r="I634" s="3">
        <v>316391.6875</v>
      </c>
      <c r="J634" s="3">
        <v>329018.75</v>
      </c>
      <c r="K634" s="3">
        <v>1642727.375</v>
      </c>
      <c r="L634" s="3">
        <v>1.8247395753860501E-2</v>
      </c>
      <c r="M634" s="3">
        <v>0.51371371746063199</v>
      </c>
      <c r="N634" s="3">
        <v>0.51835650205612205</v>
      </c>
      <c r="O634" s="3">
        <v>235504.484375</v>
      </c>
      <c r="P634" s="3">
        <v>323978.46875</v>
      </c>
      <c r="Q634" s="3">
        <v>1.04288494586945</v>
      </c>
      <c r="R634" s="3">
        <v>0.49409648776054399</v>
      </c>
      <c r="S634" s="3">
        <v>0.386462152004242</v>
      </c>
      <c r="T634" s="3">
        <v>0.37466397881507901</v>
      </c>
      <c r="U634" s="3">
        <v>0.36028519272804299</v>
      </c>
      <c r="W634" t="s">
        <v>51</v>
      </c>
      <c r="X634" t="s">
        <v>51</v>
      </c>
      <c r="Y634" t="s">
        <v>52</v>
      </c>
      <c r="Z634" t="s">
        <v>53</v>
      </c>
      <c r="AA634" t="s">
        <v>53</v>
      </c>
      <c r="AC634" s="2">
        <v>0.64960641889232096</v>
      </c>
      <c r="AD634" s="2">
        <v>0.55044919252395597</v>
      </c>
      <c r="AE634" s="2">
        <v>0.32712468504905701</v>
      </c>
      <c r="AF634" s="2">
        <v>0.17021374404430401</v>
      </c>
      <c r="AG634" s="2">
        <v>0.131782501935959</v>
      </c>
      <c r="AH634" s="2">
        <v>-0.25374767184257502</v>
      </c>
      <c r="AI634" s="2">
        <v>7.4177518486976596E-2</v>
      </c>
      <c r="AJ634" s="2">
        <v>0.38826939152976803</v>
      </c>
      <c r="AK634" s="2">
        <v>0.348672353257866</v>
      </c>
      <c r="AL634" s="2">
        <v>0.380617817926588</v>
      </c>
      <c r="AM634" s="2">
        <v>0.59098106622695901</v>
      </c>
      <c r="AN634" s="2">
        <v>0.53946954011917103</v>
      </c>
      <c r="AO634" s="2">
        <v>0.20925375819206199</v>
      </c>
      <c r="AP634" s="2">
        <v>0.410041004419327</v>
      </c>
    </row>
    <row r="635" spans="1:42" x14ac:dyDescent="0.3">
      <c r="A635" t="s">
        <v>242</v>
      </c>
      <c r="B635" s="3">
        <v>2018</v>
      </c>
      <c r="C635" s="3">
        <v>35.839759999999998</v>
      </c>
      <c r="D635" s="3">
        <v>2203.0700000000002</v>
      </c>
      <c r="E635" t="s">
        <v>243</v>
      </c>
      <c r="G635" s="3">
        <v>227471.15625</v>
      </c>
      <c r="H635" s="3">
        <v>330995.0625</v>
      </c>
      <c r="I635" s="3">
        <v>302008.28125</v>
      </c>
      <c r="J635" s="3">
        <v>309145.6875</v>
      </c>
      <c r="K635" s="3">
        <v>1491713.25</v>
      </c>
      <c r="L635" s="3">
        <v>1.63938291370869E-2</v>
      </c>
      <c r="M635" s="3">
        <v>0.49330592155456499</v>
      </c>
      <c r="N635" s="3">
        <v>0.508417427539825</v>
      </c>
      <c r="O635" s="3">
        <v>242062.15625</v>
      </c>
      <c r="P635" s="3">
        <v>335314.84375</v>
      </c>
      <c r="Q635" s="3">
        <v>1.03376448154449</v>
      </c>
      <c r="R635" s="3">
        <v>0.49213272333145103</v>
      </c>
      <c r="S635" s="3">
        <v>0.43362188339233398</v>
      </c>
      <c r="T635" s="3">
        <v>0.42164784669876099</v>
      </c>
      <c r="U635" s="3">
        <v>0.41191309690475503</v>
      </c>
      <c r="W635" t="s">
        <v>50</v>
      </c>
      <c r="X635" t="s">
        <v>51</v>
      </c>
      <c r="Y635" t="s">
        <v>52</v>
      </c>
      <c r="Z635" t="s">
        <v>53</v>
      </c>
      <c r="AA635" t="s">
        <v>53</v>
      </c>
      <c r="AC635" s="2">
        <v>0.63733972669774497</v>
      </c>
      <c r="AD635" s="2">
        <v>0.55223363637924205</v>
      </c>
      <c r="AE635" s="2">
        <v>0.33487096428871199</v>
      </c>
      <c r="AF635" s="2">
        <v>0.18357205390930201</v>
      </c>
      <c r="AG635" s="2">
        <v>0.155198514461517</v>
      </c>
      <c r="AH635" s="2">
        <v>-0.30217888951301602</v>
      </c>
      <c r="AI635" s="2">
        <v>7.6303683221340193E-2</v>
      </c>
      <c r="AJ635" s="2">
        <v>0.44353428239308101</v>
      </c>
      <c r="AK635" s="2">
        <v>0.39533757153550098</v>
      </c>
      <c r="AL635" s="2">
        <v>0.40380270121203499</v>
      </c>
      <c r="AM635" s="2">
        <v>0.61193782091140803</v>
      </c>
      <c r="AN635" s="2">
        <v>0.54913759231567405</v>
      </c>
      <c r="AO635" s="2">
        <v>0.24788969755172699</v>
      </c>
      <c r="AP635" s="2">
        <v>0.46644911170005798</v>
      </c>
    </row>
    <row r="636" spans="1:42" x14ac:dyDescent="0.3">
      <c r="A636" t="s">
        <v>242</v>
      </c>
      <c r="B636" s="3">
        <v>2019</v>
      </c>
      <c r="C636" s="3">
        <v>36.210898</v>
      </c>
      <c r="D636" s="3">
        <v>2200.7800000000002</v>
      </c>
      <c r="E636" t="s">
        <v>243</v>
      </c>
      <c r="G636" s="3">
        <v>235035.671875</v>
      </c>
      <c r="H636" s="3">
        <v>334404.5625</v>
      </c>
      <c r="I636" s="3">
        <v>310173.78125</v>
      </c>
      <c r="J636" s="3">
        <v>315212.65625</v>
      </c>
      <c r="K636" s="3">
        <v>1439271.25</v>
      </c>
      <c r="L636" s="3">
        <v>1.5459619462490099E-2</v>
      </c>
      <c r="M636" s="3">
        <v>0.505634784698486</v>
      </c>
      <c r="N636" s="3">
        <v>0.51618564128875699</v>
      </c>
      <c r="O636" s="3">
        <v>248773.953125</v>
      </c>
      <c r="P636" s="3">
        <v>341696.375</v>
      </c>
      <c r="Q636" s="3">
        <v>1.03418409824371</v>
      </c>
      <c r="R636" s="3">
        <v>0.48994755744934099</v>
      </c>
      <c r="S636" s="3">
        <v>0.42354613542556802</v>
      </c>
      <c r="T636" s="3">
        <v>0.41563880443572998</v>
      </c>
      <c r="U636" s="3">
        <v>0.40899455547332803</v>
      </c>
      <c r="W636" t="s">
        <v>50</v>
      </c>
      <c r="X636" t="s">
        <v>54</v>
      </c>
      <c r="Y636" t="s">
        <v>52</v>
      </c>
      <c r="Z636" t="s">
        <v>53</v>
      </c>
      <c r="AA636" t="s">
        <v>53</v>
      </c>
      <c r="AC636" s="2">
        <v>0.65681276506248698</v>
      </c>
      <c r="AD636" s="2">
        <v>0.55651879310607899</v>
      </c>
      <c r="AE636" s="2">
        <v>0.31524401903152499</v>
      </c>
      <c r="AF636" s="2">
        <v>0.18912284076213801</v>
      </c>
      <c r="AG636" s="2">
        <v>0.158300220966339</v>
      </c>
      <c r="AH636" s="2">
        <v>-0.309751927852631</v>
      </c>
      <c r="AI636" s="2">
        <v>9.0566106140613598E-2</v>
      </c>
      <c r="AJ636" s="2">
        <v>0.43388068596236901</v>
      </c>
      <c r="AK636" s="2">
        <v>0.396935750735329</v>
      </c>
      <c r="AL636" s="2">
        <v>0.39313530549752601</v>
      </c>
      <c r="AM636" s="2">
        <v>0.58775210380554199</v>
      </c>
      <c r="AN636" s="2">
        <v>0.52310568094253496</v>
      </c>
      <c r="AO636" s="2">
        <v>0.259943306446075</v>
      </c>
      <c r="AP636" s="2">
        <v>0.48378631472587602</v>
      </c>
    </row>
    <row r="637" spans="1:42" x14ac:dyDescent="0.3">
      <c r="A637" t="s">
        <v>242</v>
      </c>
      <c r="B637" s="3">
        <v>2020</v>
      </c>
      <c r="C637" s="3">
        <v>36.584207999999997</v>
      </c>
      <c r="D637" s="3">
        <v>2074.7199999999998</v>
      </c>
      <c r="E637" t="s">
        <v>243</v>
      </c>
      <c r="G637" s="3">
        <v>224351.421875</v>
      </c>
      <c r="H637" s="3">
        <v>319741.96875</v>
      </c>
      <c r="I637" s="3">
        <v>298112.15625</v>
      </c>
      <c r="J637" s="3">
        <v>301909.9375</v>
      </c>
      <c r="K637" s="3">
        <v>1575437.875</v>
      </c>
      <c r="L637" s="3">
        <v>1.6160776838660199E-2</v>
      </c>
      <c r="M637" s="3">
        <v>0.475660920143127</v>
      </c>
      <c r="N637" s="3">
        <v>0.483262538909912</v>
      </c>
      <c r="O637" s="3">
        <v>237807.671875</v>
      </c>
      <c r="P637" s="3">
        <v>319355.40625</v>
      </c>
      <c r="Q637" s="3">
        <v>0.96831768751144398</v>
      </c>
      <c r="R637" s="3">
        <v>0.487813830375671</v>
      </c>
      <c r="S637" s="3">
        <v>0.42449769377708402</v>
      </c>
      <c r="T637" s="3">
        <v>0.40707376599311801</v>
      </c>
      <c r="U637" s="3">
        <v>0.40195310115814198</v>
      </c>
      <c r="W637" t="s">
        <v>50</v>
      </c>
      <c r="X637" t="s">
        <v>54</v>
      </c>
      <c r="Y637" t="s">
        <v>52</v>
      </c>
      <c r="Z637" t="s">
        <v>53</v>
      </c>
      <c r="AA637" t="s">
        <v>53</v>
      </c>
      <c r="AC637" s="2">
        <v>0.65706573867714801</v>
      </c>
      <c r="AD637" s="2">
        <v>0.52822899818420399</v>
      </c>
      <c r="AE637" s="2">
        <v>0.31595695018768299</v>
      </c>
      <c r="AF637" s="2">
        <v>0.21487811207771301</v>
      </c>
      <c r="AG637" s="2">
        <v>0.13997273147106201</v>
      </c>
      <c r="AH637" s="2">
        <v>-0.28073045611381497</v>
      </c>
      <c r="AI637" s="2">
        <v>8.1693731248378795E-2</v>
      </c>
      <c r="AJ637" s="2">
        <v>0.44951774130220001</v>
      </c>
      <c r="AK637" s="2">
        <v>0.36609400332596598</v>
      </c>
      <c r="AL637" s="2">
        <v>0.36299159086336802</v>
      </c>
      <c r="AM637" s="2">
        <v>0.59005403518676802</v>
      </c>
      <c r="AN637" s="2">
        <v>0.51505845785141002</v>
      </c>
      <c r="AO637" s="2">
        <v>0.246624335646629</v>
      </c>
      <c r="AP637" s="2">
        <v>0.45671299099922202</v>
      </c>
    </row>
    <row r="638" spans="1:42" x14ac:dyDescent="0.3">
      <c r="A638" t="s">
        <v>244</v>
      </c>
      <c r="B638" s="3">
        <v>2015</v>
      </c>
      <c r="C638" s="3">
        <v>3.2871640000000002</v>
      </c>
      <c r="D638" s="3">
        <v>1904.53</v>
      </c>
      <c r="E638" t="s">
        <v>245</v>
      </c>
      <c r="G638" s="3">
        <v>32647.162109375</v>
      </c>
      <c r="H638" s="3">
        <v>36292.9921875</v>
      </c>
      <c r="I638" s="3">
        <v>28952.73046875</v>
      </c>
      <c r="J638" s="3">
        <v>31863.236328125</v>
      </c>
      <c r="K638" s="3">
        <v>78737.1484375</v>
      </c>
      <c r="L638" s="3">
        <v>1.0131179587915501E-3</v>
      </c>
      <c r="M638" s="3">
        <v>0.56275177001953103</v>
      </c>
      <c r="N638" s="3">
        <v>0.61838972568511996</v>
      </c>
      <c r="O638" s="3">
        <v>35281.19921875</v>
      </c>
      <c r="P638" s="3">
        <v>41650.1484375</v>
      </c>
      <c r="Q638" s="3">
        <v>0.88480925559997603</v>
      </c>
      <c r="R638" s="3">
        <v>0.579700767993927</v>
      </c>
      <c r="S638" s="3">
        <v>0.24192897975444799</v>
      </c>
      <c r="T638" s="3">
        <v>0.26932406425476102</v>
      </c>
      <c r="U638" s="3">
        <v>0.24472300708293901</v>
      </c>
      <c r="W638" t="s">
        <v>50</v>
      </c>
      <c r="X638" t="s">
        <v>51</v>
      </c>
      <c r="Y638" t="s">
        <v>52</v>
      </c>
      <c r="Z638" t="s">
        <v>53</v>
      </c>
      <c r="AA638" t="s">
        <v>53</v>
      </c>
      <c r="AC638" s="2">
        <v>0.52203905175201804</v>
      </c>
      <c r="AD638" s="2">
        <v>0.75632870197296098</v>
      </c>
      <c r="AE638" s="2">
        <v>0.114421240985394</v>
      </c>
      <c r="AF638" s="2">
        <v>0.26827409863472002</v>
      </c>
      <c r="AG638" s="2">
        <v>0.111745059490204</v>
      </c>
      <c r="AH638" s="2">
        <v>-0.25629302859306302</v>
      </c>
      <c r="AI638" s="2">
        <v>5.5239610373973898E-3</v>
      </c>
      <c r="AJ638" s="2">
        <v>0.28341571967276202</v>
      </c>
      <c r="AK638" s="2">
        <v>0.51463761214942105</v>
      </c>
      <c r="AL638" s="2">
        <v>0.124967977519461</v>
      </c>
      <c r="AM638" s="2">
        <v>0.55239558219909701</v>
      </c>
      <c r="AN638" s="2">
        <v>0.48820251226425199</v>
      </c>
      <c r="AO638" s="2">
        <v>0.35202899575233498</v>
      </c>
      <c r="AP638" s="2">
        <v>0.43220046162605302</v>
      </c>
    </row>
    <row r="639" spans="1:42" x14ac:dyDescent="0.3">
      <c r="A639" t="s">
        <v>244</v>
      </c>
      <c r="B639" s="3">
        <v>2016</v>
      </c>
      <c r="C639" s="3">
        <v>3.2377940000000001</v>
      </c>
      <c r="D639" s="3">
        <v>1881.68</v>
      </c>
      <c r="E639" t="s">
        <v>245</v>
      </c>
      <c r="G639" s="3">
        <v>35592.390625</v>
      </c>
      <c r="H639" s="3">
        <v>39158.12109375</v>
      </c>
      <c r="I639" s="3">
        <v>31765.703125</v>
      </c>
      <c r="J639" s="3">
        <v>35270.69921875</v>
      </c>
      <c r="K639" s="3">
        <v>80346.71875</v>
      </c>
      <c r="L639" s="3">
        <v>1.02465855889022E-3</v>
      </c>
      <c r="M639" s="3">
        <v>0.63033199310302701</v>
      </c>
      <c r="N639" s="3">
        <v>0.67657971382141102</v>
      </c>
      <c r="O639" s="3">
        <v>35795.50390625</v>
      </c>
      <c r="P639" s="3">
        <v>42056.171875</v>
      </c>
      <c r="Q639" s="3">
        <v>0.93668639659881603</v>
      </c>
      <c r="R639" s="3">
        <v>0.56076133251190197</v>
      </c>
      <c r="S639" s="3">
        <v>0.227111920714378</v>
      </c>
      <c r="T639" s="3">
        <v>0.25124317407607999</v>
      </c>
      <c r="U639" s="3">
        <v>0.226276144385338</v>
      </c>
      <c r="W639" t="s">
        <v>50</v>
      </c>
      <c r="X639" t="s">
        <v>51</v>
      </c>
      <c r="Y639" t="s">
        <v>52</v>
      </c>
      <c r="Z639" t="s">
        <v>53</v>
      </c>
      <c r="AA639" t="s">
        <v>53</v>
      </c>
      <c r="AC639" s="2">
        <v>0.534711777017153</v>
      </c>
      <c r="AD639" s="2">
        <v>0.72837793827056896</v>
      </c>
      <c r="AE639" s="2">
        <v>0.101096071302891</v>
      </c>
      <c r="AF639" s="2">
        <v>0.28074270486831698</v>
      </c>
      <c r="AG639" s="2">
        <v>0.106218501925468</v>
      </c>
      <c r="AH639" s="2">
        <v>-0.231277465820313</v>
      </c>
      <c r="AI639" s="2">
        <v>1.48421945050359E-2</v>
      </c>
      <c r="AJ639" s="2">
        <v>0.26998568539550899</v>
      </c>
      <c r="AK639" s="2">
        <v>0.49211676103724999</v>
      </c>
      <c r="AL639" s="2">
        <v>0.11587729019958901</v>
      </c>
      <c r="AM639" s="2">
        <v>0.54575341939926203</v>
      </c>
      <c r="AN639" s="2">
        <v>0.49285307526588401</v>
      </c>
      <c r="AO639" s="2">
        <v>0.33283773064613298</v>
      </c>
      <c r="AP639" s="2">
        <v>0.44283047318458602</v>
      </c>
    </row>
    <row r="640" spans="1:42" x14ac:dyDescent="0.3">
      <c r="A640" t="s">
        <v>244</v>
      </c>
      <c r="B640" s="3">
        <v>2017</v>
      </c>
      <c r="C640" s="3">
        <v>3.1934969999999998</v>
      </c>
      <c r="D640" s="3">
        <v>1913.38</v>
      </c>
      <c r="E640" t="s">
        <v>245</v>
      </c>
      <c r="G640" s="3">
        <v>39740.73046875</v>
      </c>
      <c r="H640" s="3">
        <v>43697.18359375</v>
      </c>
      <c r="I640" s="3">
        <v>35365.8125</v>
      </c>
      <c r="J640" s="3">
        <v>39099.765625</v>
      </c>
      <c r="K640" s="3">
        <v>81246.8984375</v>
      </c>
      <c r="L640" s="3">
        <v>1.0105099063366699E-3</v>
      </c>
      <c r="M640" s="3">
        <v>0.72848141193389904</v>
      </c>
      <c r="N640" s="3">
        <v>0.78402870893478405</v>
      </c>
      <c r="O640" s="3">
        <v>37593.3828125</v>
      </c>
      <c r="P640" s="3">
        <v>44491.19140625</v>
      </c>
      <c r="Q640" s="3">
        <v>0.97402310371398904</v>
      </c>
      <c r="R640" s="3">
        <v>0.45846754312515298</v>
      </c>
      <c r="S640" s="3">
        <v>0.24328735470771801</v>
      </c>
      <c r="T640" s="3">
        <v>0.26902827620506298</v>
      </c>
      <c r="U640" s="3">
        <v>0.24333660304546401</v>
      </c>
      <c r="W640" t="s">
        <v>51</v>
      </c>
      <c r="X640" t="s">
        <v>51</v>
      </c>
      <c r="Y640" t="s">
        <v>52</v>
      </c>
      <c r="Z640" t="s">
        <v>53</v>
      </c>
      <c r="AA640" t="s">
        <v>53</v>
      </c>
      <c r="AC640" s="2">
        <v>0.54842511482252099</v>
      </c>
      <c r="AD640" s="2">
        <v>0.71838897466659601</v>
      </c>
      <c r="AE640" s="2">
        <v>0.101188637316227</v>
      </c>
      <c r="AF640" s="2">
        <v>0.298004150390625</v>
      </c>
      <c r="AG640" s="2">
        <v>0.10867705196142199</v>
      </c>
      <c r="AH640" s="2">
        <v>-0.243592649698257</v>
      </c>
      <c r="AI640" s="2">
        <v>1.7333872616291001E-2</v>
      </c>
      <c r="AJ640" s="2">
        <v>0.294227641706583</v>
      </c>
      <c r="AK640" s="2">
        <v>0.52758397852060801</v>
      </c>
      <c r="AL640" s="2">
        <v>0.12048726928890199</v>
      </c>
      <c r="AM640" s="2">
        <v>0.57071721553802501</v>
      </c>
      <c r="AN640" s="2">
        <v>0.50726628303527799</v>
      </c>
      <c r="AO640" s="2">
        <v>0.36710998415946999</v>
      </c>
      <c r="AP640" s="2">
        <v>0.63614916801452603</v>
      </c>
    </row>
    <row r="641" spans="1:42" x14ac:dyDescent="0.3">
      <c r="A641" t="s">
        <v>244</v>
      </c>
      <c r="B641" s="3">
        <v>2018</v>
      </c>
      <c r="C641" s="3">
        <v>3.1537730000000002</v>
      </c>
      <c r="D641" s="3">
        <v>1952.37</v>
      </c>
      <c r="E641" t="s">
        <v>245</v>
      </c>
      <c r="G641" s="3">
        <v>38159.78515625</v>
      </c>
      <c r="H641" s="3">
        <v>44279.375</v>
      </c>
      <c r="I641" s="3">
        <v>35127.29296875</v>
      </c>
      <c r="J641" s="3">
        <v>38435.6875</v>
      </c>
      <c r="K641" s="3">
        <v>98130.9453125</v>
      </c>
      <c r="L641" s="3">
        <v>1.20805541519076E-3</v>
      </c>
      <c r="M641" s="3">
        <v>0.63067764043807995</v>
      </c>
      <c r="N641" s="3">
        <v>0.69939124584197998</v>
      </c>
      <c r="O641" s="3">
        <v>38666.1484375</v>
      </c>
      <c r="P641" s="3">
        <v>46718.3984375</v>
      </c>
      <c r="Q641" s="3">
        <v>0.99982964992523204</v>
      </c>
      <c r="R641" s="3">
        <v>0.53244215250015303</v>
      </c>
      <c r="S641" s="3">
        <v>0.29328891634941101</v>
      </c>
      <c r="T641" s="3">
        <v>0.32033076882362399</v>
      </c>
      <c r="U641" s="3">
        <v>0.292757987976074</v>
      </c>
      <c r="W641" t="s">
        <v>50</v>
      </c>
      <c r="X641" t="s">
        <v>51</v>
      </c>
      <c r="Y641" t="s">
        <v>52</v>
      </c>
      <c r="Z641" t="s">
        <v>53</v>
      </c>
      <c r="AA641" t="s">
        <v>53</v>
      </c>
      <c r="AC641" s="2">
        <v>0.54641701482106098</v>
      </c>
      <c r="AD641" s="2">
        <v>0.74288892745971702</v>
      </c>
      <c r="AE641" s="2">
        <v>0.159216359257698</v>
      </c>
      <c r="AF641" s="2">
        <v>0.249932780861855</v>
      </c>
      <c r="AG641" s="2">
        <v>0.120190352201462</v>
      </c>
      <c r="AH641" s="2">
        <v>-0.283405661582947</v>
      </c>
      <c r="AI641" s="2">
        <v>1.11772082746029E-2</v>
      </c>
      <c r="AJ641" s="2">
        <v>0.33568191355109001</v>
      </c>
      <c r="AK641" s="2">
        <v>0.48895504262323902</v>
      </c>
      <c r="AL641" s="2">
        <v>0.16728193793882401</v>
      </c>
      <c r="AM641" s="2">
        <v>0.58594226837158203</v>
      </c>
      <c r="AN641" s="2">
        <v>0.52917832136154197</v>
      </c>
      <c r="AO641" s="2">
        <v>0.33425971865653997</v>
      </c>
      <c r="AP641" s="2">
        <v>0.51494109630584695</v>
      </c>
    </row>
    <row r="642" spans="1:42" x14ac:dyDescent="0.3">
      <c r="A642" t="s">
        <v>244</v>
      </c>
      <c r="B642" s="3">
        <v>2019</v>
      </c>
      <c r="C642" s="3">
        <v>3.1125620000000001</v>
      </c>
      <c r="D642" s="3">
        <v>1972.28</v>
      </c>
      <c r="E642" t="s">
        <v>245</v>
      </c>
      <c r="G642" s="3">
        <v>41598.4453125</v>
      </c>
      <c r="H642" s="3">
        <v>48955.2578125</v>
      </c>
      <c r="I642" s="3">
        <v>39086.01171875</v>
      </c>
      <c r="J642" s="3">
        <v>42860.99609375</v>
      </c>
      <c r="K642" s="3">
        <v>117109.4765625</v>
      </c>
      <c r="L642" s="3">
        <v>1.38878705911338E-3</v>
      </c>
      <c r="M642" s="3">
        <v>0.63961040973663297</v>
      </c>
      <c r="N642" s="3">
        <v>0.70299607515335105</v>
      </c>
      <c r="O642" s="3">
        <v>40202.90234375</v>
      </c>
      <c r="P642" s="3">
        <v>49323.921875</v>
      </c>
      <c r="Q642" s="3">
        <v>1.00349104404449</v>
      </c>
      <c r="R642" s="3">
        <v>0.51309597492217995</v>
      </c>
      <c r="S642" s="3">
        <v>0.282558172941208</v>
      </c>
      <c r="T642" s="3">
        <v>0.30028125643730202</v>
      </c>
      <c r="U642" s="3">
        <v>0.27383396029472401</v>
      </c>
      <c r="W642" t="s">
        <v>50</v>
      </c>
      <c r="X642" t="s">
        <v>54</v>
      </c>
      <c r="Y642" t="s">
        <v>52</v>
      </c>
      <c r="Z642" t="s">
        <v>53</v>
      </c>
      <c r="AA642" t="s">
        <v>53</v>
      </c>
      <c r="AC642" s="2">
        <v>0.53912090193608597</v>
      </c>
      <c r="AD642" s="2">
        <v>0.71315485239028897</v>
      </c>
      <c r="AE642" s="2">
        <v>0.17164352536201499</v>
      </c>
      <c r="AF642" s="2">
        <v>0.25738823413848899</v>
      </c>
      <c r="AG642" s="2">
        <v>0.114282816648483</v>
      </c>
      <c r="AH642" s="2">
        <v>-0.26497033238411</v>
      </c>
      <c r="AI642" s="2">
        <v>8.5008842870593106E-3</v>
      </c>
      <c r="AJ642" s="2">
        <v>0.32613104151535399</v>
      </c>
      <c r="AK642" s="2">
        <v>0.40049490301735102</v>
      </c>
      <c r="AL642" s="2">
        <v>0.16182924278499</v>
      </c>
      <c r="AM642" s="2">
        <v>0.56737619638443004</v>
      </c>
      <c r="AN642" s="2">
        <v>0.51444417238235496</v>
      </c>
      <c r="AO642" s="2">
        <v>0.26891848444938699</v>
      </c>
      <c r="AP642" s="2">
        <v>0.468029946088791</v>
      </c>
    </row>
    <row r="643" spans="1:42" x14ac:dyDescent="0.3">
      <c r="A643" t="s">
        <v>244</v>
      </c>
      <c r="B643" s="3">
        <v>2020</v>
      </c>
      <c r="C643" s="3">
        <v>3.0691310000000001</v>
      </c>
      <c r="D643" s="3">
        <v>1870.04</v>
      </c>
      <c r="E643" t="s">
        <v>245</v>
      </c>
      <c r="G643" s="3">
        <v>39750.7734375</v>
      </c>
      <c r="H643" s="3">
        <v>47449.74609375</v>
      </c>
      <c r="I643" s="3">
        <v>38440.44140625</v>
      </c>
      <c r="J643" s="3">
        <v>41759.0078125</v>
      </c>
      <c r="K643" s="3">
        <v>137281.875</v>
      </c>
      <c r="L643" s="3">
        <v>1.55787251424044E-3</v>
      </c>
      <c r="M643" s="3">
        <v>0.59601646661758401</v>
      </c>
      <c r="N643" s="3">
        <v>0.64968907833099399</v>
      </c>
      <c r="O643" s="3">
        <v>38013.62890625</v>
      </c>
      <c r="P643" s="3">
        <v>47684.21875</v>
      </c>
      <c r="Q643" s="3">
        <v>0.93415641784668002</v>
      </c>
      <c r="R643" s="3">
        <v>0.51309597492217995</v>
      </c>
      <c r="S643" s="3">
        <v>0.28883624076843301</v>
      </c>
      <c r="T643" s="3">
        <v>0.29996392130851701</v>
      </c>
      <c r="U643" s="3">
        <v>0.27612596750259399</v>
      </c>
      <c r="W643" t="s">
        <v>50</v>
      </c>
      <c r="X643" t="s">
        <v>54</v>
      </c>
      <c r="Y643" t="s">
        <v>52</v>
      </c>
      <c r="Z643" t="s">
        <v>53</v>
      </c>
      <c r="AA643" t="s">
        <v>53</v>
      </c>
      <c r="AC643" s="2">
        <v>0.50826237021696197</v>
      </c>
      <c r="AD643" s="2">
        <v>0.68433701992034901</v>
      </c>
      <c r="AE643" s="2">
        <v>0.18436677753925301</v>
      </c>
      <c r="AF643" s="2">
        <v>0.26757195591926602</v>
      </c>
      <c r="AG643" s="2">
        <v>9.9619120359420804E-2</v>
      </c>
      <c r="AH643" s="2">
        <v>-0.24251163005828899</v>
      </c>
      <c r="AI643" s="2">
        <v>6.6168042831122901E-3</v>
      </c>
      <c r="AJ643" s="2">
        <v>0.33239199948442</v>
      </c>
      <c r="AK643" s="2">
        <v>0.35741759227477199</v>
      </c>
      <c r="AL643" s="2">
        <v>0.17743885892244399</v>
      </c>
      <c r="AM643" s="2">
        <v>0.58738929033279397</v>
      </c>
      <c r="AN643" s="2">
        <v>0.51567858457565297</v>
      </c>
      <c r="AO643" s="2">
        <v>0.23392041027545901</v>
      </c>
      <c r="AP643" s="2">
        <v>0.427950799465179</v>
      </c>
    </row>
    <row r="644" spans="1:42" x14ac:dyDescent="0.3">
      <c r="A644" t="s">
        <v>246</v>
      </c>
      <c r="B644" s="3">
        <v>2015</v>
      </c>
      <c r="C644" s="3">
        <v>25.426701999999999</v>
      </c>
      <c r="D644" s="3">
        <v>1729.04</v>
      </c>
      <c r="E644" t="s">
        <v>247</v>
      </c>
      <c r="G644" s="3">
        <v>40891.5</v>
      </c>
      <c r="H644" s="3">
        <v>45057.75</v>
      </c>
      <c r="I644" s="3">
        <v>43142.6015625</v>
      </c>
      <c r="J644" s="3">
        <v>43991.5390625</v>
      </c>
      <c r="K644" s="3">
        <v>107390.7265625</v>
      </c>
      <c r="L644" s="3"/>
      <c r="M644" s="3"/>
      <c r="N644" s="3"/>
      <c r="O644" s="3">
        <v>39629.23828125</v>
      </c>
      <c r="P644" s="3">
        <v>42723.921875</v>
      </c>
      <c r="Q644" s="3"/>
      <c r="R644" s="3"/>
      <c r="S644" s="3">
        <v>0.244913920760155</v>
      </c>
      <c r="T644" s="3">
        <v>0.26245567202568099</v>
      </c>
      <c r="U644" s="3">
        <v>0.257390886545181</v>
      </c>
      <c r="W644" t="s">
        <v>50</v>
      </c>
      <c r="X644" t="s">
        <v>51</v>
      </c>
      <c r="Y644" t="s">
        <v>52</v>
      </c>
      <c r="Z644" t="s">
        <v>53</v>
      </c>
      <c r="AC644" s="2">
        <v>0.25347808072995198</v>
      </c>
      <c r="AD644" s="2">
        <v>0.78165549039840698</v>
      </c>
      <c r="AE644" s="2">
        <v>9.4705745577812195E-2</v>
      </c>
      <c r="AF644" s="2">
        <v>0.14787553250789601</v>
      </c>
      <c r="AG644" s="2">
        <v>8.7590910494327601E-2</v>
      </c>
      <c r="AH644" s="2">
        <v>-0.137775033712387</v>
      </c>
      <c r="AI644" s="2">
        <v>2.5947341695427902E-2</v>
      </c>
      <c r="AJ644" s="2">
        <v>0.241391877900034</v>
      </c>
      <c r="AK644" s="2">
        <v>0.434626853689485</v>
      </c>
      <c r="AL644" s="2">
        <v>0.26353109519268703</v>
      </c>
      <c r="AM644" s="2">
        <v>0.56172227859497104</v>
      </c>
      <c r="AN644" s="2">
        <v>0.48852276802062999</v>
      </c>
      <c r="AO644" s="2">
        <v>0.249548584222794</v>
      </c>
      <c r="AP644" s="2"/>
    </row>
    <row r="645" spans="1:42" x14ac:dyDescent="0.3">
      <c r="A645" t="s">
        <v>246</v>
      </c>
      <c r="B645" s="3">
        <v>2016</v>
      </c>
      <c r="C645" s="3">
        <v>26.099951999999998</v>
      </c>
      <c r="D645" s="3">
        <v>1734.36</v>
      </c>
      <c r="E645" t="s">
        <v>247</v>
      </c>
      <c r="G645" s="3">
        <v>42395</v>
      </c>
      <c r="H645" s="3">
        <v>46707.3359375</v>
      </c>
      <c r="I645" s="3">
        <v>45501.734375</v>
      </c>
      <c r="J645" s="3">
        <v>46210.55859375</v>
      </c>
      <c r="K645" s="3">
        <v>102777.7265625</v>
      </c>
      <c r="L645" s="3"/>
      <c r="M645" s="3"/>
      <c r="N645" s="3"/>
      <c r="O645" s="3">
        <v>40837.796875</v>
      </c>
      <c r="P645" s="3">
        <v>44716.14453125</v>
      </c>
      <c r="Q645" s="3"/>
      <c r="R645" s="3"/>
      <c r="S645" s="3">
        <v>0.241146549582481</v>
      </c>
      <c r="T645" s="3">
        <v>0.26039916276931802</v>
      </c>
      <c r="U645" s="3">
        <v>0.25640490651130698</v>
      </c>
      <c r="W645" t="s">
        <v>50</v>
      </c>
      <c r="X645" t="s">
        <v>51</v>
      </c>
      <c r="Y645" t="s">
        <v>52</v>
      </c>
      <c r="Z645" t="s">
        <v>53</v>
      </c>
      <c r="AC645" s="2">
        <v>0.26998120129263098</v>
      </c>
      <c r="AD645" s="2">
        <v>0.77306258678436302</v>
      </c>
      <c r="AE645" s="2">
        <v>9.3319244682788904E-2</v>
      </c>
      <c r="AF645" s="2">
        <v>0.14436842501163499</v>
      </c>
      <c r="AG645" s="2">
        <v>8.8790073990821797E-2</v>
      </c>
      <c r="AH645" s="2">
        <v>-0.13299754261970501</v>
      </c>
      <c r="AI645" s="2">
        <v>3.3457197248935699E-2</v>
      </c>
      <c r="AJ645" s="2">
        <v>0.23722096732433101</v>
      </c>
      <c r="AK645" s="2">
        <v>0.449673710959622</v>
      </c>
      <c r="AL645" s="2">
        <v>0.26216725037608501</v>
      </c>
      <c r="AM645" s="2">
        <v>0.55114054679870605</v>
      </c>
      <c r="AN645" s="2">
        <v>0.48352798819541898</v>
      </c>
      <c r="AO645" s="2">
        <v>0.254974275827408</v>
      </c>
      <c r="AP645" s="2"/>
    </row>
    <row r="646" spans="1:42" x14ac:dyDescent="0.3">
      <c r="A646" t="s">
        <v>246</v>
      </c>
      <c r="B646" s="3">
        <v>2017</v>
      </c>
      <c r="C646" s="3">
        <v>26.788374999999998</v>
      </c>
      <c r="D646" s="3">
        <v>1739.89</v>
      </c>
      <c r="E646" t="s">
        <v>247</v>
      </c>
      <c r="G646" s="3">
        <v>42380.125</v>
      </c>
      <c r="H646" s="3">
        <v>46692.0625</v>
      </c>
      <c r="I646" s="3">
        <v>45096.48828125</v>
      </c>
      <c r="J646" s="3">
        <v>45745.7734375</v>
      </c>
      <c r="K646" s="3">
        <v>104234.234375</v>
      </c>
      <c r="L646" s="3"/>
      <c r="M646" s="3"/>
      <c r="N646" s="3"/>
      <c r="O646" s="3">
        <v>42187.98828125</v>
      </c>
      <c r="P646" s="3">
        <v>45412.04296875</v>
      </c>
      <c r="Q646" s="3"/>
      <c r="R646" s="3"/>
      <c r="S646" s="3">
        <v>0.27276492118835499</v>
      </c>
      <c r="T646" s="3">
        <v>0.29218047857284501</v>
      </c>
      <c r="U646" s="3">
        <v>0.28803348541259799</v>
      </c>
      <c r="W646" t="s">
        <v>51</v>
      </c>
      <c r="X646" t="s">
        <v>51</v>
      </c>
      <c r="Y646" t="s">
        <v>52</v>
      </c>
      <c r="Z646" t="s">
        <v>53</v>
      </c>
      <c r="AC646" s="2">
        <v>0.26792369478667</v>
      </c>
      <c r="AD646" s="2">
        <v>0.76451897621154796</v>
      </c>
      <c r="AE646" s="2">
        <v>9.4258740544319194E-2</v>
      </c>
      <c r="AF646" s="2">
        <v>0.161908149719238</v>
      </c>
      <c r="AG646" s="2">
        <v>0.11152667552232701</v>
      </c>
      <c r="AH646" s="2">
        <v>-0.158027544617653</v>
      </c>
      <c r="AI646" s="2">
        <v>2.58149467408657E-2</v>
      </c>
      <c r="AJ646" s="2">
        <v>0.26978850847360503</v>
      </c>
      <c r="AK646" s="2">
        <v>0.48300724597290201</v>
      </c>
      <c r="AL646" s="2">
        <v>0.28681934473227599</v>
      </c>
      <c r="AM646" s="2">
        <v>0.55894434452056896</v>
      </c>
      <c r="AN646" s="2">
        <v>0.50601178407669101</v>
      </c>
      <c r="AO646" s="2">
        <v>0.28169718384742698</v>
      </c>
      <c r="AP646" s="2"/>
    </row>
    <row r="647" spans="1:42" x14ac:dyDescent="0.3">
      <c r="A647" t="s">
        <v>246</v>
      </c>
      <c r="B647" s="3">
        <v>2018</v>
      </c>
      <c r="C647" s="3">
        <v>27.494926</v>
      </c>
      <c r="D647" s="3">
        <v>1745.71</v>
      </c>
      <c r="E647" t="s">
        <v>247</v>
      </c>
      <c r="G647" s="3">
        <v>41080.77734375</v>
      </c>
      <c r="H647" s="3">
        <v>46888.4921875</v>
      </c>
      <c r="I647" s="3">
        <v>44098.6640625</v>
      </c>
      <c r="J647" s="3">
        <v>44707.57421875</v>
      </c>
      <c r="K647" s="3">
        <v>114972.7265625</v>
      </c>
      <c r="L647" s="3"/>
      <c r="M647" s="3"/>
      <c r="N647" s="3"/>
      <c r="O647" s="3">
        <v>40175.1875</v>
      </c>
      <c r="P647" s="3">
        <v>46390.5234375</v>
      </c>
      <c r="Q647" s="3"/>
      <c r="R647" s="3"/>
      <c r="S647" s="3">
        <v>0.286795973777771</v>
      </c>
      <c r="T647" s="3">
        <v>0.312028348445892</v>
      </c>
      <c r="U647" s="3">
        <v>0.30777859687805198</v>
      </c>
      <c r="W647" t="s">
        <v>50</v>
      </c>
      <c r="X647" t="s">
        <v>51</v>
      </c>
      <c r="Y647" t="s">
        <v>52</v>
      </c>
      <c r="Z647" t="s">
        <v>53</v>
      </c>
      <c r="AC647" s="2">
        <v>0.26507459290184299</v>
      </c>
      <c r="AD647" s="2">
        <v>0.78539556264877297</v>
      </c>
      <c r="AE647" s="2">
        <v>0.12990449368953699</v>
      </c>
      <c r="AF647" s="2">
        <v>0.133481726050377</v>
      </c>
      <c r="AG647" s="2">
        <v>0.121142208576202</v>
      </c>
      <c r="AH647" s="2">
        <v>-0.17560213804245001</v>
      </c>
      <c r="AI647" s="2">
        <v>5.67811820656061E-3</v>
      </c>
      <c r="AJ647" s="2">
        <v>0.28223008872952698</v>
      </c>
      <c r="AK647" s="2">
        <v>0.49050897829598</v>
      </c>
      <c r="AL647" s="2">
        <v>0.313661358395255</v>
      </c>
      <c r="AM647" s="2">
        <v>0.57847720384597801</v>
      </c>
      <c r="AN647" s="2">
        <v>0.51990646123886097</v>
      </c>
      <c r="AO647" s="2">
        <v>0.29053881764411899</v>
      </c>
      <c r="AP647" s="2"/>
    </row>
    <row r="648" spans="1:42" x14ac:dyDescent="0.3">
      <c r="A648" t="s">
        <v>246</v>
      </c>
      <c r="B648" s="3">
        <v>2019</v>
      </c>
      <c r="C648" s="3">
        <v>28.219553999999999</v>
      </c>
      <c r="D648" s="3">
        <v>1751.99</v>
      </c>
      <c r="E648" t="s">
        <v>247</v>
      </c>
      <c r="G648" s="3">
        <v>43649.734375</v>
      </c>
      <c r="H648" s="3">
        <v>50446.0859375</v>
      </c>
      <c r="I648" s="3">
        <v>46414.14453125</v>
      </c>
      <c r="J648" s="3">
        <v>47928.37890625</v>
      </c>
      <c r="K648" s="3">
        <v>114503.5</v>
      </c>
      <c r="L648" s="3"/>
      <c r="M648" s="3"/>
      <c r="N648" s="3"/>
      <c r="O648" s="3">
        <v>41183.18359375</v>
      </c>
      <c r="P648" s="3">
        <v>47853.3828125</v>
      </c>
      <c r="Q648" s="3"/>
      <c r="R648" s="3"/>
      <c r="S648" s="3">
        <v>0.27790343761444097</v>
      </c>
      <c r="T648" s="3">
        <v>0.303887218236923</v>
      </c>
      <c r="U648" s="3">
        <v>0.29428625106811501</v>
      </c>
      <c r="W648" t="s">
        <v>50</v>
      </c>
      <c r="X648" t="s">
        <v>54</v>
      </c>
      <c r="Y648" t="s">
        <v>52</v>
      </c>
      <c r="Z648" t="s">
        <v>53</v>
      </c>
      <c r="AC648" s="2">
        <v>0.26743485454752702</v>
      </c>
      <c r="AD648" s="2">
        <v>0.77457106113433805</v>
      </c>
      <c r="AE648" s="2">
        <v>0.14180225133895899</v>
      </c>
      <c r="AF648" s="2">
        <v>0.13615730404853801</v>
      </c>
      <c r="AG648" s="2">
        <v>0.11762622743845</v>
      </c>
      <c r="AH648" s="2">
        <v>-0.17228801548480999</v>
      </c>
      <c r="AI648" s="2">
        <v>2.1311321761459099E-3</v>
      </c>
      <c r="AJ648" s="2">
        <v>0.26936109553322601</v>
      </c>
      <c r="AK648" s="2">
        <v>0.47076855156625702</v>
      </c>
      <c r="AL648" s="2">
        <v>0.326499112320009</v>
      </c>
      <c r="AM648" s="2">
        <v>0.47696396708488498</v>
      </c>
      <c r="AN648" s="2">
        <v>0.47765916585922202</v>
      </c>
      <c r="AO648" s="2">
        <v>0.28237032890319802</v>
      </c>
      <c r="AP648" s="2"/>
    </row>
    <row r="649" spans="1:42" x14ac:dyDescent="0.3">
      <c r="A649" t="s">
        <v>246</v>
      </c>
      <c r="B649" s="3">
        <v>2020</v>
      </c>
      <c r="C649" s="3">
        <v>28.953555999999999</v>
      </c>
      <c r="D649" s="3">
        <v>1665.32</v>
      </c>
      <c r="E649" t="s">
        <v>247</v>
      </c>
      <c r="G649" s="3">
        <v>44489.15625</v>
      </c>
      <c r="H649" s="3">
        <v>49460.25</v>
      </c>
      <c r="I649" s="3">
        <v>43608.87109375</v>
      </c>
      <c r="J649" s="3">
        <v>44762.75390625</v>
      </c>
      <c r="K649" s="3">
        <v>114656.3671875</v>
      </c>
      <c r="L649" s="3"/>
      <c r="M649" s="3"/>
      <c r="N649" s="3"/>
      <c r="O649" s="3">
        <v>43635.37109375</v>
      </c>
      <c r="P649" s="3">
        <v>49097.3671875</v>
      </c>
      <c r="Q649" s="3"/>
      <c r="R649" s="3"/>
      <c r="S649" s="3">
        <v>0.28075516223907498</v>
      </c>
      <c r="T649" s="3">
        <v>0.29928407073020902</v>
      </c>
      <c r="U649" s="3">
        <v>0.29156923294067399</v>
      </c>
      <c r="W649" t="s">
        <v>50</v>
      </c>
      <c r="X649" t="s">
        <v>54</v>
      </c>
      <c r="Y649" t="s">
        <v>52</v>
      </c>
      <c r="Z649" t="s">
        <v>53</v>
      </c>
      <c r="AC649" s="2">
        <v>0.268400624234366</v>
      </c>
      <c r="AD649" s="2">
        <v>0.83391010761260997</v>
      </c>
      <c r="AE649" s="2">
        <v>0.111054234206676</v>
      </c>
      <c r="AF649" s="2">
        <v>0.15997768938541401</v>
      </c>
      <c r="AG649" s="2">
        <v>7.9724736511707306E-2</v>
      </c>
      <c r="AH649" s="2">
        <v>-0.15160425007343301</v>
      </c>
      <c r="AI649" s="2">
        <v>-3.3062521368265201E-2</v>
      </c>
      <c r="AJ649" s="2">
        <v>0.26914865386941</v>
      </c>
      <c r="AK649" s="2">
        <v>0.46511000822793702</v>
      </c>
      <c r="AL649" s="2">
        <v>0.34125593574644297</v>
      </c>
      <c r="AM649" s="2">
        <v>0.49406170845031699</v>
      </c>
      <c r="AN649" s="2">
        <v>0.454283207654953</v>
      </c>
      <c r="AO649" s="2">
        <v>0.27824571728706399</v>
      </c>
      <c r="AP649" s="2"/>
    </row>
    <row r="650" spans="1:42" x14ac:dyDescent="0.3">
      <c r="A650" t="s">
        <v>248</v>
      </c>
      <c r="B650" s="3">
        <v>2015</v>
      </c>
      <c r="C650" s="3">
        <v>0.42815399999999998</v>
      </c>
      <c r="D650" s="3"/>
      <c r="E650" t="s">
        <v>249</v>
      </c>
      <c r="G650" s="3">
        <v>4999.05810546875</v>
      </c>
      <c r="H650" s="3">
        <v>7899.8642578125</v>
      </c>
      <c r="I650" s="3">
        <v>8561.0654296875</v>
      </c>
      <c r="J650" s="3">
        <v>9071.5517578125</v>
      </c>
      <c r="K650" s="3">
        <v>32771.21875</v>
      </c>
      <c r="L650" s="3"/>
      <c r="M650" s="3"/>
      <c r="N650" s="3"/>
      <c r="O650" s="3">
        <v>4639.89599609375</v>
      </c>
      <c r="P650" s="3">
        <v>9220.345703125</v>
      </c>
      <c r="Q650" s="3"/>
      <c r="R650" s="3"/>
      <c r="S650" s="3">
        <v>0.48704305291175798</v>
      </c>
      <c r="T650" s="3">
        <v>0.48235878348350503</v>
      </c>
      <c r="U650" s="3">
        <v>0.45521485805511502</v>
      </c>
      <c r="W650" t="s">
        <v>50</v>
      </c>
      <c r="X650" t="s">
        <v>51</v>
      </c>
      <c r="Y650" t="s">
        <v>52</v>
      </c>
      <c r="Z650" t="s">
        <v>53</v>
      </c>
      <c r="AC650" s="2">
        <v>0.52806926642025798</v>
      </c>
      <c r="AD650" s="2">
        <v>0.33450430631637601</v>
      </c>
      <c r="AE650" s="2">
        <v>0.31976959109306302</v>
      </c>
      <c r="AF650" s="2">
        <v>0.21656550467014299</v>
      </c>
      <c r="AG650" s="2">
        <v>2.8321666643023501E-2</v>
      </c>
      <c r="AH650" s="2">
        <v>-0.40082257986068698</v>
      </c>
      <c r="AI650" s="2">
        <v>0.50166153907775901</v>
      </c>
      <c r="AJ650" s="2">
        <v>0.55629288698522705</v>
      </c>
      <c r="AK650" s="2">
        <v>0.47428625146779502</v>
      </c>
      <c r="AL650" s="2">
        <v>0.380080647971199</v>
      </c>
      <c r="AM650" s="2">
        <v>0.56115341186523404</v>
      </c>
      <c r="AN650" s="2">
        <v>0.52167409658431996</v>
      </c>
      <c r="AO650" s="2">
        <v>0.28807944059371998</v>
      </c>
      <c r="AP650" s="2"/>
    </row>
    <row r="651" spans="1:42" x14ac:dyDescent="0.3">
      <c r="A651" t="s">
        <v>248</v>
      </c>
      <c r="B651" s="3">
        <v>2016</v>
      </c>
      <c r="C651" s="3">
        <v>0.44330799999999998</v>
      </c>
      <c r="D651" s="3"/>
      <c r="E651" t="s">
        <v>249</v>
      </c>
      <c r="G651" s="3">
        <v>5556.166015625</v>
      </c>
      <c r="H651" s="3">
        <v>9443.5400390625</v>
      </c>
      <c r="I651" s="3">
        <v>9318.2138671875</v>
      </c>
      <c r="J651" s="3">
        <v>9878.1357421875</v>
      </c>
      <c r="K651" s="3">
        <v>48766.59765625</v>
      </c>
      <c r="L651" s="3"/>
      <c r="M651" s="3"/>
      <c r="N651" s="3"/>
      <c r="O651" s="3">
        <v>5092.6669921875</v>
      </c>
      <c r="P651" s="3">
        <v>9849.27734375</v>
      </c>
      <c r="Q651" s="3"/>
      <c r="R651" s="3"/>
      <c r="S651" s="3">
        <v>0.48722743988037098</v>
      </c>
      <c r="T651" s="3">
        <v>0.47326052188873302</v>
      </c>
      <c r="U651" s="3">
        <v>0.446434706449509</v>
      </c>
      <c r="W651" t="s">
        <v>50</v>
      </c>
      <c r="X651" t="s">
        <v>51</v>
      </c>
      <c r="Y651" t="s">
        <v>52</v>
      </c>
      <c r="Z651" t="s">
        <v>53</v>
      </c>
      <c r="AC651" s="2">
        <v>0.46502785876842501</v>
      </c>
      <c r="AD651" s="2">
        <v>0.34888964891433699</v>
      </c>
      <c r="AE651" s="2">
        <v>0.39353320002555803</v>
      </c>
      <c r="AF651" s="2">
        <v>0.213581442832947</v>
      </c>
      <c r="AG651" s="2">
        <v>2.7202853932976698E-2</v>
      </c>
      <c r="AH651" s="2">
        <v>-0.42064219713211098</v>
      </c>
      <c r="AI651" s="2">
        <v>0.43743506073951699</v>
      </c>
      <c r="AJ651" s="2">
        <v>0.55946706128502</v>
      </c>
      <c r="AK651" s="2">
        <v>0.45329783101417698</v>
      </c>
      <c r="AL651" s="2">
        <v>0.36922255968647599</v>
      </c>
      <c r="AM651" s="2">
        <v>0.51948559284210205</v>
      </c>
      <c r="AN651" s="2">
        <v>0.512126624584198</v>
      </c>
      <c r="AO651" s="2">
        <v>0.26447740197181702</v>
      </c>
      <c r="AP651" s="2"/>
    </row>
    <row r="652" spans="1:42" x14ac:dyDescent="0.3">
      <c r="A652" t="s">
        <v>248</v>
      </c>
      <c r="B652" s="3">
        <v>2017</v>
      </c>
      <c r="C652" s="3">
        <v>0.458287</v>
      </c>
      <c r="D652" s="3"/>
      <c r="E652" t="s">
        <v>249</v>
      </c>
      <c r="G652" s="3">
        <v>5809.44677734375</v>
      </c>
      <c r="H652" s="3">
        <v>10298.552734375</v>
      </c>
      <c r="I652" s="3">
        <v>10082.7744140625</v>
      </c>
      <c r="J652" s="3">
        <v>10755.9326171875</v>
      </c>
      <c r="K652" s="3">
        <v>58799.46875</v>
      </c>
      <c r="L652" s="3"/>
      <c r="M652" s="3"/>
      <c r="N652" s="3"/>
      <c r="O652" s="3">
        <v>5399.744140625</v>
      </c>
      <c r="P652" s="3">
        <v>10495.271484375</v>
      </c>
      <c r="Q652" s="3"/>
      <c r="R652" s="3"/>
      <c r="S652" s="3">
        <v>0.50551176071167003</v>
      </c>
      <c r="T652" s="3">
        <v>0.47768861055374101</v>
      </c>
      <c r="U652" s="3">
        <v>0.44779253005981401</v>
      </c>
      <c r="W652" t="s">
        <v>51</v>
      </c>
      <c r="X652" t="s">
        <v>51</v>
      </c>
      <c r="Y652" t="s">
        <v>52</v>
      </c>
      <c r="Z652" t="s">
        <v>53</v>
      </c>
      <c r="AC652" s="2">
        <v>0.42595017704095001</v>
      </c>
      <c r="AD652" s="2">
        <v>0.35768163204193099</v>
      </c>
      <c r="AE652" s="2">
        <v>0.41736096143722501</v>
      </c>
      <c r="AF652" s="2">
        <v>0.18243394792079901</v>
      </c>
      <c r="AG652" s="2">
        <v>3.60962226986885E-2</v>
      </c>
      <c r="AH652" s="2">
        <v>-0.42069154977798501</v>
      </c>
      <c r="AI652" s="2">
        <v>0.42711880803108199</v>
      </c>
      <c r="AJ652" s="2">
        <v>0.58136921104183303</v>
      </c>
      <c r="AK652" s="2">
        <v>0.44168207549232402</v>
      </c>
      <c r="AL652" s="2">
        <v>0.35678491880683699</v>
      </c>
      <c r="AM652" s="2">
        <v>0.51344758272170998</v>
      </c>
      <c r="AN652" s="2">
        <v>0.52146810293197599</v>
      </c>
      <c r="AO652" s="2">
        <v>0.250997334718704</v>
      </c>
      <c r="AP652" s="2"/>
    </row>
    <row r="653" spans="1:42" x14ac:dyDescent="0.3">
      <c r="A653" t="s">
        <v>248</v>
      </c>
      <c r="B653" s="3">
        <v>2018</v>
      </c>
      <c r="C653" s="3">
        <v>0.47309899999999999</v>
      </c>
      <c r="D653" s="3"/>
      <c r="E653" t="s">
        <v>249</v>
      </c>
      <c r="G653" s="3">
        <v>6322.47412109375</v>
      </c>
      <c r="H653" s="3">
        <v>12311.5869140625</v>
      </c>
      <c r="I653" s="3">
        <v>11356.8740234375</v>
      </c>
      <c r="J653" s="3">
        <v>12199.8994140625</v>
      </c>
      <c r="K653" s="3">
        <v>67979.7578125</v>
      </c>
      <c r="L653" s="3"/>
      <c r="M653" s="3"/>
      <c r="N653" s="3"/>
      <c r="O653" s="3">
        <v>5940.1728515625</v>
      </c>
      <c r="P653" s="3">
        <v>12241.57421875</v>
      </c>
      <c r="Q653" s="3"/>
      <c r="R653" s="3"/>
      <c r="S653" s="3">
        <v>0.51820671558380105</v>
      </c>
      <c r="T653" s="3">
        <v>0.47586545348167397</v>
      </c>
      <c r="U653" s="3">
        <v>0.44298267364501998</v>
      </c>
      <c r="W653" t="s">
        <v>50</v>
      </c>
      <c r="X653" t="s">
        <v>51</v>
      </c>
      <c r="Y653" t="s">
        <v>52</v>
      </c>
      <c r="Z653" t="s">
        <v>53</v>
      </c>
      <c r="AC653" s="2">
        <v>0.42491713443557699</v>
      </c>
      <c r="AD653" s="2">
        <v>0.34191465377807601</v>
      </c>
      <c r="AE653" s="2">
        <v>0.49091494083404502</v>
      </c>
      <c r="AF653" s="2">
        <v>0.17632518708705899</v>
      </c>
      <c r="AG653" s="2">
        <v>2.6000944897532501E-2</v>
      </c>
      <c r="AH653" s="2">
        <v>-0.465365380048752</v>
      </c>
      <c r="AI653" s="2">
        <v>0.43020966649055498</v>
      </c>
      <c r="AJ653" s="2">
        <v>0.59783402597738899</v>
      </c>
      <c r="AK653" s="2">
        <v>0.43116738505962698</v>
      </c>
      <c r="AL653" s="2">
        <v>0.363800225580587</v>
      </c>
      <c r="AM653" s="2">
        <v>0.57284450531005904</v>
      </c>
      <c r="AN653" s="2">
        <v>0.52154529094696001</v>
      </c>
      <c r="AO653" s="2">
        <v>0.249297291040421</v>
      </c>
      <c r="AP653" s="2"/>
    </row>
    <row r="654" spans="1:42" x14ac:dyDescent="0.3">
      <c r="A654" t="s">
        <v>248</v>
      </c>
      <c r="B654" s="3">
        <v>2019</v>
      </c>
      <c r="C654" s="3">
        <v>0.48773100000000003</v>
      </c>
      <c r="D654" s="3"/>
      <c r="E654" t="s">
        <v>249</v>
      </c>
      <c r="G654" s="3">
        <v>6897.94677734375</v>
      </c>
      <c r="H654" s="3">
        <v>13029.83203125</v>
      </c>
      <c r="I654" s="3">
        <v>12178.73046875</v>
      </c>
      <c r="J654" s="3">
        <v>13083.0625</v>
      </c>
      <c r="K654" s="3">
        <v>77022.2109375</v>
      </c>
      <c r="L654" s="3"/>
      <c r="M654" s="3"/>
      <c r="N654" s="3"/>
      <c r="O654" s="3">
        <v>6509.33544921875</v>
      </c>
      <c r="P654" s="3">
        <v>12737.9560546875</v>
      </c>
      <c r="Q654" s="3"/>
      <c r="R654" s="3"/>
      <c r="S654" s="3">
        <v>0.52245193719863903</v>
      </c>
      <c r="T654" s="3">
        <v>0.470171749591827</v>
      </c>
      <c r="U654" s="3">
        <v>0.43767237663268999</v>
      </c>
      <c r="W654" t="s">
        <v>50</v>
      </c>
      <c r="X654" t="s">
        <v>54</v>
      </c>
      <c r="Y654" t="s">
        <v>52</v>
      </c>
      <c r="Z654" t="s">
        <v>53</v>
      </c>
      <c r="AC654" s="2">
        <v>0.404109858129581</v>
      </c>
      <c r="AD654" s="2">
        <v>0.334385275840759</v>
      </c>
      <c r="AE654" s="2">
        <v>0.468688875436783</v>
      </c>
      <c r="AF654" s="2">
        <v>0.19285723567009</v>
      </c>
      <c r="AG654" s="2">
        <v>2.5405935943126699E-2</v>
      </c>
      <c r="AH654" s="2">
        <v>-0.43427443504333502</v>
      </c>
      <c r="AI654" s="2">
        <v>0.41293710470199602</v>
      </c>
      <c r="AJ654" s="2">
        <v>0.60680262947352903</v>
      </c>
      <c r="AK654" s="2">
        <v>0.41136017271323999</v>
      </c>
      <c r="AL654" s="2">
        <v>0.37620057128686901</v>
      </c>
      <c r="AM654" s="2">
        <v>0.57108324766159102</v>
      </c>
      <c r="AN654" s="2">
        <v>0.52000874280929599</v>
      </c>
      <c r="AO654" s="2">
        <v>0.24185810983181</v>
      </c>
      <c r="AP654" s="2"/>
    </row>
    <row r="655" spans="1:42" x14ac:dyDescent="0.3">
      <c r="A655" t="s">
        <v>248</v>
      </c>
      <c r="B655" s="3">
        <v>2020</v>
      </c>
      <c r="C655" s="3">
        <v>0.50211799999999995</v>
      </c>
      <c r="D655" s="3"/>
      <c r="E655" t="s">
        <v>249</v>
      </c>
      <c r="G655" s="3">
        <v>5755.669921875</v>
      </c>
      <c r="H655" s="3">
        <v>9144.03515625</v>
      </c>
      <c r="I655" s="3">
        <v>7545.509765625</v>
      </c>
      <c r="J655" s="3">
        <v>8091.4892578125</v>
      </c>
      <c r="K655" s="3">
        <v>83260.03125</v>
      </c>
      <c r="L655" s="3"/>
      <c r="M655" s="3"/>
      <c r="N655" s="3"/>
      <c r="O655" s="3">
        <v>5639.572265625</v>
      </c>
      <c r="P655" s="3">
        <v>8651.412109375</v>
      </c>
      <c r="Q655" s="3"/>
      <c r="R655" s="3"/>
      <c r="S655" s="3">
        <v>0.53129869699478205</v>
      </c>
      <c r="T655" s="3">
        <v>0.49202838540077198</v>
      </c>
      <c r="U655" s="3">
        <v>0.45882835984230003</v>
      </c>
      <c r="W655" t="s">
        <v>50</v>
      </c>
      <c r="X655" t="s">
        <v>54</v>
      </c>
      <c r="Y655" t="s">
        <v>52</v>
      </c>
      <c r="Z655" t="s">
        <v>53</v>
      </c>
      <c r="AC655" s="2">
        <v>0.29100502332230699</v>
      </c>
      <c r="AD655" s="2">
        <v>0.43961420655250599</v>
      </c>
      <c r="AE655" s="2">
        <v>0.418756753206253</v>
      </c>
      <c r="AF655" s="2">
        <v>0.27170974016189597</v>
      </c>
      <c r="AG655" s="2">
        <v>2.08640638738871E-2</v>
      </c>
      <c r="AH655" s="2">
        <v>-0.39109066128730802</v>
      </c>
      <c r="AI655" s="2">
        <v>0.24014589190483099</v>
      </c>
      <c r="AJ655" s="2">
        <v>0.61992831025359896</v>
      </c>
      <c r="AK655" s="2">
        <v>0.42532153327097399</v>
      </c>
      <c r="AL655" s="2">
        <v>0.38789992337212498</v>
      </c>
      <c r="AM655" s="2">
        <v>0.53681504726409901</v>
      </c>
      <c r="AN655" s="2">
        <v>0.55892223119735696</v>
      </c>
      <c r="AO655" s="2">
        <v>0.28749319911003102</v>
      </c>
      <c r="AP655" s="2"/>
    </row>
    <row r="656" spans="1:42" x14ac:dyDescent="0.3">
      <c r="A656" t="s">
        <v>250</v>
      </c>
      <c r="B656" s="3">
        <v>2015</v>
      </c>
      <c r="C656" s="3">
        <v>121.072306</v>
      </c>
      <c r="D656" s="3">
        <v>1637.1</v>
      </c>
      <c r="E656" t="s">
        <v>251</v>
      </c>
      <c r="G656" s="3">
        <v>2157316.5</v>
      </c>
      <c r="H656" s="3">
        <v>2701588.25</v>
      </c>
      <c r="I656" s="3">
        <v>2578180.25</v>
      </c>
      <c r="J656" s="3">
        <v>2524158.25</v>
      </c>
      <c r="K656" s="3">
        <v>11640632</v>
      </c>
      <c r="L656" s="3">
        <v>0.121799431741238</v>
      </c>
      <c r="M656" s="3">
        <v>0.696178138256073</v>
      </c>
      <c r="N656" s="3">
        <v>0.71884524822235096</v>
      </c>
      <c r="O656" s="3">
        <v>2084131.375</v>
      </c>
      <c r="P656" s="3">
        <v>2601780.75</v>
      </c>
      <c r="Q656" s="3">
        <v>1.08345293998718</v>
      </c>
      <c r="R656" s="3">
        <v>0.35461717844009399</v>
      </c>
      <c r="S656" s="3">
        <v>0.455835402011871</v>
      </c>
      <c r="T656" s="3">
        <v>0.47060108184814498</v>
      </c>
      <c r="U656" s="3">
        <v>0.48067295551300099</v>
      </c>
      <c r="W656" t="s">
        <v>50</v>
      </c>
      <c r="X656" t="s">
        <v>51</v>
      </c>
      <c r="Y656" t="s">
        <v>52</v>
      </c>
      <c r="Z656" t="s">
        <v>53</v>
      </c>
      <c r="AA656" t="s">
        <v>53</v>
      </c>
      <c r="AC656" s="2">
        <v>0.66579227050490397</v>
      </c>
      <c r="AD656" s="2">
        <v>0.68352299928665206</v>
      </c>
      <c r="AE656" s="2">
        <v>0.21562500298023199</v>
      </c>
      <c r="AF656" s="2">
        <v>0.171144708991051</v>
      </c>
      <c r="AG656" s="2">
        <v>0.25203534960746798</v>
      </c>
      <c r="AH656" s="2">
        <v>-0.28656440973281899</v>
      </c>
      <c r="AI656" s="2">
        <v>-3.5763707011938102E-2</v>
      </c>
      <c r="AJ656" s="2">
        <v>0.486277307462266</v>
      </c>
      <c r="AK656" s="2">
        <v>0.52912762313057304</v>
      </c>
      <c r="AL656" s="2">
        <v>0.334255530779973</v>
      </c>
      <c r="AM656" s="2">
        <v>0.59818249940872203</v>
      </c>
      <c r="AN656" s="2">
        <v>0.54640597105026301</v>
      </c>
      <c r="AO656" s="2">
        <v>0.37983515858650202</v>
      </c>
      <c r="AP656" s="2">
        <v>0.85893511772155795</v>
      </c>
    </row>
    <row r="657" spans="1:42" x14ac:dyDescent="0.3">
      <c r="A657" t="s">
        <v>250</v>
      </c>
      <c r="B657" s="3">
        <v>2016</v>
      </c>
      <c r="C657" s="3">
        <v>122.251351</v>
      </c>
      <c r="D657" s="3">
        <v>1645.09</v>
      </c>
      <c r="E657" t="s">
        <v>251</v>
      </c>
      <c r="G657" s="3">
        <v>2243219.25</v>
      </c>
      <c r="H657" s="3">
        <v>2796139.5</v>
      </c>
      <c r="I657" s="3">
        <v>2666859.5</v>
      </c>
      <c r="J657" s="3">
        <v>2622502.25</v>
      </c>
      <c r="K657" s="3">
        <v>11914806</v>
      </c>
      <c r="L657" s="3">
        <v>0.121468923985958</v>
      </c>
      <c r="M657" s="3">
        <v>0.70431905984878496</v>
      </c>
      <c r="N657" s="3">
        <v>0.72602951526641901</v>
      </c>
      <c r="O657" s="3">
        <v>2124144</v>
      </c>
      <c r="P657" s="3">
        <v>2646498.5</v>
      </c>
      <c r="Q657" s="3">
        <v>1.07127821445465</v>
      </c>
      <c r="R657" s="3">
        <v>0.34736976027488697</v>
      </c>
      <c r="S657" s="3">
        <v>0.39915639162063599</v>
      </c>
      <c r="T657" s="3">
        <v>0.417057394981384</v>
      </c>
      <c r="U657" s="3">
        <v>0.42411151528358498</v>
      </c>
      <c r="W657" t="s">
        <v>50</v>
      </c>
      <c r="X657" t="s">
        <v>51</v>
      </c>
      <c r="Y657" t="s">
        <v>52</v>
      </c>
      <c r="Z657" t="s">
        <v>53</v>
      </c>
      <c r="AA657" t="s">
        <v>53</v>
      </c>
      <c r="AC657" s="2">
        <v>0.65890896467634796</v>
      </c>
      <c r="AD657" s="2">
        <v>0.68955516815185602</v>
      </c>
      <c r="AE657" s="2">
        <v>0.210836932063103</v>
      </c>
      <c r="AF657" s="2">
        <v>0.16581845283508301</v>
      </c>
      <c r="AG657" s="2">
        <v>0.24056978523731201</v>
      </c>
      <c r="AH657" s="2">
        <v>-0.27010166645050099</v>
      </c>
      <c r="AI657" s="2">
        <v>-3.6678615957498599E-2</v>
      </c>
      <c r="AJ657" s="2">
        <v>0.423958157575062</v>
      </c>
      <c r="AK657" s="2">
        <v>0.489682405387593</v>
      </c>
      <c r="AL657" s="2">
        <v>0.29601840123444001</v>
      </c>
      <c r="AM657" s="2">
        <v>0.59272640943527199</v>
      </c>
      <c r="AN657" s="2">
        <v>0.546444892883301</v>
      </c>
      <c r="AO657" s="2">
        <v>0.34889662265777599</v>
      </c>
      <c r="AP657" s="2">
        <v>0.77350163459777799</v>
      </c>
    </row>
    <row r="658" spans="1:42" x14ac:dyDescent="0.3">
      <c r="A658" t="s">
        <v>250</v>
      </c>
      <c r="B658" s="3">
        <v>2017</v>
      </c>
      <c r="C658" s="3">
        <v>123.400057</v>
      </c>
      <c r="D658" s="3">
        <v>1648.54</v>
      </c>
      <c r="E658" t="s">
        <v>251</v>
      </c>
      <c r="G658" s="3">
        <v>2224015</v>
      </c>
      <c r="H658" s="3">
        <v>2778610</v>
      </c>
      <c r="I658" s="3">
        <v>2688707.5</v>
      </c>
      <c r="J658" s="3">
        <v>2644309.25</v>
      </c>
      <c r="K658" s="3">
        <v>12151129</v>
      </c>
      <c r="L658" s="3">
        <v>0.121941223740578</v>
      </c>
      <c r="M658" s="3">
        <v>0.68862748146057096</v>
      </c>
      <c r="N658" s="3">
        <v>0.69684183597564697</v>
      </c>
      <c r="O658" s="3">
        <v>2156574.25</v>
      </c>
      <c r="P658" s="3">
        <v>2676137.75</v>
      </c>
      <c r="Q658" s="3">
        <v>1.0655592679977399</v>
      </c>
      <c r="R658" s="3">
        <v>0.33644470572471602</v>
      </c>
      <c r="S658" s="3">
        <v>0.42537683248519897</v>
      </c>
      <c r="T658" s="3">
        <v>0.44286021590232899</v>
      </c>
      <c r="U658" s="3">
        <v>0.45029586553573597</v>
      </c>
      <c r="W658" t="s">
        <v>51</v>
      </c>
      <c r="X658" t="s">
        <v>51</v>
      </c>
      <c r="Y658" t="s">
        <v>52</v>
      </c>
      <c r="Z658" t="s">
        <v>53</v>
      </c>
      <c r="AA658" t="s">
        <v>53</v>
      </c>
      <c r="AC658" s="2">
        <v>0.65337357881416303</v>
      </c>
      <c r="AD658" s="2">
        <v>0.67875015735626198</v>
      </c>
      <c r="AE658" s="2">
        <v>0.20973156392574299</v>
      </c>
      <c r="AF658" s="2">
        <v>0.162306934595108</v>
      </c>
      <c r="AG658" s="2">
        <v>0.25320407748222401</v>
      </c>
      <c r="AH658" s="2">
        <v>-0.27979287505149802</v>
      </c>
      <c r="AI658" s="2">
        <v>-2.4199919775128399E-2</v>
      </c>
      <c r="AJ658" s="2">
        <v>0.45268869764602199</v>
      </c>
      <c r="AK658" s="2">
        <v>0.51297125924148501</v>
      </c>
      <c r="AL658" s="2">
        <v>0.31116160453457498</v>
      </c>
      <c r="AM658" s="2">
        <v>0.61144953966140803</v>
      </c>
      <c r="AN658" s="2">
        <v>0.56820970773696899</v>
      </c>
      <c r="AO658" s="2">
        <v>0.37565812468528798</v>
      </c>
      <c r="AP658" s="2">
        <v>0.80840724706649802</v>
      </c>
    </row>
    <row r="659" spans="1:42" x14ac:dyDescent="0.3">
      <c r="A659" t="s">
        <v>250</v>
      </c>
      <c r="B659" s="3">
        <v>2018</v>
      </c>
      <c r="C659" s="3">
        <v>124.573711</v>
      </c>
      <c r="D659" s="3">
        <v>1648.55</v>
      </c>
      <c r="E659" t="s">
        <v>251</v>
      </c>
      <c r="G659" s="3">
        <v>2225056</v>
      </c>
      <c r="H659" s="3">
        <v>2753862.75</v>
      </c>
      <c r="I659" s="3">
        <v>2696566</v>
      </c>
      <c r="J659" s="3">
        <v>2648455.25</v>
      </c>
      <c r="K659" s="3">
        <v>11721068</v>
      </c>
      <c r="L659" s="3">
        <v>0.115487098693848</v>
      </c>
      <c r="M659" s="3">
        <v>0.68953138589858998</v>
      </c>
      <c r="N659" s="3">
        <v>0.69015967845916804</v>
      </c>
      <c r="O659" s="3">
        <v>2192965.75</v>
      </c>
      <c r="P659" s="3">
        <v>2707637</v>
      </c>
      <c r="Q659" s="3">
        <v>1.05838358402252</v>
      </c>
      <c r="R659" s="3">
        <v>0.33817848563194303</v>
      </c>
      <c r="S659" s="3">
        <v>0.44405454397201499</v>
      </c>
      <c r="T659" s="3">
        <v>0.46588891744613697</v>
      </c>
      <c r="U659" s="3">
        <v>0.47435212135314903</v>
      </c>
      <c r="W659" t="s">
        <v>50</v>
      </c>
      <c r="X659" t="s">
        <v>51</v>
      </c>
      <c r="Y659" t="s">
        <v>52</v>
      </c>
      <c r="Z659" t="s">
        <v>53</v>
      </c>
      <c r="AA659" t="s">
        <v>53</v>
      </c>
      <c r="AC659" s="2">
        <v>0.64825969565085495</v>
      </c>
      <c r="AD659" s="2">
        <v>0.67587876319885298</v>
      </c>
      <c r="AE659" s="2">
        <v>0.199666067957878</v>
      </c>
      <c r="AF659" s="2">
        <v>0.16425478458404499</v>
      </c>
      <c r="AG659" s="2">
        <v>0.27063477039337203</v>
      </c>
      <c r="AH659" s="2">
        <v>-0.300019800662994</v>
      </c>
      <c r="AI659" s="2">
        <v>-1.0414629243314299E-2</v>
      </c>
      <c r="AJ659" s="2">
        <v>0.47297040647490302</v>
      </c>
      <c r="AK659" s="2">
        <v>0.55776112888418805</v>
      </c>
      <c r="AL659" s="2">
        <v>0.32507103908598001</v>
      </c>
      <c r="AM659" s="2">
        <v>0.628775954246521</v>
      </c>
      <c r="AN659" s="2">
        <v>0.58431965112686202</v>
      </c>
      <c r="AO659" s="2">
        <v>0.41874456405639698</v>
      </c>
      <c r="AP659" s="2">
        <v>0.851268470287323</v>
      </c>
    </row>
    <row r="660" spans="1:42" x14ac:dyDescent="0.3">
      <c r="A660" t="s">
        <v>250</v>
      </c>
      <c r="B660" s="3">
        <v>2019</v>
      </c>
      <c r="C660" s="3">
        <v>125.76298199999999</v>
      </c>
      <c r="D660" s="3">
        <v>1639.34</v>
      </c>
      <c r="E660" t="s">
        <v>251</v>
      </c>
      <c r="G660" s="3">
        <v>2188350.5</v>
      </c>
      <c r="H660" s="3">
        <v>2670120.25</v>
      </c>
      <c r="I660" s="3">
        <v>2660051.25</v>
      </c>
      <c r="J660" s="3">
        <v>2589388.25</v>
      </c>
      <c r="K660" s="3">
        <v>11289543</v>
      </c>
      <c r="L660" s="3">
        <v>0.1085559502244</v>
      </c>
      <c r="M660" s="3">
        <v>0.678450226783752</v>
      </c>
      <c r="N660" s="3">
        <v>0.673212170600891</v>
      </c>
      <c r="O660" s="3">
        <v>2204327.5</v>
      </c>
      <c r="P660" s="3">
        <v>2692078.25</v>
      </c>
      <c r="Q660" s="3">
        <v>1.0322597026825</v>
      </c>
      <c r="R660" s="3">
        <v>0.34772375226020802</v>
      </c>
      <c r="S660" s="3">
        <v>0.46619680523872398</v>
      </c>
      <c r="T660" s="3">
        <v>0.49025601148605302</v>
      </c>
      <c r="U660" s="3">
        <v>0.50363481044769298</v>
      </c>
      <c r="W660" t="s">
        <v>50</v>
      </c>
      <c r="X660" t="s">
        <v>54</v>
      </c>
      <c r="Y660" t="s">
        <v>52</v>
      </c>
      <c r="Z660" t="s">
        <v>53</v>
      </c>
      <c r="AA660" t="s">
        <v>53</v>
      </c>
      <c r="AC660" s="2">
        <v>0.62361963663595998</v>
      </c>
      <c r="AD660" s="2">
        <v>0.67900282144546498</v>
      </c>
      <c r="AE660" s="2">
        <v>0.18605542182922399</v>
      </c>
      <c r="AF660" s="2">
        <v>0.1661197245121</v>
      </c>
      <c r="AG660" s="2">
        <v>0.28121742606163003</v>
      </c>
      <c r="AH660" s="2">
        <v>-0.30445787310600297</v>
      </c>
      <c r="AI660" s="2">
        <v>-7.9375170171260799E-3</v>
      </c>
      <c r="AJ660" s="2">
        <v>0.49786268815116902</v>
      </c>
      <c r="AK660" s="2">
        <v>0.59954060035826495</v>
      </c>
      <c r="AL660" s="2">
        <v>0.33676476186908</v>
      </c>
      <c r="AM660" s="2">
        <v>0.63267779350280795</v>
      </c>
      <c r="AN660" s="2">
        <v>0.57751429080963101</v>
      </c>
      <c r="AO660" s="2">
        <v>0.45334455370902998</v>
      </c>
      <c r="AP660" s="2">
        <v>0.89126569032669101</v>
      </c>
    </row>
    <row r="661" spans="1:42" x14ac:dyDescent="0.3">
      <c r="A661" t="s">
        <v>250</v>
      </c>
      <c r="B661" s="3">
        <v>2020</v>
      </c>
      <c r="C661" s="3">
        <v>126.799054</v>
      </c>
      <c r="D661" s="3">
        <v>1587.37</v>
      </c>
      <c r="E661" t="s">
        <v>251</v>
      </c>
      <c r="G661" s="3">
        <v>2021483.75</v>
      </c>
      <c r="H661" s="3">
        <v>2414362</v>
      </c>
      <c r="I661" s="3">
        <v>2448935.5</v>
      </c>
      <c r="J661" s="3">
        <v>2380301</v>
      </c>
      <c r="K661" s="3">
        <v>10760763</v>
      </c>
      <c r="L661" s="3">
        <v>9.8881475627422305E-2</v>
      </c>
      <c r="M661" s="3">
        <v>0.67669069766998302</v>
      </c>
      <c r="N661" s="3">
        <v>0.65845263004303001</v>
      </c>
      <c r="O661" s="3">
        <v>2016192.875</v>
      </c>
      <c r="P661" s="3">
        <v>2403555.25</v>
      </c>
      <c r="Q661" s="3">
        <v>0.97714704275131203</v>
      </c>
      <c r="R661" s="3">
        <v>0.37029710412025502</v>
      </c>
      <c r="S661" s="3">
        <v>0.43451833724975603</v>
      </c>
      <c r="T661" s="3">
        <v>0.45777636766433699</v>
      </c>
      <c r="U661" s="3">
        <v>0.47097605466842701</v>
      </c>
      <c r="W661" t="s">
        <v>50</v>
      </c>
      <c r="X661" t="s">
        <v>54</v>
      </c>
      <c r="Y661" t="s">
        <v>52</v>
      </c>
      <c r="Z661" t="s">
        <v>53</v>
      </c>
      <c r="AA661" t="s">
        <v>53</v>
      </c>
      <c r="AC661" s="2">
        <v>0.63695629174632595</v>
      </c>
      <c r="AD661" s="2">
        <v>0.66694045066833496</v>
      </c>
      <c r="AE661" s="2">
        <v>0.16505402326583901</v>
      </c>
      <c r="AF661" s="2">
        <v>0.18231505155563399</v>
      </c>
      <c r="AG661" s="2">
        <v>0.28153765201568598</v>
      </c>
      <c r="AH661" s="2">
        <v>-0.28756666183471702</v>
      </c>
      <c r="AI661" s="2">
        <v>-8.2805184647440893E-3</v>
      </c>
      <c r="AJ661" s="2">
        <v>0.46716756266175202</v>
      </c>
      <c r="AK661" s="2">
        <v>0.57744618171886997</v>
      </c>
      <c r="AL661" s="2">
        <v>0.31508176923577202</v>
      </c>
      <c r="AM661" s="2">
        <v>0.60180258750915505</v>
      </c>
      <c r="AN661" s="2">
        <v>0.55250161886215199</v>
      </c>
      <c r="AO661" s="2">
        <v>0.46051216125488298</v>
      </c>
      <c r="AP661" s="2">
        <v>0.84776675701141402</v>
      </c>
    </row>
    <row r="662" spans="1:42" x14ac:dyDescent="0.3">
      <c r="A662" t="s">
        <v>252</v>
      </c>
      <c r="B662" s="3">
        <v>2015</v>
      </c>
      <c r="C662" s="3">
        <v>1.9803660000000001</v>
      </c>
      <c r="D662" s="3">
        <v>2097.73</v>
      </c>
      <c r="E662" t="s">
        <v>253</v>
      </c>
      <c r="G662" s="3">
        <v>28988.919921875</v>
      </c>
      <c r="H662" s="3">
        <v>37351.53515625</v>
      </c>
      <c r="I662" s="3">
        <v>32137.962890625</v>
      </c>
      <c r="J662" s="3">
        <v>32390.96484375</v>
      </c>
      <c r="K662" s="3">
        <v>144341.0625</v>
      </c>
      <c r="L662" s="3">
        <v>1.4218342257663599E-3</v>
      </c>
      <c r="M662" s="3"/>
      <c r="N662" s="3"/>
      <c r="O662" s="3">
        <v>30098.8046875</v>
      </c>
      <c r="P662" s="3">
        <v>40245.99609375</v>
      </c>
      <c r="Q662" s="3"/>
      <c r="R662" s="3">
        <v>0.490457683801651</v>
      </c>
      <c r="S662" s="3">
        <v>0.29795029759406999</v>
      </c>
      <c r="T662" s="3">
        <v>0.313165843486786</v>
      </c>
      <c r="U662" s="3">
        <v>0.31071975827217102</v>
      </c>
      <c r="W662" t="s">
        <v>50</v>
      </c>
      <c r="X662" t="s">
        <v>51</v>
      </c>
      <c r="Y662" t="s">
        <v>52</v>
      </c>
      <c r="Z662" t="s">
        <v>53</v>
      </c>
      <c r="AA662" t="s">
        <v>53</v>
      </c>
      <c r="AC662" s="2">
        <v>0.63428493326479396</v>
      </c>
      <c r="AD662" s="2">
        <v>0.617115437984467</v>
      </c>
      <c r="AE662" s="2">
        <v>0.258177429437637</v>
      </c>
      <c r="AF662" s="2">
        <v>0.27785387635231001</v>
      </c>
      <c r="AG662" s="2">
        <v>0.26826566457748402</v>
      </c>
      <c r="AH662" s="2">
        <v>-0.42141240835189803</v>
      </c>
      <c r="AI662" s="2">
        <v>-1.8073298167264701E-16</v>
      </c>
      <c r="AJ662" s="2">
        <v>0.346624695363975</v>
      </c>
      <c r="AK662" s="2">
        <v>0.36591042641931298</v>
      </c>
      <c r="AL662" s="2">
        <v>0.189844125877588</v>
      </c>
      <c r="AM662" s="2">
        <v>0.56451058387756403</v>
      </c>
      <c r="AN662" s="2">
        <v>0.47897315025329601</v>
      </c>
      <c r="AO662" s="2">
        <v>0.22113417088985399</v>
      </c>
      <c r="AP662" s="2">
        <v>0.481887936592102</v>
      </c>
    </row>
    <row r="663" spans="1:42" x14ac:dyDescent="0.3">
      <c r="A663" t="s">
        <v>252</v>
      </c>
      <c r="B663" s="3">
        <v>2016</v>
      </c>
      <c r="C663" s="3">
        <v>1.9612590000000001</v>
      </c>
      <c r="D663" s="3">
        <v>2097.7600000000002</v>
      </c>
      <c r="E663" t="s">
        <v>253</v>
      </c>
      <c r="G663" s="3">
        <v>29842.330078125</v>
      </c>
      <c r="H663" s="3">
        <v>39228.328125</v>
      </c>
      <c r="I663" s="3">
        <v>34153.80078125</v>
      </c>
      <c r="J663" s="3">
        <v>34436.34375</v>
      </c>
      <c r="K663" s="3">
        <v>148961.203125</v>
      </c>
      <c r="L663" s="3">
        <v>1.4376994222402601E-3</v>
      </c>
      <c r="M663" s="3"/>
      <c r="N663" s="3"/>
      <c r="O663" s="3">
        <v>30745.716796875</v>
      </c>
      <c r="P663" s="3">
        <v>42208.609375</v>
      </c>
      <c r="Q663" s="3"/>
      <c r="R663" s="3">
        <v>0.49739569425582902</v>
      </c>
      <c r="S663" s="3">
        <v>0.29450070858001698</v>
      </c>
      <c r="T663" s="3">
        <v>0.31248247623443598</v>
      </c>
      <c r="U663" s="3">
        <v>0.309918612241745</v>
      </c>
      <c r="W663" t="s">
        <v>50</v>
      </c>
      <c r="X663" t="s">
        <v>51</v>
      </c>
      <c r="Y663" t="s">
        <v>52</v>
      </c>
      <c r="Z663" t="s">
        <v>53</v>
      </c>
      <c r="AA663" t="s">
        <v>53</v>
      </c>
      <c r="AC663" s="2">
        <v>0.58615320738841703</v>
      </c>
      <c r="AD663" s="2">
        <v>0.60923051834106501</v>
      </c>
      <c r="AE663" s="2">
        <v>0.272560775279999</v>
      </c>
      <c r="AF663" s="2">
        <v>0.25736352801322898</v>
      </c>
      <c r="AG663" s="2">
        <v>0.27780044078826899</v>
      </c>
      <c r="AH663" s="2">
        <v>-0.41695517301559498</v>
      </c>
      <c r="AI663" s="2">
        <v>1.6811967399818501E-12</v>
      </c>
      <c r="AJ663" s="2">
        <v>0.34041612769678198</v>
      </c>
      <c r="AK663" s="2">
        <v>0.36965465323661201</v>
      </c>
      <c r="AL663" s="2">
        <v>0.18580977481734801</v>
      </c>
      <c r="AM663" s="2">
        <v>0.56521427631378196</v>
      </c>
      <c r="AN663" s="2">
        <v>0.48701649904251099</v>
      </c>
      <c r="AO663" s="2">
        <v>0.220455512404442</v>
      </c>
      <c r="AP663" s="2">
        <v>0.48293212056160001</v>
      </c>
    </row>
    <row r="664" spans="1:42" x14ac:dyDescent="0.3">
      <c r="A664" t="s">
        <v>252</v>
      </c>
      <c r="B664" s="3">
        <v>2017</v>
      </c>
      <c r="C664" s="3">
        <v>1.940879</v>
      </c>
      <c r="D664" s="3">
        <v>2128.1799999999998</v>
      </c>
      <c r="E664" t="s">
        <v>253</v>
      </c>
      <c r="G664" s="3">
        <v>30146.751953125</v>
      </c>
      <c r="H664" s="3">
        <v>40010.7421875</v>
      </c>
      <c r="I664" s="3">
        <v>35144.68359375</v>
      </c>
      <c r="J664" s="3">
        <v>34733.73828125</v>
      </c>
      <c r="K664" s="3">
        <v>130558.671875</v>
      </c>
      <c r="L664" s="3">
        <v>1.2690965086221699E-3</v>
      </c>
      <c r="M664" s="3"/>
      <c r="N664" s="3"/>
      <c r="O664" s="3">
        <v>31117.76171875</v>
      </c>
      <c r="P664" s="3">
        <v>42306.0234375</v>
      </c>
      <c r="Q664" s="3"/>
      <c r="R664" s="3">
        <v>0.49471184611320501</v>
      </c>
      <c r="S664" s="3">
        <v>0.30595299601554898</v>
      </c>
      <c r="T664" s="3">
        <v>0.321728885173798</v>
      </c>
      <c r="U664" s="3">
        <v>0.32553541660308799</v>
      </c>
      <c r="W664" t="s">
        <v>51</v>
      </c>
      <c r="X664" t="s">
        <v>51</v>
      </c>
      <c r="Y664" t="s">
        <v>52</v>
      </c>
      <c r="Z664" t="s">
        <v>53</v>
      </c>
      <c r="AA664" t="s">
        <v>53</v>
      </c>
      <c r="AC664" s="2">
        <v>0.55200525499768405</v>
      </c>
      <c r="AD664" s="2">
        <v>0.60715967416763295</v>
      </c>
      <c r="AE664" s="2">
        <v>0.28398877382278398</v>
      </c>
      <c r="AF664" s="2">
        <v>0.26077893376350397</v>
      </c>
      <c r="AG664" s="2">
        <v>0.30517396330833402</v>
      </c>
      <c r="AH664" s="2">
        <v>-0.457100600004196</v>
      </c>
      <c r="AI664" s="2">
        <v>-6.9190753038128605E-7</v>
      </c>
      <c r="AJ664" s="2">
        <v>0.35736304174237499</v>
      </c>
      <c r="AK664" s="2">
        <v>0.369943876858146</v>
      </c>
      <c r="AL664" s="2">
        <v>0.186257378219954</v>
      </c>
      <c r="AM664" s="2">
        <v>0.58825242519378695</v>
      </c>
      <c r="AN664" s="2">
        <v>0.49134048819541898</v>
      </c>
      <c r="AO664" s="2">
        <v>0.22764767706394201</v>
      </c>
      <c r="AP664" s="2">
        <v>0.56167834997177102</v>
      </c>
    </row>
    <row r="665" spans="1:42" x14ac:dyDescent="0.3">
      <c r="A665" t="s">
        <v>252</v>
      </c>
      <c r="B665" s="3">
        <v>2018</v>
      </c>
      <c r="C665" s="3">
        <v>1.9197280000000001</v>
      </c>
      <c r="D665" s="3">
        <v>2076.36</v>
      </c>
      <c r="E665" t="s">
        <v>253</v>
      </c>
      <c r="G665" s="3">
        <v>30420.294921875</v>
      </c>
      <c r="H665" s="3">
        <v>41448.109375</v>
      </c>
      <c r="I665" s="3">
        <v>36854.19921875</v>
      </c>
      <c r="J665" s="3">
        <v>36134.99609375</v>
      </c>
      <c r="K665" s="3">
        <v>167379.4375</v>
      </c>
      <c r="L665" s="3">
        <v>1.58403441309929E-3</v>
      </c>
      <c r="M665" s="3"/>
      <c r="N665" s="3"/>
      <c r="O665" s="3">
        <v>32140.74609375</v>
      </c>
      <c r="P665" s="3">
        <v>43500.71875</v>
      </c>
      <c r="Q665" s="3"/>
      <c r="R665" s="3">
        <v>0.49671542644500699</v>
      </c>
      <c r="S665" s="3">
        <v>0.33411043882370001</v>
      </c>
      <c r="T665" s="3">
        <v>0.34414172172546398</v>
      </c>
      <c r="U665" s="3">
        <v>0.35099127888679499</v>
      </c>
      <c r="W665" t="s">
        <v>50</v>
      </c>
      <c r="X665" t="s">
        <v>51</v>
      </c>
      <c r="Y665" t="s">
        <v>52</v>
      </c>
      <c r="Z665" t="s">
        <v>53</v>
      </c>
      <c r="AA665" t="s">
        <v>53</v>
      </c>
      <c r="AC665" s="2">
        <v>0.569190918047768</v>
      </c>
      <c r="AD665" s="2">
        <v>0.59119915962219205</v>
      </c>
      <c r="AE665" s="2">
        <v>0.30518373847007801</v>
      </c>
      <c r="AF665" s="2">
        <v>0.25065216422080999</v>
      </c>
      <c r="AG665" s="2">
        <v>0.34888041019439697</v>
      </c>
      <c r="AH665" s="2">
        <v>-0.49591398239135698</v>
      </c>
      <c r="AI665" s="2">
        <v>-1.51313838614442E-6</v>
      </c>
      <c r="AJ665" s="2">
        <v>0.390962486511159</v>
      </c>
      <c r="AK665" s="2">
        <v>0.37181306012554499</v>
      </c>
      <c r="AL665" s="2">
        <v>0.200016740499321</v>
      </c>
      <c r="AM665" s="2">
        <v>0.60740429162979104</v>
      </c>
      <c r="AN665" s="2">
        <v>0.51553755998611495</v>
      </c>
      <c r="AO665" s="2">
        <v>0.23342725634574901</v>
      </c>
      <c r="AP665" s="2">
        <v>0.476473838090897</v>
      </c>
    </row>
    <row r="666" spans="1:42" x14ac:dyDescent="0.3">
      <c r="A666" t="s">
        <v>252</v>
      </c>
      <c r="B666" s="3">
        <v>2019</v>
      </c>
      <c r="C666" s="3">
        <v>1.8976409999999999</v>
      </c>
      <c r="D666" s="3">
        <v>2040.98</v>
      </c>
      <c r="E666" t="s">
        <v>253</v>
      </c>
      <c r="G666" s="3">
        <v>32234.619140625</v>
      </c>
      <c r="H666" s="3">
        <v>44609.234375</v>
      </c>
      <c r="I666" s="3">
        <v>39213.41796875</v>
      </c>
      <c r="J666" s="3">
        <v>38654.3828125</v>
      </c>
      <c r="K666" s="3">
        <v>172672.0625</v>
      </c>
      <c r="L666" s="3">
        <v>1.5885464381426601E-3</v>
      </c>
      <c r="M666" s="3"/>
      <c r="N666" s="3"/>
      <c r="O666" s="3">
        <v>33270.95703125</v>
      </c>
      <c r="P666" s="3">
        <v>45784.83984375</v>
      </c>
      <c r="Q666" s="3"/>
      <c r="R666" s="3">
        <v>0.50137728452682495</v>
      </c>
      <c r="S666" s="3">
        <v>0.31090918183326699</v>
      </c>
      <c r="T666" s="3">
        <v>0.32148021459579501</v>
      </c>
      <c r="U666" s="3">
        <v>0.32612958550453203</v>
      </c>
      <c r="W666" t="s">
        <v>50</v>
      </c>
      <c r="X666" t="s">
        <v>54</v>
      </c>
      <c r="Y666" t="s">
        <v>52</v>
      </c>
      <c r="Z666" t="s">
        <v>53</v>
      </c>
      <c r="AA666" t="s">
        <v>53</v>
      </c>
      <c r="AC666" s="2">
        <v>0.58128175264206905</v>
      </c>
      <c r="AD666" s="2">
        <v>0.59450876712799094</v>
      </c>
      <c r="AE666" s="2">
        <v>0.320134848356247</v>
      </c>
      <c r="AF666" s="2">
        <v>0.23941005766391801</v>
      </c>
      <c r="AG666" s="2">
        <v>0.35851579904556302</v>
      </c>
      <c r="AH666" s="2">
        <v>-0.51256948709487904</v>
      </c>
      <c r="AI666" s="2">
        <v>0</v>
      </c>
      <c r="AJ666" s="2">
        <v>0.35932722044402199</v>
      </c>
      <c r="AK666" s="2">
        <v>0.34901660989731798</v>
      </c>
      <c r="AL666" s="2">
        <v>0.19067639833165201</v>
      </c>
      <c r="AM666" s="2">
        <v>0.56770485639572099</v>
      </c>
      <c r="AN666" s="2">
        <v>0.48463079333305398</v>
      </c>
      <c r="AO666" s="2">
        <v>0.22367043793201399</v>
      </c>
      <c r="AP666" s="2">
        <v>0.45006728172302202</v>
      </c>
    </row>
    <row r="667" spans="1:42" x14ac:dyDescent="0.3">
      <c r="A667" t="s">
        <v>252</v>
      </c>
      <c r="B667" s="3">
        <v>2020</v>
      </c>
      <c r="C667" s="3">
        <v>1.872015</v>
      </c>
      <c r="D667" s="3">
        <v>1818.48</v>
      </c>
      <c r="E667" t="s">
        <v>253</v>
      </c>
      <c r="G667" s="3">
        <v>31936.021484375</v>
      </c>
      <c r="H667" s="3">
        <v>42109.38671875</v>
      </c>
      <c r="I667" s="3">
        <v>37364.71484375</v>
      </c>
      <c r="J667" s="3">
        <v>36981.83203125</v>
      </c>
      <c r="K667" s="3">
        <v>169649.984375</v>
      </c>
      <c r="L667" s="3">
        <v>1.4869812875986099E-3</v>
      </c>
      <c r="M667" s="3"/>
      <c r="N667" s="3"/>
      <c r="O667" s="3">
        <v>32878.00390625</v>
      </c>
      <c r="P667" s="3">
        <v>43339.5078125</v>
      </c>
      <c r="Q667" s="3"/>
      <c r="R667" s="3">
        <v>0.52481281757354703</v>
      </c>
      <c r="S667" s="3">
        <v>0.32040807604789701</v>
      </c>
      <c r="T667" s="3">
        <v>0.33082112669944802</v>
      </c>
      <c r="U667" s="3">
        <v>0.33424618840217601</v>
      </c>
      <c r="W667" t="s">
        <v>50</v>
      </c>
      <c r="X667" t="s">
        <v>54</v>
      </c>
      <c r="Y667" t="s">
        <v>52</v>
      </c>
      <c r="Z667" t="s">
        <v>53</v>
      </c>
      <c r="AA667" t="s">
        <v>53</v>
      </c>
      <c r="AC667" s="2">
        <v>0.59523727537298499</v>
      </c>
      <c r="AD667" s="2">
        <v>0.58707028627395597</v>
      </c>
      <c r="AE667" s="2">
        <v>0.275090903043747</v>
      </c>
      <c r="AF667" s="2">
        <v>0.27648949623107899</v>
      </c>
      <c r="AG667" s="2">
        <v>0.33171689510345498</v>
      </c>
      <c r="AH667" s="2">
        <v>-0.470367521047592</v>
      </c>
      <c r="AI667" s="2">
        <v>1.47155086866049E-16</v>
      </c>
      <c r="AJ667" s="2">
        <v>0.37600767415191699</v>
      </c>
      <c r="AK667" s="2">
        <v>0.363509596193968</v>
      </c>
      <c r="AL667" s="2">
        <v>0.202353386049968</v>
      </c>
      <c r="AM667" s="2">
        <v>0.58211988210678101</v>
      </c>
      <c r="AN667" s="2">
        <v>0.50076264142990101</v>
      </c>
      <c r="AO667" s="2">
        <v>0.23461346328258501</v>
      </c>
      <c r="AP667" s="2">
        <v>0.46907150745391801</v>
      </c>
    </row>
    <row r="668" spans="1:42" x14ac:dyDescent="0.3">
      <c r="A668" t="s">
        <v>254</v>
      </c>
      <c r="B668" s="3">
        <v>2015</v>
      </c>
      <c r="C668" s="3">
        <v>18.593022000000001</v>
      </c>
      <c r="D668" s="3">
        <v>2214.04</v>
      </c>
      <c r="E668" t="s">
        <v>82</v>
      </c>
      <c r="G668" s="3">
        <v>39612.9375</v>
      </c>
      <c r="H668" s="3">
        <v>45597.890625</v>
      </c>
      <c r="I668" s="3">
        <v>39460.8515625</v>
      </c>
      <c r="J668" s="3">
        <v>38432.9609375</v>
      </c>
      <c r="K668" s="3">
        <v>59636.9296875</v>
      </c>
      <c r="L668" s="3"/>
      <c r="M668" s="3"/>
      <c r="N668" s="3"/>
      <c r="O668" s="3">
        <v>38185.6015625</v>
      </c>
      <c r="P668" s="3">
        <v>43180.80078125</v>
      </c>
      <c r="Q668" s="3"/>
      <c r="R668" s="3"/>
      <c r="S668" s="3">
        <v>0.313588947057724</v>
      </c>
      <c r="T668" s="3">
        <v>0.33209532499313399</v>
      </c>
      <c r="U668" s="3">
        <v>0.34097725152969399</v>
      </c>
      <c r="W668" t="s">
        <v>50</v>
      </c>
      <c r="X668" t="s">
        <v>51</v>
      </c>
      <c r="Y668" t="s">
        <v>52</v>
      </c>
      <c r="Z668" t="s">
        <v>53</v>
      </c>
      <c r="AC668" s="2">
        <v>0.44607722472725903</v>
      </c>
      <c r="AD668" s="2">
        <v>0.85599964857101396</v>
      </c>
      <c r="AE668" s="2">
        <v>0.15572449564933799</v>
      </c>
      <c r="AF668" s="2">
        <v>0.17470256984233901</v>
      </c>
      <c r="AG668" s="2">
        <v>0.163947403430939</v>
      </c>
      <c r="AH668" s="2">
        <v>-0.14883229136466999</v>
      </c>
      <c r="AI668" s="2">
        <v>-0.20154185593128199</v>
      </c>
      <c r="AJ668" s="2">
        <v>0.31237578517800901</v>
      </c>
      <c r="AK668" s="2">
        <v>0.45458443872693099</v>
      </c>
      <c r="AL668" s="2">
        <v>0.31953313102601699</v>
      </c>
      <c r="AM668" s="2">
        <v>0.56770199537277199</v>
      </c>
      <c r="AN668" s="2">
        <v>0.51992493867874201</v>
      </c>
      <c r="AO668" s="2">
        <v>0.27564603090286299</v>
      </c>
      <c r="AP668" s="2"/>
    </row>
    <row r="669" spans="1:42" x14ac:dyDescent="0.3">
      <c r="A669" t="s">
        <v>254</v>
      </c>
      <c r="B669" s="3">
        <v>2016</v>
      </c>
      <c r="C669" s="3">
        <v>19.191289000000001</v>
      </c>
      <c r="D669" s="3">
        <v>2242.46</v>
      </c>
      <c r="E669" t="s">
        <v>82</v>
      </c>
      <c r="G669" s="3">
        <v>43159.11328125</v>
      </c>
      <c r="H669" s="3">
        <v>50480.5</v>
      </c>
      <c r="I669" s="3">
        <v>43190.9609375</v>
      </c>
      <c r="J669" s="3">
        <v>43369.81640625</v>
      </c>
      <c r="K669" s="3">
        <v>64046.875</v>
      </c>
      <c r="L669" s="3"/>
      <c r="M669" s="3"/>
      <c r="N669" s="3"/>
      <c r="O669" s="3">
        <v>41169.6015625</v>
      </c>
      <c r="P669" s="3">
        <v>47983.41796875</v>
      </c>
      <c r="Q669" s="3"/>
      <c r="R669" s="3"/>
      <c r="S669" s="3">
        <v>0.30195888876915</v>
      </c>
      <c r="T669" s="3">
        <v>0.32474499940872198</v>
      </c>
      <c r="U669" s="3">
        <v>0.32340571284294101</v>
      </c>
      <c r="W669" t="s">
        <v>50</v>
      </c>
      <c r="X669" t="s">
        <v>51</v>
      </c>
      <c r="Y669" t="s">
        <v>52</v>
      </c>
      <c r="Z669" t="s">
        <v>53</v>
      </c>
      <c r="AC669" s="2">
        <v>0.463605212952023</v>
      </c>
      <c r="AD669" s="2">
        <v>0.82843941450118996</v>
      </c>
      <c r="AE669" s="2">
        <v>0.16881299018859899</v>
      </c>
      <c r="AF669" s="2">
        <v>0.166702255606651</v>
      </c>
      <c r="AG669" s="2">
        <v>0.116678647696972</v>
      </c>
      <c r="AH669" s="2">
        <v>-0.18299846351146701</v>
      </c>
      <c r="AI669" s="2">
        <v>-9.7634844481944996E-2</v>
      </c>
      <c r="AJ669" s="2">
        <v>0.299320422328403</v>
      </c>
      <c r="AK669" s="2">
        <v>0.45906765248144699</v>
      </c>
      <c r="AL669" s="2">
        <v>0.31507096314003302</v>
      </c>
      <c r="AM669" s="2">
        <v>0.56272864341735795</v>
      </c>
      <c r="AN669" s="2">
        <v>0.48451480269432101</v>
      </c>
      <c r="AO669" s="2">
        <v>0.27604421973228499</v>
      </c>
      <c r="AP669" s="2"/>
    </row>
    <row r="670" spans="1:42" x14ac:dyDescent="0.3">
      <c r="A670" t="s">
        <v>254</v>
      </c>
      <c r="B670" s="3">
        <v>2017</v>
      </c>
      <c r="C670" s="3">
        <v>19.813010999999999</v>
      </c>
      <c r="D670" s="3">
        <v>2187.87</v>
      </c>
      <c r="E670" t="s">
        <v>82</v>
      </c>
      <c r="G670" s="3">
        <v>45178.12109375</v>
      </c>
      <c r="H670" s="3">
        <v>52165.30078125</v>
      </c>
      <c r="I670" s="3">
        <v>45903.89453125</v>
      </c>
      <c r="J670" s="3">
        <v>47789.2578125</v>
      </c>
      <c r="K670" s="3">
        <v>74928.59375</v>
      </c>
      <c r="L670" s="3"/>
      <c r="M670" s="3"/>
      <c r="N670" s="3"/>
      <c r="O670" s="3">
        <v>42361.12109375</v>
      </c>
      <c r="P670" s="3">
        <v>46693.3828125</v>
      </c>
      <c r="Q670" s="3"/>
      <c r="R670" s="3"/>
      <c r="S670" s="3">
        <v>0.31307852268219</v>
      </c>
      <c r="T670" s="3">
        <v>0.33473661541938798</v>
      </c>
      <c r="U670" s="3">
        <v>0.32153066992759699</v>
      </c>
      <c r="W670" t="s">
        <v>51</v>
      </c>
      <c r="X670" t="s">
        <v>51</v>
      </c>
      <c r="Y670" t="s">
        <v>52</v>
      </c>
      <c r="Z670" t="s">
        <v>53</v>
      </c>
      <c r="AC670" s="2">
        <v>0.489668521825039</v>
      </c>
      <c r="AD670" s="2">
        <v>0.78570592403411899</v>
      </c>
      <c r="AE670" s="2">
        <v>0.14620821177959401</v>
      </c>
      <c r="AF670" s="2">
        <v>0.159655541181564</v>
      </c>
      <c r="AG670" s="2">
        <v>6.9704696536064203E-2</v>
      </c>
      <c r="AH670" s="2">
        <v>-0.183265671133995</v>
      </c>
      <c r="AI670" s="2">
        <v>2.1991299465298701E-2</v>
      </c>
      <c r="AJ670" s="2">
        <v>0.31046607915875901</v>
      </c>
      <c r="AK670" s="2">
        <v>0.47477466364353399</v>
      </c>
      <c r="AL670" s="2">
        <v>0.32593503184303302</v>
      </c>
      <c r="AM670" s="2">
        <v>0.57119566202163696</v>
      </c>
      <c r="AN670" s="2">
        <v>0.49514740705490101</v>
      </c>
      <c r="AO670" s="2">
        <v>0.28366553783416798</v>
      </c>
      <c r="AP670" s="2"/>
    </row>
    <row r="671" spans="1:42" x14ac:dyDescent="0.3">
      <c r="A671" t="s">
        <v>254</v>
      </c>
      <c r="B671" s="3">
        <v>2018</v>
      </c>
      <c r="C671" s="3">
        <v>20.442029999999999</v>
      </c>
      <c r="D671" s="3">
        <v>2201.79</v>
      </c>
      <c r="E671" t="s">
        <v>82</v>
      </c>
      <c r="G671" s="3">
        <v>46964.29296875</v>
      </c>
      <c r="H671" s="3">
        <v>53660.875</v>
      </c>
      <c r="I671" s="3">
        <v>48299.6015625</v>
      </c>
      <c r="J671" s="3">
        <v>50362.61328125</v>
      </c>
      <c r="K671" s="3">
        <v>76927.5703125</v>
      </c>
      <c r="L671" s="3"/>
      <c r="M671" s="3"/>
      <c r="N671" s="3"/>
      <c r="O671" s="3">
        <v>44682.66015625</v>
      </c>
      <c r="P671" s="3">
        <v>49794.2734375</v>
      </c>
      <c r="Q671" s="3"/>
      <c r="R671" s="3"/>
      <c r="S671" s="3">
        <v>0.32947009801864602</v>
      </c>
      <c r="T671" s="3">
        <v>0.35343703627586398</v>
      </c>
      <c r="U671" s="3">
        <v>0.33895915746688798</v>
      </c>
      <c r="W671" t="s">
        <v>50</v>
      </c>
      <c r="X671" t="s">
        <v>51</v>
      </c>
      <c r="Y671" t="s">
        <v>52</v>
      </c>
      <c r="Z671" t="s">
        <v>53</v>
      </c>
      <c r="AC671" s="2">
        <v>0.48478060846017201</v>
      </c>
      <c r="AD671" s="2">
        <v>0.77527004480361905</v>
      </c>
      <c r="AE671" s="2">
        <v>0.13296730816364299</v>
      </c>
      <c r="AF671" s="2">
        <v>0.157252907752991</v>
      </c>
      <c r="AG671" s="2">
        <v>7.9704686999320998E-2</v>
      </c>
      <c r="AH671" s="2">
        <v>-0.17789560556411699</v>
      </c>
      <c r="AI671" s="2">
        <v>3.2700616866350202E-2</v>
      </c>
      <c r="AJ671" s="2">
        <v>0.326881108420991</v>
      </c>
      <c r="AK671" s="2">
        <v>0.52152130811296604</v>
      </c>
      <c r="AL671" s="2">
        <v>0.34223398054568699</v>
      </c>
      <c r="AM671" s="2">
        <v>0.58132880926132202</v>
      </c>
      <c r="AN671" s="2">
        <v>0.53426492214202903</v>
      </c>
      <c r="AO671" s="2">
        <v>0.31460905075073198</v>
      </c>
      <c r="AP671" s="2"/>
    </row>
    <row r="672" spans="1:42" x14ac:dyDescent="0.3">
      <c r="A672" t="s">
        <v>254</v>
      </c>
      <c r="B672" s="3">
        <v>2019</v>
      </c>
      <c r="C672" s="3">
        <v>21.068404999999998</v>
      </c>
      <c r="D672" s="3">
        <v>2211.98</v>
      </c>
      <c r="E672" t="s">
        <v>82</v>
      </c>
      <c r="G672" s="3">
        <v>50363.21875</v>
      </c>
      <c r="H672" s="3">
        <v>58050.515625</v>
      </c>
      <c r="I672" s="3">
        <v>51716.24609375</v>
      </c>
      <c r="J672" s="3">
        <v>53216.91796875</v>
      </c>
      <c r="K672" s="3">
        <v>80174.1640625</v>
      </c>
      <c r="L672" s="3"/>
      <c r="M672" s="3"/>
      <c r="N672" s="3"/>
      <c r="O672" s="3">
        <v>47218.69921875</v>
      </c>
      <c r="P672" s="3">
        <v>54546.7421875</v>
      </c>
      <c r="Q672" s="3"/>
      <c r="R672" s="3"/>
      <c r="S672" s="3">
        <v>0.30782833695411699</v>
      </c>
      <c r="T672" s="3">
        <v>0.33413583040237399</v>
      </c>
      <c r="U672" s="3">
        <v>0.32471346855163602</v>
      </c>
      <c r="W672" t="s">
        <v>50</v>
      </c>
      <c r="X672" t="s">
        <v>54</v>
      </c>
      <c r="Y672" t="s">
        <v>52</v>
      </c>
      <c r="Z672" t="s">
        <v>53</v>
      </c>
      <c r="AC672" s="2">
        <v>0.48314836080885698</v>
      </c>
      <c r="AD672" s="2">
        <v>0.78992199897766102</v>
      </c>
      <c r="AE672" s="2">
        <v>0.144452124834061</v>
      </c>
      <c r="AF672" s="2">
        <v>0.15645405650138899</v>
      </c>
      <c r="AG672" s="2">
        <v>9.1332398355007199E-2</v>
      </c>
      <c r="AH672" s="2">
        <v>-0.21513457596301999</v>
      </c>
      <c r="AI672" s="2">
        <v>3.2973974943160997E-2</v>
      </c>
      <c r="AJ672" s="2">
        <v>0.30408238850644298</v>
      </c>
      <c r="AK672" s="2">
        <v>0.50648901734618801</v>
      </c>
      <c r="AL672" s="2">
        <v>0.32674130276090102</v>
      </c>
      <c r="AM672" s="2">
        <v>0.509440958499908</v>
      </c>
      <c r="AN672" s="2">
        <v>0.450912445783615</v>
      </c>
      <c r="AO672" s="2">
        <v>0.30769890546798701</v>
      </c>
      <c r="AP672" s="2"/>
    </row>
    <row r="673" spans="1:42" x14ac:dyDescent="0.3">
      <c r="A673" t="s">
        <v>254</v>
      </c>
      <c r="B673" s="3">
        <v>2020</v>
      </c>
      <c r="C673" s="3">
        <v>21.713836000000001</v>
      </c>
      <c r="D673" s="3">
        <v>2178.0500000000002</v>
      </c>
      <c r="E673" t="s">
        <v>82</v>
      </c>
      <c r="G673" s="3">
        <v>48796.828125</v>
      </c>
      <c r="H673" s="3">
        <v>54425.54296875</v>
      </c>
      <c r="I673" s="3">
        <v>51080.96875</v>
      </c>
      <c r="J673" s="3">
        <v>50721.5703125</v>
      </c>
      <c r="K673" s="3">
        <v>78343.8359375</v>
      </c>
      <c r="L673" s="3"/>
      <c r="M673" s="3"/>
      <c r="N673" s="3"/>
      <c r="O673" s="3">
        <v>49192.7890625</v>
      </c>
      <c r="P673" s="3">
        <v>54458.4921875</v>
      </c>
      <c r="Q673" s="3"/>
      <c r="R673" s="3"/>
      <c r="S673" s="3">
        <v>0.31930655241012601</v>
      </c>
      <c r="T673" s="3">
        <v>0.34191584587097201</v>
      </c>
      <c r="U673" s="3">
        <v>0.34433859586715698</v>
      </c>
      <c r="W673" t="s">
        <v>50</v>
      </c>
      <c r="X673" t="s">
        <v>54</v>
      </c>
      <c r="Y673" t="s">
        <v>52</v>
      </c>
      <c r="Z673" t="s">
        <v>53</v>
      </c>
      <c r="AC673" s="2">
        <v>0.47770711012670097</v>
      </c>
      <c r="AD673" s="2">
        <v>0.80393594503402699</v>
      </c>
      <c r="AE673" s="2">
        <v>0.11097279191017199</v>
      </c>
      <c r="AF673" s="2">
        <v>0.15811686217784901</v>
      </c>
      <c r="AG673" s="2">
        <v>0.1047388240695</v>
      </c>
      <c r="AH673" s="2">
        <v>-0.23215825855732</v>
      </c>
      <c r="AI673" s="2">
        <v>5.4393805563449901E-2</v>
      </c>
      <c r="AJ673" s="2">
        <v>0.31441011089125798</v>
      </c>
      <c r="AK673" s="2">
        <v>0.53792193302851299</v>
      </c>
      <c r="AL673" s="2">
        <v>0.34420219157521198</v>
      </c>
      <c r="AM673" s="2">
        <v>0.54516524076461803</v>
      </c>
      <c r="AN673" s="2">
        <v>0.42374432086944602</v>
      </c>
      <c r="AO673" s="2">
        <v>0.32452484965324402</v>
      </c>
      <c r="AP673" s="2"/>
    </row>
    <row r="674" spans="1:42" x14ac:dyDescent="0.3">
      <c r="A674" t="s">
        <v>255</v>
      </c>
      <c r="B674" s="3">
        <v>2015</v>
      </c>
      <c r="C674" s="3">
        <v>0.44498100000000002</v>
      </c>
      <c r="D674" s="3">
        <v>1864.76</v>
      </c>
      <c r="E674" t="s">
        <v>74</v>
      </c>
      <c r="G674" s="3">
        <v>12461.1943359375</v>
      </c>
      <c r="H674" s="3">
        <v>17429.2421875</v>
      </c>
      <c r="I674" s="3">
        <v>19423.806640625</v>
      </c>
      <c r="J674" s="3">
        <v>15992.861328125</v>
      </c>
      <c r="K674" s="3">
        <v>54716.98828125</v>
      </c>
      <c r="L674" s="3">
        <v>6.4961513271555305E-4</v>
      </c>
      <c r="M674" s="3">
        <v>0.84400910139083896</v>
      </c>
      <c r="N674" s="3">
        <v>0.88738495111465499</v>
      </c>
      <c r="O674" s="3">
        <v>12879.3681640625</v>
      </c>
      <c r="P674" s="3">
        <v>18388.01953125</v>
      </c>
      <c r="Q674" s="3">
        <v>0.98001736402511597</v>
      </c>
      <c r="R674" s="3">
        <v>0.489420205354691</v>
      </c>
      <c r="S674" s="3">
        <v>0.60317522287368797</v>
      </c>
      <c r="T674" s="3">
        <v>0.58385956287384</v>
      </c>
      <c r="U674" s="3">
        <v>0.709114789962769</v>
      </c>
      <c r="W674" t="s">
        <v>50</v>
      </c>
      <c r="X674" t="s">
        <v>51</v>
      </c>
      <c r="Y674" t="s">
        <v>52</v>
      </c>
      <c r="Z674" t="s">
        <v>53</v>
      </c>
      <c r="AA674" t="s">
        <v>53</v>
      </c>
      <c r="AC674" s="2">
        <v>0.60806746049971105</v>
      </c>
      <c r="AD674" s="2">
        <v>0.54070341587066695</v>
      </c>
      <c r="AE674" s="2">
        <v>0.31064161658287098</v>
      </c>
      <c r="AF674" s="2">
        <v>0.23846887052059201</v>
      </c>
      <c r="AG674" s="2">
        <v>0.40737167000770602</v>
      </c>
      <c r="AH674" s="2">
        <v>-0.85316634178161599</v>
      </c>
      <c r="AI674" s="2">
        <v>0.35598075389862099</v>
      </c>
      <c r="AJ674" s="2">
        <v>0.64714994648957302</v>
      </c>
      <c r="AK674" s="2">
        <v>0.53541069272116004</v>
      </c>
      <c r="AL674" s="2">
        <v>0.50346718998171902</v>
      </c>
      <c r="AM674" s="2">
        <v>0.60098618268966697</v>
      </c>
      <c r="AN674" s="2">
        <v>0.49748730659484902</v>
      </c>
      <c r="AO674" s="2">
        <v>0.39151501655578602</v>
      </c>
      <c r="AP674" s="2">
        <v>1.1908915042877199</v>
      </c>
    </row>
    <row r="675" spans="1:42" x14ac:dyDescent="0.3">
      <c r="A675" t="s">
        <v>255</v>
      </c>
      <c r="B675" s="3">
        <v>2016</v>
      </c>
      <c r="C675" s="3">
        <v>0.45526899999999998</v>
      </c>
      <c r="D675" s="3">
        <v>1915.84</v>
      </c>
      <c r="E675" t="s">
        <v>74</v>
      </c>
      <c r="G675" s="3">
        <v>12805.625</v>
      </c>
      <c r="H675" s="3">
        <v>17740.138671875</v>
      </c>
      <c r="I675" s="3">
        <v>20384.3671875</v>
      </c>
      <c r="J675" s="3">
        <v>16369.86328125</v>
      </c>
      <c r="K675" s="3">
        <v>57671.9296875</v>
      </c>
      <c r="L675" s="3">
        <v>6.8655359791591796E-4</v>
      </c>
      <c r="M675" s="3">
        <v>0.79820865392684903</v>
      </c>
      <c r="N675" s="3">
        <v>0.83631521463394198</v>
      </c>
      <c r="O675" s="3">
        <v>13334.8671875</v>
      </c>
      <c r="P675" s="3">
        <v>18779.697265625</v>
      </c>
      <c r="Q675" s="3">
        <v>0.94631385803222701</v>
      </c>
      <c r="R675" s="3">
        <v>0.50924348831176802</v>
      </c>
      <c r="S675" s="3">
        <v>0.61123484373092696</v>
      </c>
      <c r="T675" s="3">
        <v>0.58994853496551503</v>
      </c>
      <c r="U675" s="3">
        <v>0.73462599515914895</v>
      </c>
      <c r="W675" t="s">
        <v>50</v>
      </c>
      <c r="X675" t="s">
        <v>51</v>
      </c>
      <c r="Y675" t="s">
        <v>52</v>
      </c>
      <c r="Z675" t="s">
        <v>53</v>
      </c>
      <c r="AA675" t="s">
        <v>53</v>
      </c>
      <c r="AC675" s="2">
        <v>0.61373486294273805</v>
      </c>
      <c r="AD675" s="2">
        <v>0.53478670120239302</v>
      </c>
      <c r="AE675" s="2">
        <v>0.30143889784812899</v>
      </c>
      <c r="AF675" s="2">
        <v>0.247481569647789</v>
      </c>
      <c r="AG675" s="2">
        <v>0.41830825805664101</v>
      </c>
      <c r="AH675" s="2">
        <v>-0.89311820268631004</v>
      </c>
      <c r="AI675" s="2">
        <v>0.39110273122787498</v>
      </c>
      <c r="AJ675" s="2">
        <v>0.66136886874991296</v>
      </c>
      <c r="AK675" s="2">
        <v>0.53470822602115697</v>
      </c>
      <c r="AL675" s="2">
        <v>0.50289939717336196</v>
      </c>
      <c r="AM675" s="2">
        <v>0.58978533744812001</v>
      </c>
      <c r="AN675" s="2">
        <v>0.491235971450806</v>
      </c>
      <c r="AO675" s="2">
        <v>0.39531543850898698</v>
      </c>
      <c r="AP675" s="2">
        <v>1.11266958713532</v>
      </c>
    </row>
    <row r="676" spans="1:42" x14ac:dyDescent="0.3">
      <c r="A676" t="s">
        <v>255</v>
      </c>
      <c r="B676" s="3">
        <v>2017</v>
      </c>
      <c r="C676" s="3">
        <v>0.46790199999999998</v>
      </c>
      <c r="D676" s="3">
        <v>1902.36</v>
      </c>
      <c r="E676" t="s">
        <v>74</v>
      </c>
      <c r="G676" s="3">
        <v>13639.3603515625</v>
      </c>
      <c r="H676" s="3">
        <v>18439.060546875</v>
      </c>
      <c r="I676" s="3">
        <v>23108.18359375</v>
      </c>
      <c r="J676" s="3">
        <v>18417.873046875</v>
      </c>
      <c r="K676" s="3">
        <v>60566.99609375</v>
      </c>
      <c r="L676" s="3">
        <v>7.01441720593721E-4</v>
      </c>
      <c r="M676" s="3">
        <v>0.84413421154022195</v>
      </c>
      <c r="N676" s="3">
        <v>0.81385177373886097</v>
      </c>
      <c r="O676" s="3">
        <v>14222.1484375</v>
      </c>
      <c r="P676" s="3">
        <v>19652.7421875</v>
      </c>
      <c r="Q676" s="3">
        <v>1.01597547531128</v>
      </c>
      <c r="R676" s="3">
        <v>0.476870387792587</v>
      </c>
      <c r="S676" s="3">
        <v>0.62955343723297097</v>
      </c>
      <c r="T676" s="3">
        <v>0.61282807588577304</v>
      </c>
      <c r="U676" s="3">
        <v>0.76889145374298096</v>
      </c>
      <c r="W676" t="s">
        <v>51</v>
      </c>
      <c r="X676" t="s">
        <v>51</v>
      </c>
      <c r="Y676" t="s">
        <v>52</v>
      </c>
      <c r="Z676" t="s">
        <v>53</v>
      </c>
      <c r="AA676" t="s">
        <v>53</v>
      </c>
      <c r="AC676" s="2">
        <v>0.62346453441933603</v>
      </c>
      <c r="AD676" s="2">
        <v>0.50147891044616699</v>
      </c>
      <c r="AE676" s="2">
        <v>0.26060014963150002</v>
      </c>
      <c r="AF676" s="2">
        <v>0.239071354269981</v>
      </c>
      <c r="AG676" s="2">
        <v>0.36493545770645103</v>
      </c>
      <c r="AH676" s="2">
        <v>-0.76234120130538896</v>
      </c>
      <c r="AI676" s="2">
        <v>0.39625531435012801</v>
      </c>
      <c r="AJ676" s="2">
        <v>0.68706702008276999</v>
      </c>
      <c r="AK676" s="2">
        <v>0.565299523006905</v>
      </c>
      <c r="AL676" s="2">
        <v>0.50891231962619898</v>
      </c>
      <c r="AM676" s="2">
        <v>0.60668486356735196</v>
      </c>
      <c r="AN676" s="2">
        <v>0.48629122972488398</v>
      </c>
      <c r="AO676" s="2">
        <v>0.40880310535430903</v>
      </c>
      <c r="AP676" s="2">
        <v>1.3176972866058401</v>
      </c>
    </row>
    <row r="677" spans="1:42" x14ac:dyDescent="0.3">
      <c r="A677" t="s">
        <v>255</v>
      </c>
      <c r="B677" s="3">
        <v>2018</v>
      </c>
      <c r="C677" s="3">
        <v>0.48455799999999999</v>
      </c>
      <c r="D677" s="3">
        <v>1928.96</v>
      </c>
      <c r="E677" t="s">
        <v>74</v>
      </c>
      <c r="G677" s="3">
        <v>14812.029296875</v>
      </c>
      <c r="H677" s="3">
        <v>19968.73828125</v>
      </c>
      <c r="I677" s="3">
        <v>24531.576171875</v>
      </c>
      <c r="J677" s="3">
        <v>19861.12890625</v>
      </c>
      <c r="K677" s="3">
        <v>62101.96484375</v>
      </c>
      <c r="L677" s="3">
        <v>7.0645421510562301E-4</v>
      </c>
      <c r="M677" s="3">
        <v>0.85232371091842696</v>
      </c>
      <c r="N677" s="3">
        <v>0.82489204406738303</v>
      </c>
      <c r="O677" s="3">
        <v>15617.744140625</v>
      </c>
      <c r="P677" s="3">
        <v>21526.599609375</v>
      </c>
      <c r="Q677" s="3">
        <v>1.01221930980682</v>
      </c>
      <c r="R677" s="3">
        <v>0.498698741197586</v>
      </c>
      <c r="S677" s="3">
        <v>0.67340266704559304</v>
      </c>
      <c r="T677" s="3">
        <v>0.65849024057388295</v>
      </c>
      <c r="U677" s="3">
        <v>0.81333768367767301</v>
      </c>
      <c r="W677" t="s">
        <v>50</v>
      </c>
      <c r="X677" t="s">
        <v>51</v>
      </c>
      <c r="Y677" t="s">
        <v>52</v>
      </c>
      <c r="Z677" t="s">
        <v>53</v>
      </c>
      <c r="AA677" t="s">
        <v>53</v>
      </c>
      <c r="AC677" s="2">
        <v>0.68082088153240305</v>
      </c>
      <c r="AD677" s="2">
        <v>0.50752079486846902</v>
      </c>
      <c r="AE677" s="2">
        <v>0.25963824987411499</v>
      </c>
      <c r="AF677" s="2">
        <v>0.238259047269821</v>
      </c>
      <c r="AG677" s="2">
        <v>0.31580591201782199</v>
      </c>
      <c r="AH677" s="2">
        <v>-0.71370697021484397</v>
      </c>
      <c r="AI677" s="2">
        <v>0.39248302578926098</v>
      </c>
      <c r="AJ677" s="2">
        <v>0.73267682211297702</v>
      </c>
      <c r="AK677" s="2">
        <v>0.61565626342200996</v>
      </c>
      <c r="AL677" s="2">
        <v>0.54714145899475897</v>
      </c>
      <c r="AM677" s="2">
        <v>0.61676537990570102</v>
      </c>
      <c r="AN677" s="2">
        <v>0.50821936130523704</v>
      </c>
      <c r="AO677" s="2">
        <v>0.45096859335899397</v>
      </c>
      <c r="AP677" s="2">
        <v>1.3553620576858501</v>
      </c>
    </row>
    <row r="678" spans="1:42" x14ac:dyDescent="0.3">
      <c r="A678" t="s">
        <v>255</v>
      </c>
      <c r="B678" s="3">
        <v>2019</v>
      </c>
      <c r="C678" s="3">
        <v>0.50401499999999999</v>
      </c>
      <c r="D678" s="3">
        <v>1988.47</v>
      </c>
      <c r="E678" t="s">
        <v>74</v>
      </c>
      <c r="G678" s="3">
        <v>16837.984375</v>
      </c>
      <c r="H678" s="3">
        <v>22794.14453125</v>
      </c>
      <c r="I678" s="3">
        <v>27126.2109375</v>
      </c>
      <c r="J678" s="3">
        <v>21655.953125</v>
      </c>
      <c r="K678" s="3">
        <v>67207.1953125</v>
      </c>
      <c r="L678" s="3">
        <v>7.5605796882882703E-4</v>
      </c>
      <c r="M678" s="3">
        <v>0.84005433320999201</v>
      </c>
      <c r="N678" s="3">
        <v>0.85085111856460605</v>
      </c>
      <c r="O678" s="3">
        <v>16641.884765625</v>
      </c>
      <c r="P678" s="3">
        <v>23185.28125</v>
      </c>
      <c r="Q678" s="3">
        <v>0.97471559047698997</v>
      </c>
      <c r="R678" s="3">
        <v>0.51417928934097301</v>
      </c>
      <c r="S678" s="3">
        <v>0.61187535524368297</v>
      </c>
      <c r="T678" s="3">
        <v>0.60228955745696999</v>
      </c>
      <c r="U678" s="3">
        <v>0.75442683696746804</v>
      </c>
      <c r="W678" t="s">
        <v>50</v>
      </c>
      <c r="X678" t="s">
        <v>54</v>
      </c>
      <c r="Y678" t="s">
        <v>52</v>
      </c>
      <c r="Z678" t="s">
        <v>53</v>
      </c>
      <c r="AA678" t="s">
        <v>53</v>
      </c>
      <c r="AC678" s="2">
        <v>0.74882329254055102</v>
      </c>
      <c r="AD678" s="2">
        <v>0.52424532175064098</v>
      </c>
      <c r="AE678" s="2">
        <v>0.27503567934036299</v>
      </c>
      <c r="AF678" s="2">
        <v>0.25327688455581698</v>
      </c>
      <c r="AG678" s="2">
        <v>0.329004555940628</v>
      </c>
      <c r="AH678" s="2">
        <v>-0.79026079177856501</v>
      </c>
      <c r="AI678" s="2">
        <v>0.408698379993439</v>
      </c>
      <c r="AJ678" s="2">
        <v>0.66442541868930405</v>
      </c>
      <c r="AK678" s="2">
        <v>0.57519072543611105</v>
      </c>
      <c r="AL678" s="2">
        <v>0.50310456424336802</v>
      </c>
      <c r="AM678" s="2">
        <v>0.58147037029266402</v>
      </c>
      <c r="AN678" s="2">
        <v>0.47978731989860501</v>
      </c>
      <c r="AO678" s="2">
        <v>0.42568325996398898</v>
      </c>
      <c r="AP678" s="2">
        <v>1.19407546520233</v>
      </c>
    </row>
    <row r="679" spans="1:42" x14ac:dyDescent="0.3">
      <c r="A679" t="s">
        <v>255</v>
      </c>
      <c r="B679" s="3">
        <v>2020</v>
      </c>
      <c r="C679" s="3">
        <v>0.51820699999999997</v>
      </c>
      <c r="D679" s="3">
        <v>1833.58</v>
      </c>
      <c r="E679" t="s">
        <v>74</v>
      </c>
      <c r="G679" s="3">
        <v>16005.7138671875</v>
      </c>
      <c r="H679" s="3">
        <v>22583.416015625</v>
      </c>
      <c r="I679" s="3">
        <v>26791.833984375</v>
      </c>
      <c r="J679" s="3">
        <v>21097.330078125</v>
      </c>
      <c r="K679" s="3">
        <v>75803.8125</v>
      </c>
      <c r="L679" s="3">
        <v>8.22965987026691E-4</v>
      </c>
      <c r="M679" s="3">
        <v>0.78232228755950906</v>
      </c>
      <c r="N679" s="3">
        <v>0.80336219072341897</v>
      </c>
      <c r="O679" s="3">
        <v>15889.3701171875</v>
      </c>
      <c r="P679" s="3">
        <v>22532.6328125</v>
      </c>
      <c r="Q679" s="3">
        <v>0.93678057193756104</v>
      </c>
      <c r="R679" s="3">
        <v>0.50909382104873702</v>
      </c>
      <c r="S679" s="3">
        <v>0.636732578277588</v>
      </c>
      <c r="T679" s="3">
        <v>0.61262118816375699</v>
      </c>
      <c r="U679" s="3">
        <v>0.77797728776931796</v>
      </c>
      <c r="W679" t="s">
        <v>50</v>
      </c>
      <c r="X679" t="s">
        <v>54</v>
      </c>
      <c r="Y679" t="s">
        <v>52</v>
      </c>
      <c r="Z679" t="s">
        <v>53</v>
      </c>
      <c r="AA679" t="s">
        <v>53</v>
      </c>
      <c r="AC679" s="2">
        <v>0.74508146231271599</v>
      </c>
      <c r="AD679" s="2">
        <v>0.46997705101966902</v>
      </c>
      <c r="AE679" s="2">
        <v>0.31177890300750699</v>
      </c>
      <c r="AF679" s="2">
        <v>0.28868356347084001</v>
      </c>
      <c r="AG679" s="2">
        <v>0.35494247078895602</v>
      </c>
      <c r="AH679" s="2">
        <v>-0.86253058910369895</v>
      </c>
      <c r="AI679" s="2">
        <v>0.43714863061904902</v>
      </c>
      <c r="AJ679" s="2">
        <v>0.70203758307552</v>
      </c>
      <c r="AK679" s="2">
        <v>0.55395024945459703</v>
      </c>
      <c r="AL679" s="2">
        <v>0.53041595999835001</v>
      </c>
      <c r="AM679" s="2">
        <v>0.60719221830367998</v>
      </c>
      <c r="AN679" s="2">
        <v>0.50248259305954002</v>
      </c>
      <c r="AO679" s="2">
        <v>0.41019707918167098</v>
      </c>
      <c r="AP679" s="2">
        <v>1.16261518001556</v>
      </c>
    </row>
    <row r="680" spans="1:42" x14ac:dyDescent="0.3">
      <c r="A680" t="s">
        <v>256</v>
      </c>
      <c r="B680" s="3">
        <v>2015</v>
      </c>
      <c r="C680" s="3">
        <v>51.089055999999999</v>
      </c>
      <c r="D680" s="3">
        <v>2609.5</v>
      </c>
      <c r="E680" t="s">
        <v>257</v>
      </c>
      <c r="G680" s="3">
        <v>198260.890625</v>
      </c>
      <c r="H680" s="3">
        <v>275592.28125</v>
      </c>
      <c r="I680" s="3">
        <v>253329.40625</v>
      </c>
      <c r="J680" s="3">
        <v>268776.6875</v>
      </c>
      <c r="K680" s="3">
        <v>618713.4375</v>
      </c>
      <c r="L680" s="3"/>
      <c r="M680" s="3"/>
      <c r="N680" s="3"/>
      <c r="O680" s="3">
        <v>261412.46875</v>
      </c>
      <c r="P680" s="3">
        <v>358633.65625</v>
      </c>
      <c r="Q680" s="3"/>
      <c r="R680" s="3"/>
      <c r="S680" s="3">
        <v>0.23335640132427199</v>
      </c>
      <c r="T680" s="3">
        <v>0.24688604474067699</v>
      </c>
      <c r="U680" s="3">
        <v>0.23269686102867099</v>
      </c>
      <c r="W680" t="s">
        <v>50</v>
      </c>
      <c r="X680" t="s">
        <v>51</v>
      </c>
      <c r="Y680" t="s">
        <v>52</v>
      </c>
      <c r="Z680" t="s">
        <v>53</v>
      </c>
      <c r="AC680" s="2">
        <v>0.43872012970151802</v>
      </c>
      <c r="AD680" s="2">
        <v>0.53189063072204601</v>
      </c>
      <c r="AE680" s="2">
        <v>0.28771615028381398</v>
      </c>
      <c r="AF680" s="2">
        <v>0.20575109124183699</v>
      </c>
      <c r="AG680" s="2">
        <v>8.0304078757762895E-2</v>
      </c>
      <c r="AH680" s="2">
        <v>-0.123247981071472</v>
      </c>
      <c r="AI680" s="2">
        <v>1.7586011439561799E-2</v>
      </c>
      <c r="AJ680" s="2">
        <v>0.256064487651327</v>
      </c>
      <c r="AK680" s="2">
        <v>0.28157305409370398</v>
      </c>
      <c r="AL680" s="2">
        <v>0.17465336035024601</v>
      </c>
      <c r="AM680" s="2">
        <v>0.50405412912368797</v>
      </c>
      <c r="AN680" s="2">
        <v>0.52755010128021196</v>
      </c>
      <c r="AO680" s="2">
        <v>0.15601244568824801</v>
      </c>
      <c r="AP680" s="2"/>
    </row>
    <row r="681" spans="1:42" x14ac:dyDescent="0.3">
      <c r="A681" t="s">
        <v>256</v>
      </c>
      <c r="B681" s="3">
        <v>2016</v>
      </c>
      <c r="C681" s="3">
        <v>51.495696000000002</v>
      </c>
      <c r="D681" s="3">
        <v>2559.5300000000002</v>
      </c>
      <c r="E681" t="s">
        <v>257</v>
      </c>
      <c r="G681" s="3">
        <v>201518.28125</v>
      </c>
      <c r="H681" s="3">
        <v>274486.71875</v>
      </c>
      <c r="I681" s="3">
        <v>252251.140625</v>
      </c>
      <c r="J681" s="3">
        <v>264925.125</v>
      </c>
      <c r="K681" s="3">
        <v>662752</v>
      </c>
      <c r="L681" s="3"/>
      <c r="M681" s="3"/>
      <c r="N681" s="3"/>
      <c r="O681" s="3">
        <v>268381.25</v>
      </c>
      <c r="P681" s="3">
        <v>366167</v>
      </c>
      <c r="Q681" s="3"/>
      <c r="R681" s="3"/>
      <c r="S681" s="3">
        <v>0.23622164130210899</v>
      </c>
      <c r="T681" s="3">
        <v>0.25187343358993503</v>
      </c>
      <c r="U681" s="3">
        <v>0.239823833107948</v>
      </c>
      <c r="W681" t="s">
        <v>50</v>
      </c>
      <c r="X681" t="s">
        <v>51</v>
      </c>
      <c r="Y681" t="s">
        <v>52</v>
      </c>
      <c r="Z681" t="s">
        <v>53</v>
      </c>
      <c r="AC681" s="2">
        <v>0.408810363134752</v>
      </c>
      <c r="AD681" s="2">
        <v>0.49643304944038402</v>
      </c>
      <c r="AE681" s="2">
        <v>0.27543041110038802</v>
      </c>
      <c r="AF681" s="2">
        <v>0.264228194952011</v>
      </c>
      <c r="AG681" s="2">
        <v>0.119688250124455</v>
      </c>
      <c r="AH681" s="2">
        <v>-0.15345162153243999</v>
      </c>
      <c r="AI681" s="2">
        <v>-2.3282545153051602E-3</v>
      </c>
      <c r="AJ681" s="2">
        <v>0.26373604144316398</v>
      </c>
      <c r="AK681" s="2">
        <v>0.295099345814887</v>
      </c>
      <c r="AL681" s="2">
        <v>0.184527455170028</v>
      </c>
      <c r="AM681" s="2">
        <v>0.491700679063797</v>
      </c>
      <c r="AN681" s="2">
        <v>0.517639100551605</v>
      </c>
      <c r="AO681" s="2">
        <v>0.161496162414551</v>
      </c>
      <c r="AP681" s="2"/>
    </row>
    <row r="682" spans="1:42" x14ac:dyDescent="0.3">
      <c r="A682" t="s">
        <v>256</v>
      </c>
      <c r="B682" s="3">
        <v>2017</v>
      </c>
      <c r="C682" s="3">
        <v>51.894938000000003</v>
      </c>
      <c r="D682" s="3">
        <v>2510.23</v>
      </c>
      <c r="E682" t="s">
        <v>257</v>
      </c>
      <c r="G682" s="3">
        <v>203542.296875</v>
      </c>
      <c r="H682" s="3">
        <v>279989.96875</v>
      </c>
      <c r="I682" s="3">
        <v>259843.421875</v>
      </c>
      <c r="J682" s="3">
        <v>270428.46875</v>
      </c>
      <c r="K682" s="3">
        <v>734929.4375</v>
      </c>
      <c r="L682" s="3"/>
      <c r="M682" s="3"/>
      <c r="N682" s="3"/>
      <c r="O682" s="3">
        <v>284422.78125</v>
      </c>
      <c r="P682" s="3">
        <v>386415.96875</v>
      </c>
      <c r="Q682" s="3"/>
      <c r="R682" s="3"/>
      <c r="S682" s="3">
        <v>0.23609885573387099</v>
      </c>
      <c r="T682" s="3">
        <v>0.24823021888732899</v>
      </c>
      <c r="U682" s="3">
        <v>0.23851406574249301</v>
      </c>
      <c r="W682" t="s">
        <v>51</v>
      </c>
      <c r="X682" t="s">
        <v>51</v>
      </c>
      <c r="Y682" t="s">
        <v>52</v>
      </c>
      <c r="Z682" t="s">
        <v>53</v>
      </c>
      <c r="AC682" s="2">
        <v>0.39152696725817598</v>
      </c>
      <c r="AD682" s="2">
        <v>0.50386422872543302</v>
      </c>
      <c r="AE682" s="2">
        <v>0.28269088268280002</v>
      </c>
      <c r="AF682" s="2">
        <v>0.24880167841911299</v>
      </c>
      <c r="AG682" s="2">
        <v>0.123693570494652</v>
      </c>
      <c r="AH682" s="2">
        <v>-0.154855132102966</v>
      </c>
      <c r="AI682" s="2">
        <v>-4.1952556930482396E-3</v>
      </c>
      <c r="AJ682" s="2">
        <v>0.262601146591245</v>
      </c>
      <c r="AK682" s="2">
        <v>0.28053009515681798</v>
      </c>
      <c r="AL682" s="2">
        <v>0.18242734706208699</v>
      </c>
      <c r="AM682" s="2">
        <v>0.52488738298416104</v>
      </c>
      <c r="AN682" s="2">
        <v>0.53222233057022095</v>
      </c>
      <c r="AO682" s="2">
        <v>0.157044932246208</v>
      </c>
      <c r="AP682" s="2"/>
    </row>
    <row r="683" spans="1:42" x14ac:dyDescent="0.3">
      <c r="A683" t="s">
        <v>256</v>
      </c>
      <c r="B683" s="3">
        <v>2018</v>
      </c>
      <c r="C683" s="3">
        <v>52.272247</v>
      </c>
      <c r="D683" s="3">
        <v>2369.79</v>
      </c>
      <c r="E683" t="s">
        <v>257</v>
      </c>
      <c r="G683" s="3">
        <v>259271.578125</v>
      </c>
      <c r="H683" s="3">
        <v>335727.03125</v>
      </c>
      <c r="I683" s="3">
        <v>324034.34375</v>
      </c>
      <c r="J683" s="3">
        <v>329972.6875</v>
      </c>
      <c r="K683" s="3">
        <v>831626.1875</v>
      </c>
      <c r="L683" s="3"/>
      <c r="M683" s="3"/>
      <c r="N683" s="3"/>
      <c r="O683" s="3">
        <v>290022.84375</v>
      </c>
      <c r="P683" s="3">
        <v>394625.53125</v>
      </c>
      <c r="Q683" s="3"/>
      <c r="R683" s="3"/>
      <c r="S683" s="3">
        <v>0.19300036132335699</v>
      </c>
      <c r="T683" s="3">
        <v>0.21373246610164601</v>
      </c>
      <c r="U683" s="3">
        <v>0.209886059165001</v>
      </c>
      <c r="W683" t="s">
        <v>67</v>
      </c>
      <c r="X683" t="s">
        <v>51</v>
      </c>
      <c r="Y683" t="s">
        <v>52</v>
      </c>
      <c r="Z683" t="s">
        <v>53</v>
      </c>
      <c r="AC683" s="2">
        <v>0.21254551399743599</v>
      </c>
      <c r="AD683" s="2">
        <v>0.454642444849014</v>
      </c>
      <c r="AE683" s="2">
        <v>0.23170232772827101</v>
      </c>
      <c r="AF683" s="2">
        <v>0.33109405636787398</v>
      </c>
      <c r="AG683" s="2">
        <v>0.11947887390851999</v>
      </c>
      <c r="AH683" s="2">
        <v>-0.12869775295257599</v>
      </c>
      <c r="AI683" s="2">
        <v>-8.2199731841683405E-3</v>
      </c>
      <c r="AJ683" s="2">
        <v>0.25786460690847701</v>
      </c>
      <c r="AK683" s="2">
        <v>0.28403811811851198</v>
      </c>
      <c r="AL683" s="2">
        <v>0.103931882641697</v>
      </c>
      <c r="AM683" s="2">
        <v>0.53110927343368497</v>
      </c>
      <c r="AN683" s="2">
        <v>0.53850787878036499</v>
      </c>
      <c r="AO683" s="2">
        <v>0.15372312068939201</v>
      </c>
      <c r="AP683" s="2"/>
    </row>
    <row r="684" spans="1:42" x14ac:dyDescent="0.3">
      <c r="A684" t="s">
        <v>256</v>
      </c>
      <c r="B684" s="3">
        <v>2019</v>
      </c>
      <c r="C684" s="3">
        <v>52.640712999999998</v>
      </c>
      <c r="D684" s="3">
        <v>2378.1999999999998</v>
      </c>
      <c r="E684" t="s">
        <v>257</v>
      </c>
      <c r="G684" s="3">
        <v>266869.40625</v>
      </c>
      <c r="H684" s="3">
        <v>345872.375</v>
      </c>
      <c r="I684" s="3">
        <v>339333</v>
      </c>
      <c r="J684" s="3">
        <v>341293.03125</v>
      </c>
      <c r="K684" s="3">
        <v>861099.875</v>
      </c>
      <c r="L684" s="3"/>
      <c r="M684" s="3"/>
      <c r="N684" s="3"/>
      <c r="O684" s="3">
        <v>305152.0625</v>
      </c>
      <c r="P684" s="3">
        <v>411863.96875</v>
      </c>
      <c r="Q684" s="3"/>
      <c r="R684" s="3"/>
      <c r="S684" s="3">
        <v>0.19159182906150801</v>
      </c>
      <c r="T684" s="3">
        <v>0.21159815788269001</v>
      </c>
      <c r="U684" s="3">
        <v>0.21038295328617099</v>
      </c>
      <c r="W684" t="s">
        <v>67</v>
      </c>
      <c r="X684" t="s">
        <v>54</v>
      </c>
      <c r="Y684" t="s">
        <v>52</v>
      </c>
      <c r="Z684" t="s">
        <v>53</v>
      </c>
      <c r="AC684" s="2">
        <v>0.38301543355239698</v>
      </c>
      <c r="AD684" s="2">
        <v>0.42537847161293002</v>
      </c>
      <c r="AE684" s="2">
        <v>0.231481343507767</v>
      </c>
      <c r="AF684" s="2">
        <v>0.356557786464691</v>
      </c>
      <c r="AG684" s="2">
        <v>0.124893955886364</v>
      </c>
      <c r="AH684" s="2">
        <v>-0.12635761499404899</v>
      </c>
      <c r="AI684" s="2">
        <v>-1.1953988112509299E-2</v>
      </c>
      <c r="AJ684" s="2">
        <v>0.26370780485561601</v>
      </c>
      <c r="AK684" s="2">
        <v>0.27917886470795999</v>
      </c>
      <c r="AL684" s="2">
        <v>0.105556438209751</v>
      </c>
      <c r="AM684" s="2">
        <v>0.501456499099731</v>
      </c>
      <c r="AN684" s="2">
        <v>0.50783097743988004</v>
      </c>
      <c r="AO684" s="2">
        <v>0.161026075482368</v>
      </c>
      <c r="AP684" s="2"/>
    </row>
    <row r="685" spans="1:42" x14ac:dyDescent="0.3">
      <c r="A685" t="s">
        <v>256</v>
      </c>
      <c r="B685" s="3">
        <v>2020</v>
      </c>
      <c r="C685" s="3">
        <v>53.016522000000002</v>
      </c>
      <c r="D685" s="3">
        <v>2320.65</v>
      </c>
      <c r="E685" t="s">
        <v>257</v>
      </c>
      <c r="G685" s="3">
        <v>260162.671875</v>
      </c>
      <c r="H685" s="3">
        <v>332522.875</v>
      </c>
      <c r="I685" s="3">
        <v>329317.46875</v>
      </c>
      <c r="J685" s="3">
        <v>329409.34375</v>
      </c>
      <c r="K685" s="3">
        <v>913832.9375</v>
      </c>
      <c r="L685" s="3"/>
      <c r="M685" s="3"/>
      <c r="N685" s="3"/>
      <c r="O685" s="3">
        <v>317456.90625</v>
      </c>
      <c r="P685" s="3">
        <v>414689.65625</v>
      </c>
      <c r="Q685" s="3"/>
      <c r="R685" s="3"/>
      <c r="S685" s="3">
        <v>0.220894649624825</v>
      </c>
      <c r="T685" s="3">
        <v>0.24283477663993799</v>
      </c>
      <c r="U685" s="3">
        <v>0.24276705086231201</v>
      </c>
      <c r="W685" t="s">
        <v>67</v>
      </c>
      <c r="X685" t="s">
        <v>54</v>
      </c>
      <c r="Y685" t="s">
        <v>52</v>
      </c>
      <c r="Z685" t="s">
        <v>53</v>
      </c>
      <c r="AC685" s="2">
        <v>0.37754374279293501</v>
      </c>
      <c r="AD685" s="2">
        <v>0.44026234745979298</v>
      </c>
      <c r="AE685" s="2">
        <v>0.21966646611690499</v>
      </c>
      <c r="AF685" s="2">
        <v>0.34952297806739802</v>
      </c>
      <c r="AG685" s="2">
        <v>0.11018978804349901</v>
      </c>
      <c r="AH685" s="2">
        <v>-0.110359534621239</v>
      </c>
      <c r="AI685" s="2">
        <v>-9.2820432037115097E-3</v>
      </c>
      <c r="AJ685" s="2">
        <v>0.29936841356419902</v>
      </c>
      <c r="AK685" s="2">
        <v>0.32171801494229701</v>
      </c>
      <c r="AL685" s="2">
        <v>0.12204837025264199</v>
      </c>
      <c r="AM685" s="2">
        <v>0.57902622222900402</v>
      </c>
      <c r="AN685" s="2">
        <v>0.57912862300872803</v>
      </c>
      <c r="AO685" s="2">
        <v>0.18442027270793901</v>
      </c>
      <c r="AP685" s="2"/>
    </row>
    <row r="686" spans="1:42" x14ac:dyDescent="0.3">
      <c r="A686" t="s">
        <v>258</v>
      </c>
      <c r="B686" s="3">
        <v>2015</v>
      </c>
      <c r="C686" s="3">
        <v>0.62814499999999995</v>
      </c>
      <c r="D686" s="3"/>
      <c r="E686" t="s">
        <v>74</v>
      </c>
      <c r="G686" s="3">
        <v>11129.3662109375</v>
      </c>
      <c r="H686" s="3">
        <v>13104.859375</v>
      </c>
      <c r="I686" s="3">
        <v>11063.35546875</v>
      </c>
      <c r="J686" s="3">
        <v>12211.755859375</v>
      </c>
      <c r="K686" s="3">
        <v>42730.26171875</v>
      </c>
      <c r="L686" s="3"/>
      <c r="M686" s="3"/>
      <c r="N686" s="3"/>
      <c r="O686" s="3">
        <v>11560.08203125</v>
      </c>
      <c r="P686" s="3">
        <v>13280.3203125</v>
      </c>
      <c r="Q686" s="3"/>
      <c r="R686" s="3"/>
      <c r="S686" s="3">
        <v>0.35834354162216198</v>
      </c>
      <c r="T686" s="3">
        <v>0.366500735282898</v>
      </c>
      <c r="U686" s="3">
        <v>0.33203482627868702</v>
      </c>
      <c r="W686" t="s">
        <v>50</v>
      </c>
      <c r="X686" t="s">
        <v>51</v>
      </c>
      <c r="Y686" t="s">
        <v>52</v>
      </c>
      <c r="Z686" t="s">
        <v>53</v>
      </c>
      <c r="AC686" s="2">
        <v>0.41556116631872297</v>
      </c>
      <c r="AD686" s="2">
        <v>0.62572306394577004</v>
      </c>
      <c r="AE686" s="2">
        <v>0.16176974773406999</v>
      </c>
      <c r="AF686" s="2">
        <v>0.285641819238663</v>
      </c>
      <c r="AG686" s="2">
        <v>5.2266534417867702E-2</v>
      </c>
      <c r="AH686" s="2">
        <v>-0.35941883921623202</v>
      </c>
      <c r="AI686" s="2">
        <v>0.23401764035224901</v>
      </c>
      <c r="AJ686" s="2">
        <v>0.42006553335801999</v>
      </c>
      <c r="AK686" s="2">
        <v>0.41245613378079798</v>
      </c>
      <c r="AL686" s="2">
        <v>0.22313618849233399</v>
      </c>
      <c r="AM686" s="2">
        <v>0.55318534374237105</v>
      </c>
      <c r="AN686" s="2">
        <v>0.46710103750228898</v>
      </c>
      <c r="AO686" s="2">
        <v>0.26535752415656999</v>
      </c>
      <c r="AP686" s="2"/>
    </row>
    <row r="687" spans="1:42" x14ac:dyDescent="0.3">
      <c r="A687" t="s">
        <v>258</v>
      </c>
      <c r="B687" s="3">
        <v>2016</v>
      </c>
      <c r="C687" s="3">
        <v>0.62424900000000005</v>
      </c>
      <c r="D687" s="3"/>
      <c r="E687" t="s">
        <v>74</v>
      </c>
      <c r="G687" s="3">
        <v>11712.8134765625</v>
      </c>
      <c r="H687" s="3">
        <v>14394.603515625</v>
      </c>
      <c r="I687" s="3">
        <v>11753.4228515625</v>
      </c>
      <c r="J687" s="3">
        <v>12702.2275390625</v>
      </c>
      <c r="K687" s="3">
        <v>41749.21484375</v>
      </c>
      <c r="L687" s="3"/>
      <c r="M687" s="3"/>
      <c r="N687" s="3"/>
      <c r="O687" s="3">
        <v>12074</v>
      </c>
      <c r="P687" s="3">
        <v>14894.9375</v>
      </c>
      <c r="Q687" s="3"/>
      <c r="R687" s="3"/>
      <c r="S687" s="3">
        <v>0.36011129617691001</v>
      </c>
      <c r="T687" s="3">
        <v>0.37239617109298701</v>
      </c>
      <c r="U687" s="3">
        <v>0.34457969665527299</v>
      </c>
      <c r="W687" t="s">
        <v>50</v>
      </c>
      <c r="X687" t="s">
        <v>51</v>
      </c>
      <c r="Y687" t="s">
        <v>52</v>
      </c>
      <c r="Z687" t="s">
        <v>53</v>
      </c>
      <c r="AC687" s="2">
        <v>0.40525228571725702</v>
      </c>
      <c r="AD687" s="2">
        <v>0.63713657855987604</v>
      </c>
      <c r="AE687" s="2">
        <v>0.211127534508705</v>
      </c>
      <c r="AF687" s="2">
        <v>0.284970462322235</v>
      </c>
      <c r="AG687" s="2">
        <v>5.1076147705316502E-2</v>
      </c>
      <c r="AH687" s="2">
        <v>-0.39996498823165899</v>
      </c>
      <c r="AI687" s="2">
        <v>0.21565428376197801</v>
      </c>
      <c r="AJ687" s="2">
        <v>0.41511218250618898</v>
      </c>
      <c r="AK687" s="2">
        <v>0.42605074164569401</v>
      </c>
      <c r="AL687" s="2">
        <v>0.23714038816702801</v>
      </c>
      <c r="AM687" s="2">
        <v>0.54727315902710005</v>
      </c>
      <c r="AN687" s="2">
        <v>0.44927731156349199</v>
      </c>
      <c r="AO687" s="2">
        <v>0.27511420845985401</v>
      </c>
      <c r="AP687" s="2"/>
    </row>
    <row r="688" spans="1:42" x14ac:dyDescent="0.3">
      <c r="A688" t="s">
        <v>258</v>
      </c>
      <c r="B688" s="3">
        <v>2017</v>
      </c>
      <c r="C688" s="3">
        <v>0.62011400000000005</v>
      </c>
      <c r="D688" s="3"/>
      <c r="E688" t="s">
        <v>74</v>
      </c>
      <c r="G688" s="3">
        <v>12067.056640625</v>
      </c>
      <c r="H688" s="3">
        <v>15506.048828125</v>
      </c>
      <c r="I688" s="3">
        <v>12561.1416015625</v>
      </c>
      <c r="J688" s="3">
        <v>13499.8623046875</v>
      </c>
      <c r="K688" s="3">
        <v>44225.21484375</v>
      </c>
      <c r="L688" s="3"/>
      <c r="M688" s="3"/>
      <c r="N688" s="3"/>
      <c r="O688" s="3">
        <v>12417.734375</v>
      </c>
      <c r="P688" s="3">
        <v>16155.314453125</v>
      </c>
      <c r="Q688" s="3"/>
      <c r="R688" s="3"/>
      <c r="S688" s="3">
        <v>0.37518766522407498</v>
      </c>
      <c r="T688" s="3">
        <v>0.386637002229691</v>
      </c>
      <c r="U688" s="3">
        <v>0.35975196957588201</v>
      </c>
      <c r="W688" t="s">
        <v>51</v>
      </c>
      <c r="X688" t="s">
        <v>51</v>
      </c>
      <c r="Y688" t="s">
        <v>52</v>
      </c>
      <c r="Z688" t="s">
        <v>53</v>
      </c>
      <c r="AC688" s="2">
        <v>0.40190842862244902</v>
      </c>
      <c r="AD688" s="2">
        <v>0.62407100200653098</v>
      </c>
      <c r="AE688" s="2">
        <v>0.2547427713871</v>
      </c>
      <c r="AF688" s="2">
        <v>0.26979416608810403</v>
      </c>
      <c r="AG688" s="2">
        <v>5.3138960152864498E-2</v>
      </c>
      <c r="AH688" s="2">
        <v>-0.41816464066505399</v>
      </c>
      <c r="AI688" s="2">
        <v>0.21641775965690599</v>
      </c>
      <c r="AJ688" s="2">
        <v>0.43116621463253701</v>
      </c>
      <c r="AK688" s="2">
        <v>0.42681149303163202</v>
      </c>
      <c r="AL688" s="2">
        <v>0.24570160240245201</v>
      </c>
      <c r="AM688" s="2">
        <v>0.58668702840805098</v>
      </c>
      <c r="AN688" s="2">
        <v>0.46243748068809498</v>
      </c>
      <c r="AO688" s="2">
        <v>0.28208205103874201</v>
      </c>
      <c r="AP688" s="2"/>
    </row>
    <row r="689" spans="1:42" x14ac:dyDescent="0.3">
      <c r="A689" t="s">
        <v>258</v>
      </c>
      <c r="B689" s="3">
        <v>2018</v>
      </c>
      <c r="C689" s="3">
        <v>0.61579499999999998</v>
      </c>
      <c r="D689" s="3"/>
      <c r="E689" t="s">
        <v>74</v>
      </c>
      <c r="G689" s="3">
        <v>12487.091796875</v>
      </c>
      <c r="H689" s="3">
        <v>16410.67578125</v>
      </c>
      <c r="I689" s="3">
        <v>13249.451171875</v>
      </c>
      <c r="J689" s="3">
        <v>13992.177734375</v>
      </c>
      <c r="K689" s="3">
        <v>48062.49609375</v>
      </c>
      <c r="L689" s="3"/>
      <c r="M689" s="3"/>
      <c r="N689" s="3"/>
      <c r="O689" s="3">
        <v>13029.7626953125</v>
      </c>
      <c r="P689" s="3">
        <v>17173.861328125</v>
      </c>
      <c r="Q689" s="3"/>
      <c r="R689" s="3"/>
      <c r="S689" s="3">
        <v>0.40548509359359702</v>
      </c>
      <c r="T689" s="3">
        <v>0.41563567519187899</v>
      </c>
      <c r="U689" s="3">
        <v>0.39357310533523598</v>
      </c>
      <c r="W689" t="s">
        <v>50</v>
      </c>
      <c r="X689" t="s">
        <v>51</v>
      </c>
      <c r="Y689" t="s">
        <v>52</v>
      </c>
      <c r="Z689" t="s">
        <v>53</v>
      </c>
      <c r="AC689" s="2">
        <v>0.36295858441316298</v>
      </c>
      <c r="AD689" s="2">
        <v>0.61521971225738503</v>
      </c>
      <c r="AE689" s="2">
        <v>0.28041273355483998</v>
      </c>
      <c r="AF689" s="2">
        <v>0.27721405029296903</v>
      </c>
      <c r="AG689" s="2">
        <v>5.7283919304609299E-2</v>
      </c>
      <c r="AH689" s="2">
        <v>-0.45220428705215499</v>
      </c>
      <c r="AI689" s="2">
        <v>0.22207385301589999</v>
      </c>
      <c r="AJ689" s="2">
        <v>0.46981591232811698</v>
      </c>
      <c r="AK689" s="2">
        <v>0.44794066703748803</v>
      </c>
      <c r="AL689" s="2">
        <v>0.26271600244015803</v>
      </c>
      <c r="AM689" s="2">
        <v>0.58138710260391202</v>
      </c>
      <c r="AN689" s="2">
        <v>0.47458684444427501</v>
      </c>
      <c r="AO689" s="2">
        <v>0.29957795143127403</v>
      </c>
      <c r="AP689" s="2"/>
    </row>
    <row r="690" spans="1:42" x14ac:dyDescent="0.3">
      <c r="A690" t="s">
        <v>258</v>
      </c>
      <c r="B690" s="3">
        <v>2019</v>
      </c>
      <c r="C690" s="3">
        <v>0.61166699999999996</v>
      </c>
      <c r="D690" s="3"/>
      <c r="E690" t="s">
        <v>74</v>
      </c>
      <c r="G690" s="3">
        <v>13521.4365234375</v>
      </c>
      <c r="H690" s="3">
        <v>17872.49609375</v>
      </c>
      <c r="I690" s="3">
        <v>14752.2109375</v>
      </c>
      <c r="J690" s="3">
        <v>15899.4169921875</v>
      </c>
      <c r="K690" s="3">
        <v>53045.11328125</v>
      </c>
      <c r="L690" s="3"/>
      <c r="M690" s="3"/>
      <c r="N690" s="3"/>
      <c r="O690" s="3">
        <v>13374.2763671875</v>
      </c>
      <c r="P690" s="3">
        <v>17774.7265625</v>
      </c>
      <c r="Q690" s="3"/>
      <c r="R690" s="3"/>
      <c r="S690" s="3">
        <v>0.36550670862197898</v>
      </c>
      <c r="T690" s="3">
        <v>0.37568616867065402</v>
      </c>
      <c r="U690" s="3">
        <v>0.34857890009880099</v>
      </c>
      <c r="W690" t="s">
        <v>50</v>
      </c>
      <c r="X690" t="s">
        <v>54</v>
      </c>
      <c r="Y690" t="s">
        <v>52</v>
      </c>
      <c r="Z690" t="s">
        <v>53</v>
      </c>
      <c r="AC690" s="2">
        <v>0.40310758162458998</v>
      </c>
      <c r="AD690" s="2">
        <v>0.586198389530182</v>
      </c>
      <c r="AE690" s="2">
        <v>0.27366158366203303</v>
      </c>
      <c r="AF690" s="2">
        <v>0.26423761248588601</v>
      </c>
      <c r="AG690" s="2">
        <v>5.3600225597620003E-2</v>
      </c>
      <c r="AH690" s="2">
        <v>-0.41074615716934199</v>
      </c>
      <c r="AI690" s="2">
        <v>0.23304839432239499</v>
      </c>
      <c r="AJ690" s="2">
        <v>0.42443020736369202</v>
      </c>
      <c r="AK690" s="2">
        <v>0.40732002539645001</v>
      </c>
      <c r="AL690" s="2">
        <v>0.23478774121700599</v>
      </c>
      <c r="AM690" s="2">
        <v>0.56278097629547097</v>
      </c>
      <c r="AN690" s="2">
        <v>0.45071607828140298</v>
      </c>
      <c r="AO690" s="2">
        <v>0.27602025866508501</v>
      </c>
      <c r="AP690" s="2"/>
    </row>
    <row r="691" spans="1:42" x14ac:dyDescent="0.3">
      <c r="A691" t="s">
        <v>258</v>
      </c>
      <c r="B691" s="3">
        <v>2020</v>
      </c>
      <c r="C691" s="3">
        <v>0.607935</v>
      </c>
      <c r="D691" s="3"/>
      <c r="E691" t="s">
        <v>74</v>
      </c>
      <c r="G691" s="3">
        <v>12910.3193359375</v>
      </c>
      <c r="H691" s="3">
        <v>16425.458984375</v>
      </c>
      <c r="I691" s="3">
        <v>12165.8671875</v>
      </c>
      <c r="J691" s="3">
        <v>12977.0908203125</v>
      </c>
      <c r="K691" s="3">
        <v>53283.921875</v>
      </c>
      <c r="L691" s="3"/>
      <c r="M691" s="3"/>
      <c r="N691" s="3"/>
      <c r="O691" s="3">
        <v>12900.890625</v>
      </c>
      <c r="P691" s="3">
        <v>16668.884765625</v>
      </c>
      <c r="Q691" s="3"/>
      <c r="R691" s="3"/>
      <c r="S691" s="3">
        <v>0.38447120785713201</v>
      </c>
      <c r="T691" s="3">
        <v>0.39296191930770902</v>
      </c>
      <c r="U691" s="3">
        <v>0.368397086858749</v>
      </c>
      <c r="W691" t="s">
        <v>50</v>
      </c>
      <c r="X691" t="s">
        <v>54</v>
      </c>
      <c r="Y691" t="s">
        <v>52</v>
      </c>
      <c r="Z691" t="s">
        <v>53</v>
      </c>
      <c r="AC691" s="2">
        <v>0.41168417175942801</v>
      </c>
      <c r="AD691" s="2">
        <v>0.65668362379074097</v>
      </c>
      <c r="AE691" s="2">
        <v>0.270872741937637</v>
      </c>
      <c r="AF691" s="2">
        <v>0.33817103505134599</v>
      </c>
      <c r="AG691" s="2">
        <v>3.3818926662206698E-2</v>
      </c>
      <c r="AH691" s="2">
        <v>-0.39661967754364003</v>
      </c>
      <c r="AI691" s="2">
        <v>9.7073346376419095E-2</v>
      </c>
      <c r="AJ691" s="2">
        <v>0.45566688870095601</v>
      </c>
      <c r="AK691" s="2">
        <v>0.42414632461977803</v>
      </c>
      <c r="AL691" s="2">
        <v>0.24621857402626099</v>
      </c>
      <c r="AM691" s="2">
        <v>0.55891138315200795</v>
      </c>
      <c r="AN691" s="2">
        <v>0.46303525567054798</v>
      </c>
      <c r="AO691" s="2">
        <v>0.28731280565261802</v>
      </c>
      <c r="AP691" s="2"/>
    </row>
    <row r="692" spans="1:42" x14ac:dyDescent="0.3">
      <c r="A692" t="s">
        <v>259</v>
      </c>
      <c r="B692" s="3">
        <v>2015</v>
      </c>
      <c r="C692" s="3">
        <v>2.9765259999999998</v>
      </c>
      <c r="D692" s="3"/>
      <c r="E692" t="s">
        <v>260</v>
      </c>
      <c r="G692" s="3">
        <v>29682.80859375</v>
      </c>
      <c r="H692" s="3">
        <v>36618.69140625</v>
      </c>
      <c r="I692" s="3">
        <v>36153.92578125</v>
      </c>
      <c r="J692" s="3">
        <v>34686.7265625</v>
      </c>
      <c r="K692" s="3">
        <v>175608.875</v>
      </c>
      <c r="L692" s="3">
        <v>2.89111281745136E-3</v>
      </c>
      <c r="M692" s="3">
        <v>0.37055617570877097</v>
      </c>
      <c r="N692" s="3">
        <v>0.37740337848663302</v>
      </c>
      <c r="O692" s="3">
        <v>28885.89453125</v>
      </c>
      <c r="P692" s="3">
        <v>34375.71875</v>
      </c>
      <c r="Q692" s="3">
        <v>0.90730607509613004</v>
      </c>
      <c r="R692" s="3">
        <v>0.43725952506065402</v>
      </c>
      <c r="S692" s="3">
        <v>0.30053749680519098</v>
      </c>
      <c r="T692" s="3">
        <v>0.32140088081359902</v>
      </c>
      <c r="U692" s="3">
        <v>0.334995657205582</v>
      </c>
      <c r="W692" t="s">
        <v>50</v>
      </c>
      <c r="X692" t="s">
        <v>51</v>
      </c>
      <c r="Y692" t="s">
        <v>52</v>
      </c>
      <c r="Z692" t="s">
        <v>53</v>
      </c>
      <c r="AA692" t="s">
        <v>53</v>
      </c>
      <c r="AC692" s="2">
        <v>0.55392742884313095</v>
      </c>
      <c r="AD692" s="2">
        <v>0.582417011260986</v>
      </c>
      <c r="AE692" s="2">
        <v>0.19995781779289201</v>
      </c>
      <c r="AF692" s="2">
        <v>0.27332270145416299</v>
      </c>
      <c r="AG692" s="2">
        <v>0.24936689436435699</v>
      </c>
      <c r="AH692" s="2">
        <v>-0.217106178402901</v>
      </c>
      <c r="AI692" s="2">
        <v>-8.7958194315433502E-2</v>
      </c>
      <c r="AJ692" s="2">
        <v>0.35603719100361803</v>
      </c>
      <c r="AK692" s="2">
        <v>0.41068776789241002</v>
      </c>
      <c r="AL692" s="2">
        <v>0.18227446889210699</v>
      </c>
      <c r="AM692" s="2">
        <v>0.53981858491897605</v>
      </c>
      <c r="AN692" s="2">
        <v>0.50414830446243297</v>
      </c>
      <c r="AO692" s="2">
        <v>0.236016765236855</v>
      </c>
      <c r="AP692" s="2">
        <v>0.30218130350112898</v>
      </c>
    </row>
    <row r="693" spans="1:42" x14ac:dyDescent="0.3">
      <c r="A693" t="s">
        <v>259</v>
      </c>
      <c r="B693" s="3">
        <v>2016</v>
      </c>
      <c r="C693" s="3">
        <v>3.0408119999999998</v>
      </c>
      <c r="D693" s="3"/>
      <c r="E693" t="s">
        <v>260</v>
      </c>
      <c r="G693" s="3">
        <v>30172.771484375</v>
      </c>
      <c r="H693" s="3">
        <v>36447.25</v>
      </c>
      <c r="I693" s="3">
        <v>36700.0625</v>
      </c>
      <c r="J693" s="3">
        <v>34424.8515625</v>
      </c>
      <c r="K693" s="3">
        <v>167123.875</v>
      </c>
      <c r="L693" s="3">
        <v>2.5790901854634298E-3</v>
      </c>
      <c r="M693" s="3">
        <v>0.38593238592147799</v>
      </c>
      <c r="N693" s="3">
        <v>0.39504420757293701</v>
      </c>
      <c r="O693" s="3">
        <v>30033.85546875</v>
      </c>
      <c r="P693" s="3">
        <v>35269.453125</v>
      </c>
      <c r="Q693" s="3">
        <v>0.92731177806854304</v>
      </c>
      <c r="R693" s="3">
        <v>0.43733870983123802</v>
      </c>
      <c r="S693" s="3">
        <v>0.28416460752487199</v>
      </c>
      <c r="T693" s="3">
        <v>0.30466789007186901</v>
      </c>
      <c r="U693" s="3">
        <v>0.324804037809372</v>
      </c>
      <c r="W693" t="s">
        <v>50</v>
      </c>
      <c r="X693" t="s">
        <v>51</v>
      </c>
      <c r="Y693" t="s">
        <v>52</v>
      </c>
      <c r="Z693" t="s">
        <v>53</v>
      </c>
      <c r="AA693" t="s">
        <v>53</v>
      </c>
      <c r="AC693" s="2">
        <v>0.51013103839988005</v>
      </c>
      <c r="AD693" s="2">
        <v>0.58157253265380904</v>
      </c>
      <c r="AE693" s="2">
        <v>0.18226590752601601</v>
      </c>
      <c r="AF693" s="2">
        <v>0.29490968585014299</v>
      </c>
      <c r="AG693" s="2">
        <v>0.27135327458381697</v>
      </c>
      <c r="AH693" s="2">
        <v>-0.19597615301609</v>
      </c>
      <c r="AI693" s="2">
        <v>-0.13412520289421101</v>
      </c>
      <c r="AJ693" s="2">
        <v>0.339152250255569</v>
      </c>
      <c r="AK693" s="2">
        <v>0.403264380021782</v>
      </c>
      <c r="AL693" s="2">
        <v>0.175726965374186</v>
      </c>
      <c r="AM693" s="2">
        <v>0.52630025148391701</v>
      </c>
      <c r="AN693" s="2">
        <v>0.49501645565032998</v>
      </c>
      <c r="AO693" s="2">
        <v>0.22628213465213801</v>
      </c>
      <c r="AP693" s="2">
        <v>0.31574559211731001</v>
      </c>
    </row>
    <row r="694" spans="1:42" x14ac:dyDescent="0.3">
      <c r="A694" t="s">
        <v>259</v>
      </c>
      <c r="B694" s="3">
        <v>2017</v>
      </c>
      <c r="C694" s="3">
        <v>3.1043639999999999</v>
      </c>
      <c r="D694" s="3"/>
      <c r="E694" t="s">
        <v>260</v>
      </c>
      <c r="G694" s="3">
        <v>28923.51953125</v>
      </c>
      <c r="H694" s="3">
        <v>37474.078125</v>
      </c>
      <c r="I694" s="3">
        <v>38395.78125</v>
      </c>
      <c r="J694" s="3">
        <v>35997.6796875</v>
      </c>
      <c r="K694" s="3">
        <v>177524.21875</v>
      </c>
      <c r="L694" s="3">
        <v>2.5661652907729201E-3</v>
      </c>
      <c r="M694" s="3">
        <v>0.39057946205139199</v>
      </c>
      <c r="N694" s="3">
        <v>0.391561448574066</v>
      </c>
      <c r="O694" s="3">
        <v>30908.140625</v>
      </c>
      <c r="P694" s="3">
        <v>38630.9921875</v>
      </c>
      <c r="Q694" s="3">
        <v>0.95840585231780995</v>
      </c>
      <c r="R694" s="3">
        <v>0.40608525276184099</v>
      </c>
      <c r="S694" s="3">
        <v>0.27862343192100503</v>
      </c>
      <c r="T694" s="3">
        <v>0.29901316761970498</v>
      </c>
      <c r="U694" s="3">
        <v>0.31893286108970598</v>
      </c>
      <c r="W694" t="s">
        <v>51</v>
      </c>
      <c r="X694" t="s">
        <v>51</v>
      </c>
      <c r="Y694" t="s">
        <v>52</v>
      </c>
      <c r="Z694" t="s">
        <v>53</v>
      </c>
      <c r="AA694" t="s">
        <v>53</v>
      </c>
      <c r="AC694" s="2">
        <v>0.466781768001791</v>
      </c>
      <c r="AD694" s="2">
        <v>0.54708164930343595</v>
      </c>
      <c r="AE694" s="2">
        <v>0.237530782818794</v>
      </c>
      <c r="AF694" s="2">
        <v>0.25640121102333102</v>
      </c>
      <c r="AG694" s="2">
        <v>0.33375990390777599</v>
      </c>
      <c r="AH694" s="2">
        <v>-0.236484780907631</v>
      </c>
      <c r="AI694" s="2">
        <v>-0.13828876614570601</v>
      </c>
      <c r="AJ694" s="2">
        <v>0.32800487847276599</v>
      </c>
      <c r="AK694" s="2">
        <v>0.36798442471533899</v>
      </c>
      <c r="AL694" s="2">
        <v>0.173258535719786</v>
      </c>
      <c r="AM694" s="2">
        <v>0.51608896255493197</v>
      </c>
      <c r="AN694" s="2">
        <v>0.50949949026107799</v>
      </c>
      <c r="AO694" s="2">
        <v>0.20779454708099401</v>
      </c>
      <c r="AP694" s="2">
        <v>0.33151769638061501</v>
      </c>
    </row>
    <row r="695" spans="1:42" x14ac:dyDescent="0.3">
      <c r="A695" t="s">
        <v>259</v>
      </c>
      <c r="B695" s="3">
        <v>2018</v>
      </c>
      <c r="C695" s="3">
        <v>3.1677059999999999</v>
      </c>
      <c r="D695" s="3"/>
      <c r="E695" t="s">
        <v>260</v>
      </c>
      <c r="G695" s="3">
        <v>31690.072265625</v>
      </c>
      <c r="H695" s="3">
        <v>45260.0859375</v>
      </c>
      <c r="I695" s="3">
        <v>41135.65234375</v>
      </c>
      <c r="J695" s="3">
        <v>39755.2265625</v>
      </c>
      <c r="K695" s="3">
        <v>183884.65625</v>
      </c>
      <c r="L695" s="3">
        <v>2.5952837895602001E-3</v>
      </c>
      <c r="M695" s="3">
        <v>0.415057003498077</v>
      </c>
      <c r="N695" s="3">
        <v>0.45485690236091603</v>
      </c>
      <c r="O695" s="3">
        <v>33886.84765625</v>
      </c>
      <c r="P695" s="3">
        <v>47010.609375</v>
      </c>
      <c r="Q695" s="3">
        <v>0.99402862787246704</v>
      </c>
      <c r="R695" s="3">
        <v>0.40633225440978998</v>
      </c>
      <c r="S695" s="3">
        <v>0.29378592967987099</v>
      </c>
      <c r="T695" s="3">
        <v>0.32035669684410101</v>
      </c>
      <c r="U695" s="3">
        <v>0.331480532884598</v>
      </c>
      <c r="W695" t="s">
        <v>50</v>
      </c>
      <c r="X695" t="s">
        <v>51</v>
      </c>
      <c r="Y695" t="s">
        <v>52</v>
      </c>
      <c r="Z695" t="s">
        <v>53</v>
      </c>
      <c r="AA695" t="s">
        <v>53</v>
      </c>
      <c r="AC695" s="2">
        <v>0.44794308587646497</v>
      </c>
      <c r="AD695" s="2">
        <v>0.55465686321258501</v>
      </c>
      <c r="AE695" s="2">
        <v>0.341339141130447</v>
      </c>
      <c r="AF695" s="2">
        <v>0.24247285723686199</v>
      </c>
      <c r="AG695" s="2">
        <v>0.32612761855125399</v>
      </c>
      <c r="AH695" s="2">
        <v>-0.27805489301681502</v>
      </c>
      <c r="AI695" s="2">
        <v>-0.186541557312012</v>
      </c>
      <c r="AJ695" s="2">
        <v>0.34635951252567798</v>
      </c>
      <c r="AK695" s="2">
        <v>0.382407463861971</v>
      </c>
      <c r="AL695" s="2">
        <v>0.17352386281775101</v>
      </c>
      <c r="AM695" s="2">
        <v>0.54081052541732799</v>
      </c>
      <c r="AN695" s="2">
        <v>0.53145611286163297</v>
      </c>
      <c r="AO695" s="2">
        <v>0.21784743666648901</v>
      </c>
      <c r="AP695" s="2">
        <v>0.35643190145492598</v>
      </c>
    </row>
    <row r="696" spans="1:42" x14ac:dyDescent="0.3">
      <c r="A696" t="s">
        <v>259</v>
      </c>
      <c r="B696" s="3">
        <v>2019</v>
      </c>
      <c r="C696" s="3">
        <v>3.232113</v>
      </c>
      <c r="D696" s="3"/>
      <c r="E696" t="s">
        <v>260</v>
      </c>
      <c r="G696" s="3">
        <v>35151.38671875</v>
      </c>
      <c r="H696" s="3">
        <v>48718.89453125</v>
      </c>
      <c r="I696" s="3">
        <v>45977.62890625</v>
      </c>
      <c r="J696" s="3">
        <v>43627.33203125</v>
      </c>
      <c r="K696" s="3">
        <v>193279.53125</v>
      </c>
      <c r="L696" s="3">
        <v>2.63550993986428E-3</v>
      </c>
      <c r="M696" s="3">
        <v>0.44032621383666998</v>
      </c>
      <c r="N696" s="3">
        <v>0.473166644573212</v>
      </c>
      <c r="O696" s="3">
        <v>36253.83203125</v>
      </c>
      <c r="P696" s="3">
        <v>49160.76171875</v>
      </c>
      <c r="Q696" s="3">
        <v>1.0145614147186299</v>
      </c>
      <c r="R696" s="3">
        <v>0.398842662572861</v>
      </c>
      <c r="S696" s="3">
        <v>0.28439965844154402</v>
      </c>
      <c r="T696" s="3">
        <v>0.30898395180702198</v>
      </c>
      <c r="U696" s="3">
        <v>0.325629562139511</v>
      </c>
      <c r="W696" t="s">
        <v>50</v>
      </c>
      <c r="X696" t="s">
        <v>54</v>
      </c>
      <c r="Y696" t="s">
        <v>52</v>
      </c>
      <c r="Z696" t="s">
        <v>53</v>
      </c>
      <c r="AA696" t="s">
        <v>53</v>
      </c>
      <c r="AC696" s="2">
        <v>0.42655885506694702</v>
      </c>
      <c r="AD696" s="2">
        <v>0.55430763959884599</v>
      </c>
      <c r="AE696" s="2">
        <v>0.31098639965057401</v>
      </c>
      <c r="AF696" s="2">
        <v>0.25141176581382801</v>
      </c>
      <c r="AG696" s="2">
        <v>0.32777327299117998</v>
      </c>
      <c r="AH696" s="2">
        <v>-0.279805868864059</v>
      </c>
      <c r="AI696" s="2">
        <v>-0.16467319428920699</v>
      </c>
      <c r="AJ696" s="2">
        <v>0.33638883504810801</v>
      </c>
      <c r="AK696" s="2">
        <v>0.37267816030517398</v>
      </c>
      <c r="AL696" s="2">
        <v>0.16977493841862101</v>
      </c>
      <c r="AM696" s="2">
        <v>0.53285467624664296</v>
      </c>
      <c r="AN696" s="2">
        <v>0.50194668769836404</v>
      </c>
      <c r="AO696" s="2">
        <v>0.2139662951231</v>
      </c>
      <c r="AP696" s="2">
        <v>0.368571996688843</v>
      </c>
    </row>
    <row r="697" spans="1:42" x14ac:dyDescent="0.3">
      <c r="A697" t="s">
        <v>259</v>
      </c>
      <c r="B697" s="3">
        <v>2020</v>
      </c>
      <c r="C697" s="3">
        <v>3.2907850000000001</v>
      </c>
      <c r="D697" s="3"/>
      <c r="E697" t="s">
        <v>260</v>
      </c>
      <c r="G697" s="3">
        <v>38427.828125</v>
      </c>
      <c r="H697" s="3">
        <v>46580.890625</v>
      </c>
      <c r="I697" s="3">
        <v>47210.9609375</v>
      </c>
      <c r="J697" s="3">
        <v>43240.2890625</v>
      </c>
      <c r="K697" s="3">
        <v>203664.640625</v>
      </c>
      <c r="L697" s="3">
        <v>2.7164642233401498E-3</v>
      </c>
      <c r="M697" s="3">
        <v>0.44044426083564803</v>
      </c>
      <c r="N697" s="3">
        <v>0.455169767141342</v>
      </c>
      <c r="O697" s="3">
        <v>37854.03125</v>
      </c>
      <c r="P697" s="3">
        <v>43836.09765625</v>
      </c>
      <c r="Q697" s="3">
        <v>0.99784487485885598</v>
      </c>
      <c r="R697" s="3">
        <v>0.44291144609451299</v>
      </c>
      <c r="S697" s="3">
        <v>0.26427182555198703</v>
      </c>
      <c r="T697" s="3">
        <v>0.281989395618439</v>
      </c>
      <c r="U697" s="3">
        <v>0.30788391828536998</v>
      </c>
      <c r="W697" t="s">
        <v>50</v>
      </c>
      <c r="X697" t="s">
        <v>54</v>
      </c>
      <c r="Y697" t="s">
        <v>52</v>
      </c>
      <c r="Z697" t="s">
        <v>53</v>
      </c>
      <c r="AA697" t="s">
        <v>53</v>
      </c>
      <c r="AC697" s="2">
        <v>0.40416404944991602</v>
      </c>
      <c r="AD697" s="2">
        <v>0.58741086721420299</v>
      </c>
      <c r="AE697" s="2">
        <v>0.18855248391628299</v>
      </c>
      <c r="AF697" s="2">
        <v>0.30129337310790999</v>
      </c>
      <c r="AG697" s="2">
        <v>0.30177119374275202</v>
      </c>
      <c r="AH697" s="2">
        <v>-0.235244110226631</v>
      </c>
      <c r="AI697" s="2">
        <v>-0.14378383755683899</v>
      </c>
      <c r="AJ697" s="2">
        <v>0.316954246337457</v>
      </c>
      <c r="AK697" s="2">
        <v>0.36549746019364998</v>
      </c>
      <c r="AL697" s="2">
        <v>0.16156058868728901</v>
      </c>
      <c r="AM697" s="2">
        <v>0.53284060955047596</v>
      </c>
      <c r="AN697" s="2">
        <v>0.47787910699844399</v>
      </c>
      <c r="AO697" s="2">
        <v>0.207969784736633</v>
      </c>
      <c r="AP697" s="2">
        <v>0.32420581579208402</v>
      </c>
    </row>
    <row r="698" spans="1:42" x14ac:dyDescent="0.3">
      <c r="A698" t="s">
        <v>261</v>
      </c>
      <c r="B698" s="3">
        <v>2015</v>
      </c>
      <c r="C698" s="3">
        <v>26.547571999999999</v>
      </c>
      <c r="D698" s="3">
        <v>1487.61</v>
      </c>
      <c r="E698" t="s">
        <v>262</v>
      </c>
      <c r="G698" s="3">
        <v>37582.14453125</v>
      </c>
      <c r="H698" s="3">
        <v>51143.92578125</v>
      </c>
      <c r="I698" s="3">
        <v>38276.62109375</v>
      </c>
      <c r="J698" s="3">
        <v>40292.85546875</v>
      </c>
      <c r="K698" s="3">
        <v>155446.984375</v>
      </c>
      <c r="L698" s="3">
        <v>2.3340098559856402E-3</v>
      </c>
      <c r="M698" s="3">
        <v>0.28807815909385698</v>
      </c>
      <c r="N698" s="3">
        <v>0.35276770591735801</v>
      </c>
      <c r="O698" s="3">
        <v>32723.015625</v>
      </c>
      <c r="P698" s="3">
        <v>47493.94140625</v>
      </c>
      <c r="Q698" s="3">
        <v>1.0706821680069001</v>
      </c>
      <c r="R698" s="3">
        <v>0.53965312242507901</v>
      </c>
      <c r="S698" s="3">
        <v>0.394077688455582</v>
      </c>
      <c r="T698" s="3">
        <v>0.42346963286399802</v>
      </c>
      <c r="U698" s="3">
        <v>0.40227943658828702</v>
      </c>
      <c r="W698" t="s">
        <v>50</v>
      </c>
      <c r="X698" t="s">
        <v>51</v>
      </c>
      <c r="Y698" t="s">
        <v>52</v>
      </c>
      <c r="Z698" t="s">
        <v>53</v>
      </c>
      <c r="AA698" t="s">
        <v>53</v>
      </c>
      <c r="AC698" s="2">
        <v>0.45198521277516501</v>
      </c>
      <c r="AD698" s="2">
        <v>0.70803016424179099</v>
      </c>
      <c r="AE698" s="2">
        <v>0.33658027648925798</v>
      </c>
      <c r="AF698" s="2">
        <v>0.224694579839706</v>
      </c>
      <c r="AG698" s="2">
        <v>0.23534633219242099</v>
      </c>
      <c r="AH698" s="2">
        <v>-0.50465136766433705</v>
      </c>
      <c r="AI698" s="2">
        <v>-1.54303935080702E-12</v>
      </c>
      <c r="AJ698" s="2">
        <v>0.37417274742816398</v>
      </c>
      <c r="AK698" s="2">
        <v>0.50491995944479495</v>
      </c>
      <c r="AL698" s="2">
        <v>0.45679973008581498</v>
      </c>
      <c r="AM698" s="2">
        <v>0.55676084756851196</v>
      </c>
      <c r="AN698" s="2">
        <v>0.52762043476104703</v>
      </c>
      <c r="AO698" s="2">
        <v>0.31237030029296903</v>
      </c>
      <c r="AP698" s="2">
        <v>0.42713028192520103</v>
      </c>
    </row>
    <row r="699" spans="1:42" x14ac:dyDescent="0.3">
      <c r="A699" t="s">
        <v>261</v>
      </c>
      <c r="B699" s="3">
        <v>2016</v>
      </c>
      <c r="C699" s="3">
        <v>27.337105000000001</v>
      </c>
      <c r="D699" s="3">
        <v>1490.68</v>
      </c>
      <c r="E699" t="s">
        <v>262</v>
      </c>
      <c r="G699" s="3">
        <v>38831.38671875</v>
      </c>
      <c r="H699" s="3">
        <v>53218.9296875</v>
      </c>
      <c r="I699" s="3">
        <v>38114.12109375</v>
      </c>
      <c r="J699" s="3">
        <v>44487.61328125</v>
      </c>
      <c r="K699" s="3">
        <v>182748.859375</v>
      </c>
      <c r="L699" s="3">
        <v>2.64899269677699E-3</v>
      </c>
      <c r="M699" s="3">
        <v>0.28987455368041998</v>
      </c>
      <c r="N699" s="3">
        <v>0.33525794744491599</v>
      </c>
      <c r="O699" s="3">
        <v>36108.29296875</v>
      </c>
      <c r="P699" s="3">
        <v>51445.50390625</v>
      </c>
      <c r="Q699" s="3">
        <v>1.05161464214325</v>
      </c>
      <c r="R699" s="3">
        <v>0.53965312242507901</v>
      </c>
      <c r="S699" s="3">
        <v>0.29013824462890597</v>
      </c>
      <c r="T699" s="3">
        <v>0.31665563583374001</v>
      </c>
      <c r="U699" s="3">
        <v>0.271290123462677</v>
      </c>
      <c r="W699" t="s">
        <v>50</v>
      </c>
      <c r="X699" t="s">
        <v>51</v>
      </c>
      <c r="Y699" t="s">
        <v>52</v>
      </c>
      <c r="Z699" t="s">
        <v>53</v>
      </c>
      <c r="AA699" t="s">
        <v>53</v>
      </c>
      <c r="AC699" s="2">
        <v>0.40068749609691001</v>
      </c>
      <c r="AD699" s="2">
        <v>0.66004770994186401</v>
      </c>
      <c r="AE699" s="2">
        <v>0.32340559363365201</v>
      </c>
      <c r="AF699" s="2">
        <v>0.21281068027019501</v>
      </c>
      <c r="AG699" s="2">
        <v>0.195044696331024</v>
      </c>
      <c r="AH699" s="2">
        <v>-0.39130866527557401</v>
      </c>
      <c r="AI699" s="2">
        <v>0</v>
      </c>
      <c r="AJ699" s="2">
        <v>0.276513569308457</v>
      </c>
      <c r="AK699" s="2">
        <v>0.38822505786801498</v>
      </c>
      <c r="AL699" s="2">
        <v>0.33239613284480501</v>
      </c>
      <c r="AM699" s="2">
        <v>0.49213185906410201</v>
      </c>
      <c r="AN699" s="2">
        <v>0.52005314826965299</v>
      </c>
      <c r="AO699" s="2">
        <v>0.22535243630409199</v>
      </c>
      <c r="AP699" s="2">
        <v>0.27148187160491899</v>
      </c>
    </row>
    <row r="700" spans="1:42" x14ac:dyDescent="0.3">
      <c r="A700" t="s">
        <v>261</v>
      </c>
      <c r="B700" s="3">
        <v>2017</v>
      </c>
      <c r="C700" s="3">
        <v>28.166392999999999</v>
      </c>
      <c r="D700" s="3">
        <v>1493.7</v>
      </c>
      <c r="E700" t="s">
        <v>262</v>
      </c>
      <c r="G700" s="3">
        <v>36550.08984375</v>
      </c>
      <c r="H700" s="3">
        <v>45989.43359375</v>
      </c>
      <c r="I700" s="3">
        <v>37190.61328125</v>
      </c>
      <c r="J700" s="3">
        <v>40282.5078125</v>
      </c>
      <c r="K700" s="3">
        <v>182857.296875</v>
      </c>
      <c r="L700" s="3">
        <v>2.5687685701996101E-3</v>
      </c>
      <c r="M700" s="3">
        <v>0.25932177901268</v>
      </c>
      <c r="N700" s="3">
        <v>0.28511160612106301</v>
      </c>
      <c r="O700" s="3">
        <v>36536.1640625</v>
      </c>
      <c r="P700" s="3">
        <v>49154.04296875</v>
      </c>
      <c r="Q700" s="3">
        <v>1.0748690366745</v>
      </c>
      <c r="R700" s="3">
        <v>0.53965312242507901</v>
      </c>
      <c r="S700" s="3">
        <v>0.33190336823463401</v>
      </c>
      <c r="T700" s="3">
        <v>0.35666635632514998</v>
      </c>
      <c r="U700" s="3">
        <v>0.32929036021232599</v>
      </c>
      <c r="W700" t="s">
        <v>51</v>
      </c>
      <c r="X700" t="s">
        <v>51</v>
      </c>
      <c r="Y700" t="s">
        <v>52</v>
      </c>
      <c r="Z700" t="s">
        <v>53</v>
      </c>
      <c r="AA700" t="s">
        <v>53</v>
      </c>
      <c r="AC700" s="2">
        <v>0.42030374758683697</v>
      </c>
      <c r="AD700" s="2">
        <v>0.68489801883697499</v>
      </c>
      <c r="AE700" s="2">
        <v>0.234328612685204</v>
      </c>
      <c r="AF700" s="2">
        <v>0.222445979714394</v>
      </c>
      <c r="AG700" s="2">
        <v>0.28039813041687001</v>
      </c>
      <c r="AH700" s="2">
        <v>-0.42207071185112</v>
      </c>
      <c r="AI700" s="2">
        <v>0</v>
      </c>
      <c r="AJ700" s="2">
        <v>0.321596982227074</v>
      </c>
      <c r="AK700" s="2">
        <v>0.45255108855014198</v>
      </c>
      <c r="AL700" s="2">
        <v>0.36363614178263598</v>
      </c>
      <c r="AM700" s="2">
        <v>0.48200091719627403</v>
      </c>
      <c r="AN700" s="2">
        <v>0.50479221343994096</v>
      </c>
      <c r="AO700" s="2">
        <v>0.26457417011260997</v>
      </c>
      <c r="AP700" s="2">
        <v>0.296584993600845</v>
      </c>
    </row>
    <row r="701" spans="1:42" x14ac:dyDescent="0.3">
      <c r="A701" t="s">
        <v>261</v>
      </c>
      <c r="B701" s="3">
        <v>2018</v>
      </c>
      <c r="C701" s="3">
        <v>29.018643999999998</v>
      </c>
      <c r="D701" s="3">
        <v>1496.63</v>
      </c>
      <c r="E701" t="s">
        <v>262</v>
      </c>
      <c r="G701" s="3">
        <v>36750.04296875</v>
      </c>
      <c r="H701" s="3">
        <v>51022.55859375</v>
      </c>
      <c r="I701" s="3">
        <v>38206.15625</v>
      </c>
      <c r="J701" s="3">
        <v>41878.03515625</v>
      </c>
      <c r="K701" s="3">
        <v>179809.953125</v>
      </c>
      <c r="L701" s="3">
        <v>2.5492850691080102E-3</v>
      </c>
      <c r="M701" s="3">
        <v>0.26117688417434698</v>
      </c>
      <c r="N701" s="3">
        <v>0.30630671977996798</v>
      </c>
      <c r="O701" s="3">
        <v>37226.21875</v>
      </c>
      <c r="P701" s="3">
        <v>54395.6640625</v>
      </c>
      <c r="Q701" s="3">
        <v>1.0500197410583501</v>
      </c>
      <c r="R701" s="3">
        <v>0.53965312242507901</v>
      </c>
      <c r="S701" s="3">
        <v>0.35781979560852101</v>
      </c>
      <c r="T701" s="3">
        <v>0.39306122064590499</v>
      </c>
      <c r="U701" s="3">
        <v>0.35859751701355003</v>
      </c>
      <c r="W701" t="s">
        <v>50</v>
      </c>
      <c r="X701" t="s">
        <v>51</v>
      </c>
      <c r="Y701" t="s">
        <v>52</v>
      </c>
      <c r="Z701" t="s">
        <v>53</v>
      </c>
      <c r="AA701" t="s">
        <v>53</v>
      </c>
      <c r="AC701" s="2">
        <v>0.42618414612587002</v>
      </c>
      <c r="AD701" s="2">
        <v>0.66616141796112105</v>
      </c>
      <c r="AE701" s="2">
        <v>0.34081152081489602</v>
      </c>
      <c r="AF701" s="2">
        <v>0.21138794720172899</v>
      </c>
      <c r="AG701" s="2">
        <v>0.31935417652130099</v>
      </c>
      <c r="AH701" s="2">
        <v>-0.53771507740020796</v>
      </c>
      <c r="AI701" s="2">
        <v>-1.1039403982962499E-12</v>
      </c>
      <c r="AJ701" s="2">
        <v>0.35440592919448199</v>
      </c>
      <c r="AK701" s="2">
        <v>0.48380369751332303</v>
      </c>
      <c r="AL701" s="2">
        <v>0.36857818880096499</v>
      </c>
      <c r="AM701" s="2">
        <v>0.51126044988632202</v>
      </c>
      <c r="AN701" s="2">
        <v>0.52735382318496704</v>
      </c>
      <c r="AO701" s="2">
        <v>0.28913357853889499</v>
      </c>
      <c r="AP701" s="2">
        <v>0.32064619660377502</v>
      </c>
    </row>
    <row r="702" spans="1:42" x14ac:dyDescent="0.3">
      <c r="A702" t="s">
        <v>261</v>
      </c>
      <c r="B702" s="3">
        <v>2019</v>
      </c>
      <c r="C702" s="3">
        <v>29.88438</v>
      </c>
      <c r="D702" s="3">
        <v>1499.11</v>
      </c>
      <c r="E702" t="s">
        <v>262</v>
      </c>
      <c r="G702" s="3">
        <v>39980.4375</v>
      </c>
      <c r="H702" s="3">
        <v>53716.4453125</v>
      </c>
      <c r="I702" s="3">
        <v>40909.03125</v>
      </c>
      <c r="J702" s="3">
        <v>46566.1640625</v>
      </c>
      <c r="K702" s="3">
        <v>202906.890625</v>
      </c>
      <c r="L702" s="3">
        <v>2.78775417245924E-3</v>
      </c>
      <c r="M702" s="3">
        <v>0.26763567328453097</v>
      </c>
      <c r="N702" s="3">
        <v>0.29708540439605702</v>
      </c>
      <c r="O702" s="3">
        <v>39408.23828125</v>
      </c>
      <c r="P702" s="3">
        <v>52484.73828125</v>
      </c>
      <c r="Q702" s="3">
        <v>1.0434103012085001</v>
      </c>
      <c r="R702" s="3">
        <v>0.53965312242507901</v>
      </c>
      <c r="S702" s="3">
        <v>0.35099634528160101</v>
      </c>
      <c r="T702" s="3">
        <v>0.37920132279396102</v>
      </c>
      <c r="U702" s="3">
        <v>0.33313372731208801</v>
      </c>
      <c r="W702" t="s">
        <v>50</v>
      </c>
      <c r="X702" t="s">
        <v>54</v>
      </c>
      <c r="Y702" t="s">
        <v>52</v>
      </c>
      <c r="Z702" t="s">
        <v>53</v>
      </c>
      <c r="AA702" t="s">
        <v>53</v>
      </c>
      <c r="AC702" s="2">
        <v>0.43251237494469902</v>
      </c>
      <c r="AD702" s="2">
        <v>0.64999806880950906</v>
      </c>
      <c r="AE702" s="2">
        <v>0.29497832059860202</v>
      </c>
      <c r="AF702" s="2">
        <v>0.20857468247413599</v>
      </c>
      <c r="AG702" s="2">
        <v>0.27776378393173201</v>
      </c>
      <c r="AH702" s="2">
        <v>-0.43131485581397999</v>
      </c>
      <c r="AI702" s="2">
        <v>1.1725762962461E-16</v>
      </c>
      <c r="AJ702" s="2">
        <v>0.34792457378384201</v>
      </c>
      <c r="AK702" s="2">
        <v>0.46129557272090399</v>
      </c>
      <c r="AL702" s="2">
        <v>0.36056911928504798</v>
      </c>
      <c r="AM702" s="2">
        <v>0.44546020030975297</v>
      </c>
      <c r="AN702" s="2">
        <v>0.52867895364761397</v>
      </c>
      <c r="AO702" s="2">
        <v>0.28066998720169101</v>
      </c>
      <c r="AP702" s="2">
        <v>0.29136419296264698</v>
      </c>
    </row>
    <row r="703" spans="1:42" x14ac:dyDescent="0.3">
      <c r="A703" t="s">
        <v>261</v>
      </c>
      <c r="B703" s="3">
        <v>2020</v>
      </c>
      <c r="C703" s="3">
        <v>30.783688000000001</v>
      </c>
      <c r="D703" s="3">
        <v>1456.8</v>
      </c>
      <c r="E703" t="s">
        <v>262</v>
      </c>
      <c r="G703" s="3">
        <v>39019.86328125</v>
      </c>
      <c r="H703" s="3">
        <v>54291.08203125</v>
      </c>
      <c r="I703" s="3">
        <v>40417.28515625</v>
      </c>
      <c r="J703" s="3">
        <v>45896.13671875</v>
      </c>
      <c r="K703" s="3">
        <v>208580</v>
      </c>
      <c r="L703" s="3">
        <v>2.7698064222931901E-3</v>
      </c>
      <c r="M703" s="3">
        <v>0.25972297787666299</v>
      </c>
      <c r="N703" s="3">
        <v>0.29473119974136402</v>
      </c>
      <c r="O703" s="3">
        <v>38467.546875</v>
      </c>
      <c r="P703" s="3">
        <v>53099.4765625</v>
      </c>
      <c r="Q703" s="3">
        <v>1.02222859859467</v>
      </c>
      <c r="R703" s="3">
        <v>0.53965312242507901</v>
      </c>
      <c r="S703" s="3">
        <v>0.326517313718796</v>
      </c>
      <c r="T703" s="3">
        <v>0.35221120715141302</v>
      </c>
      <c r="U703" s="3">
        <v>0.31016600131988498</v>
      </c>
      <c r="W703" t="s">
        <v>50</v>
      </c>
      <c r="X703" t="s">
        <v>54</v>
      </c>
      <c r="Y703" t="s">
        <v>52</v>
      </c>
      <c r="Z703" t="s">
        <v>53</v>
      </c>
      <c r="AA703" t="s">
        <v>53</v>
      </c>
      <c r="AC703" s="2">
        <v>0.441993769792415</v>
      </c>
      <c r="AD703" s="2">
        <v>0.65923345088958696</v>
      </c>
      <c r="AE703" s="2">
        <v>0.33273425698280301</v>
      </c>
      <c r="AF703" s="2">
        <v>0.19094407558441201</v>
      </c>
      <c r="AG703" s="2">
        <v>0.22978191077709201</v>
      </c>
      <c r="AH703" s="2">
        <v>-0.41269370913505599</v>
      </c>
      <c r="AI703" s="2">
        <v>2.55558231106756E-16</v>
      </c>
      <c r="AJ703" s="2">
        <v>0.32400104406594898</v>
      </c>
      <c r="AK703" s="2">
        <v>0.41786228123035202</v>
      </c>
      <c r="AL703" s="2">
        <v>0.335204766998424</v>
      </c>
      <c r="AM703" s="2">
        <v>0.44260677695274397</v>
      </c>
      <c r="AN703" s="2">
        <v>0.50442212820053101</v>
      </c>
      <c r="AO703" s="2">
        <v>0.25532770156860402</v>
      </c>
      <c r="AP703" s="2">
        <v>0.28095129132270802</v>
      </c>
    </row>
    <row r="704" spans="1:42" x14ac:dyDescent="0.3">
      <c r="A704" t="s">
        <v>263</v>
      </c>
      <c r="B704" s="3">
        <v>2015</v>
      </c>
      <c r="C704" s="3">
        <v>3.9659589999999998</v>
      </c>
      <c r="D704" s="3"/>
      <c r="E704" t="s">
        <v>264</v>
      </c>
      <c r="G704" s="3">
        <v>16402.96484375</v>
      </c>
      <c r="H704" s="3">
        <v>21643.833984375</v>
      </c>
      <c r="I704" s="3">
        <v>18505.884765625</v>
      </c>
      <c r="J704" s="3">
        <v>20582.34765625</v>
      </c>
      <c r="K704" s="3">
        <v>103822.6953125</v>
      </c>
      <c r="L704" s="3">
        <v>1.39940937515348E-3</v>
      </c>
      <c r="M704" s="3">
        <v>0.49632906913757302</v>
      </c>
      <c r="N704" s="3">
        <v>0.50352525711059604</v>
      </c>
      <c r="O704" s="3">
        <v>16357.322265625</v>
      </c>
      <c r="P704" s="3">
        <v>19992.9609375</v>
      </c>
      <c r="Q704" s="3">
        <v>1.0144792795181301</v>
      </c>
      <c r="R704" s="3">
        <v>0.40408957004547102</v>
      </c>
      <c r="S704" s="3">
        <v>0.29511010646820102</v>
      </c>
      <c r="T704" s="3">
        <v>0.333238005638123</v>
      </c>
      <c r="U704" s="3">
        <v>0.29961907863616899</v>
      </c>
      <c r="W704" t="s">
        <v>50</v>
      </c>
      <c r="X704" t="s">
        <v>51</v>
      </c>
      <c r="Y704" t="s">
        <v>52</v>
      </c>
      <c r="Z704" t="s">
        <v>53</v>
      </c>
      <c r="AA704" t="s">
        <v>53</v>
      </c>
      <c r="AC704" s="2">
        <v>0.478090234734178</v>
      </c>
      <c r="AD704" s="2">
        <v>0.60659098625183105</v>
      </c>
      <c r="AE704" s="2">
        <v>0.25462928414344799</v>
      </c>
      <c r="AF704" s="2">
        <v>0.19035238027572601</v>
      </c>
      <c r="AG704" s="2">
        <v>0.15847235918045</v>
      </c>
      <c r="AH704" s="2">
        <v>-0.34398970007896401</v>
      </c>
      <c r="AI704" s="2">
        <v>0.13394470512866999</v>
      </c>
      <c r="AJ704" s="2">
        <v>0.31551475443154497</v>
      </c>
      <c r="AK704" s="2">
        <v>0.45257134965915102</v>
      </c>
      <c r="AL704" s="2">
        <v>0.23008720460232901</v>
      </c>
      <c r="AM704" s="2">
        <v>0.56158095598220803</v>
      </c>
      <c r="AN704" s="2">
        <v>0.52307480573654197</v>
      </c>
      <c r="AO704" s="2">
        <v>0.285590440034866</v>
      </c>
      <c r="AP704" s="2">
        <v>0.350850850343704</v>
      </c>
    </row>
    <row r="705" spans="1:42" x14ac:dyDescent="0.3">
      <c r="A705" t="s">
        <v>263</v>
      </c>
      <c r="B705" s="3">
        <v>2016</v>
      </c>
      <c r="C705" s="3">
        <v>4.0866569999999998</v>
      </c>
      <c r="D705" s="3"/>
      <c r="E705" t="s">
        <v>264</v>
      </c>
      <c r="G705" s="3">
        <v>17784.560546875</v>
      </c>
      <c r="H705" s="3">
        <v>22587.2578125</v>
      </c>
      <c r="I705" s="3">
        <v>21449.78125</v>
      </c>
      <c r="J705" s="3">
        <v>21894.716796875</v>
      </c>
      <c r="K705" s="3">
        <v>107973.0234375</v>
      </c>
      <c r="L705" s="3">
        <v>1.3589552836492701E-3</v>
      </c>
      <c r="M705" s="3">
        <v>0.52353507280349698</v>
      </c>
      <c r="N705" s="3">
        <v>0.52216982841491699</v>
      </c>
      <c r="O705" s="3">
        <v>17011.744140625</v>
      </c>
      <c r="P705" s="3">
        <v>20009.861328125</v>
      </c>
      <c r="Q705" s="3">
        <v>1.00664615631104</v>
      </c>
      <c r="R705" s="3">
        <v>0.40408957004547102</v>
      </c>
      <c r="S705" s="3">
        <v>0.26633745431900002</v>
      </c>
      <c r="T705" s="3">
        <v>0.29831296205520602</v>
      </c>
      <c r="U705" s="3">
        <v>0.29225075244903598</v>
      </c>
      <c r="W705" t="s">
        <v>50</v>
      </c>
      <c r="X705" t="s">
        <v>51</v>
      </c>
      <c r="Y705" t="s">
        <v>52</v>
      </c>
      <c r="Z705" t="s">
        <v>53</v>
      </c>
      <c r="AA705" t="s">
        <v>53</v>
      </c>
      <c r="AC705" s="2">
        <v>0.482049198656406</v>
      </c>
      <c r="AD705" s="2">
        <v>0.60769623517990101</v>
      </c>
      <c r="AE705" s="2">
        <v>0.219354197382927</v>
      </c>
      <c r="AF705" s="2">
        <v>0.204580083489418</v>
      </c>
      <c r="AG705" s="2">
        <v>0.13423228263855</v>
      </c>
      <c r="AH705" s="2">
        <v>-0.19895550608634999</v>
      </c>
      <c r="AI705" s="2">
        <v>3.30926962196827E-2</v>
      </c>
      <c r="AJ705" s="2">
        <v>0.29136214735216398</v>
      </c>
      <c r="AK705" s="2">
        <v>0.41671937992465702</v>
      </c>
      <c r="AL705" s="2">
        <v>0.192002710833512</v>
      </c>
      <c r="AM705" s="2">
        <v>0.552151739597321</v>
      </c>
      <c r="AN705" s="2">
        <v>0.499035954475403</v>
      </c>
      <c r="AO705" s="2">
        <v>0.260661631822586</v>
      </c>
      <c r="AP705" s="2">
        <v>0.36319017410278298</v>
      </c>
    </row>
    <row r="706" spans="1:42" x14ac:dyDescent="0.3">
      <c r="A706" t="s">
        <v>263</v>
      </c>
      <c r="B706" s="3">
        <v>2017</v>
      </c>
      <c r="C706" s="3">
        <v>4.2106000000000003</v>
      </c>
      <c r="D706" s="3"/>
      <c r="E706" t="s">
        <v>264</v>
      </c>
      <c r="G706" s="3">
        <v>18807.921875</v>
      </c>
      <c r="H706" s="3">
        <v>25378.802734375</v>
      </c>
      <c r="I706" s="3">
        <v>23112.8984375</v>
      </c>
      <c r="J706" s="3">
        <v>25167.234375</v>
      </c>
      <c r="K706" s="3">
        <v>112922.171875</v>
      </c>
      <c r="L706" s="3">
        <v>1.3447192031890199E-3</v>
      </c>
      <c r="M706" s="3">
        <v>0.58806210756301902</v>
      </c>
      <c r="N706" s="3">
        <v>0.57107496261596702</v>
      </c>
      <c r="O706" s="3">
        <v>17576.20703125</v>
      </c>
      <c r="P706" s="3">
        <v>22012.205078125</v>
      </c>
      <c r="Q706" s="3">
        <v>1.0419607162475599</v>
      </c>
      <c r="R706" s="3">
        <v>0.40408957004547102</v>
      </c>
      <c r="S706" s="3">
        <v>0.25997695326805098</v>
      </c>
      <c r="T706" s="3">
        <v>0.29421389102935802</v>
      </c>
      <c r="U706" s="3">
        <v>0.27019795775413502</v>
      </c>
      <c r="W706" t="s">
        <v>51</v>
      </c>
      <c r="X706" t="s">
        <v>51</v>
      </c>
      <c r="Y706" t="s">
        <v>52</v>
      </c>
      <c r="Z706" t="s">
        <v>53</v>
      </c>
      <c r="AA706" t="s">
        <v>53</v>
      </c>
      <c r="AC706" s="2">
        <v>0.412213583869043</v>
      </c>
      <c r="AD706" s="2">
        <v>0.53494292497634899</v>
      </c>
      <c r="AE706" s="2">
        <v>0.26108866930007901</v>
      </c>
      <c r="AF706" s="2">
        <v>0.21237480640411399</v>
      </c>
      <c r="AG706" s="2">
        <v>0.14024418592453</v>
      </c>
      <c r="AH706" s="2">
        <v>-0.27604913711547902</v>
      </c>
      <c r="AI706" s="2">
        <v>0.12739858031272899</v>
      </c>
      <c r="AJ706" s="2">
        <v>0.29560068081569002</v>
      </c>
      <c r="AK706" s="2">
        <v>0.39221079193806102</v>
      </c>
      <c r="AL706" s="2">
        <v>0.170245631292336</v>
      </c>
      <c r="AM706" s="2">
        <v>0.563648700714111</v>
      </c>
      <c r="AN706" s="2">
        <v>0.50701290369033802</v>
      </c>
      <c r="AO706" s="2">
        <v>0.25102043151855502</v>
      </c>
      <c r="AP706" s="2">
        <v>0.37597623467445401</v>
      </c>
    </row>
    <row r="707" spans="1:42" x14ac:dyDescent="0.3">
      <c r="A707" t="s">
        <v>263</v>
      </c>
      <c r="B707" s="3">
        <v>2018</v>
      </c>
      <c r="C707" s="3">
        <v>4.3376849999999996</v>
      </c>
      <c r="D707" s="3"/>
      <c r="E707" t="s">
        <v>264</v>
      </c>
      <c r="G707" s="3">
        <v>18721.478515625</v>
      </c>
      <c r="H707" s="3">
        <v>26990.40234375</v>
      </c>
      <c r="I707" s="3">
        <v>23272.7578125</v>
      </c>
      <c r="J707" s="3">
        <v>24136.099609375</v>
      </c>
      <c r="K707" s="3">
        <v>107730.8828125</v>
      </c>
      <c r="L707" s="3">
        <v>1.2107549700886E-3</v>
      </c>
      <c r="M707" s="3">
        <v>0.57468742132186901</v>
      </c>
      <c r="N707" s="3">
        <v>0.61861395835876498</v>
      </c>
      <c r="O707" s="3">
        <v>18289.6484375</v>
      </c>
      <c r="P707" s="3">
        <v>25886.490234375</v>
      </c>
      <c r="Q707" s="3">
        <v>1.05007088184357</v>
      </c>
      <c r="R707" s="3">
        <v>0.40408957004547102</v>
      </c>
      <c r="S707" s="3">
        <v>0.27753952145576499</v>
      </c>
      <c r="T707" s="3">
        <v>0.32112869620323198</v>
      </c>
      <c r="U707" s="3">
        <v>0.30964201688766502</v>
      </c>
      <c r="W707" t="s">
        <v>50</v>
      </c>
      <c r="X707" t="s">
        <v>51</v>
      </c>
      <c r="Y707" t="s">
        <v>52</v>
      </c>
      <c r="Z707" t="s">
        <v>53</v>
      </c>
      <c r="AA707" t="s">
        <v>53</v>
      </c>
      <c r="AC707" s="2">
        <v>0.38987022628222401</v>
      </c>
      <c r="AD707" s="2">
        <v>0.55460280179977395</v>
      </c>
      <c r="AE707" s="2">
        <v>0.34259569644928001</v>
      </c>
      <c r="AF707" s="2">
        <v>0.22106011211872101</v>
      </c>
      <c r="AG707" s="2">
        <v>0.14351812005042999</v>
      </c>
      <c r="AH707" s="2">
        <v>-0.253409624099731</v>
      </c>
      <c r="AI707" s="2">
        <v>-8.3671743050217594E-3</v>
      </c>
      <c r="AJ707" s="2">
        <v>0.31567084859606698</v>
      </c>
      <c r="AK707" s="2">
        <v>0.41981797854394098</v>
      </c>
      <c r="AL707" s="2">
        <v>0.18187435730578</v>
      </c>
      <c r="AM707" s="2">
        <v>0.59234225749969505</v>
      </c>
      <c r="AN707" s="2">
        <v>0.52043783664703402</v>
      </c>
      <c r="AO707" s="2">
        <v>0.274303108453751</v>
      </c>
      <c r="AP707" s="2">
        <v>0.43492802977562001</v>
      </c>
    </row>
    <row r="708" spans="1:42" x14ac:dyDescent="0.3">
      <c r="A708" t="s">
        <v>263</v>
      </c>
      <c r="B708" s="3">
        <v>2019</v>
      </c>
      <c r="C708" s="3">
        <v>4.467708</v>
      </c>
      <c r="D708" s="3"/>
      <c r="E708" t="s">
        <v>264</v>
      </c>
      <c r="G708" s="3">
        <v>19752.943359375</v>
      </c>
      <c r="H708" s="3">
        <v>27258.9296875</v>
      </c>
      <c r="I708" s="3">
        <v>25079.138671875</v>
      </c>
      <c r="J708" s="3">
        <v>25638.521484375</v>
      </c>
      <c r="K708" s="3">
        <v>106496.65625</v>
      </c>
      <c r="L708" s="3">
        <v>1.1269167298451101E-3</v>
      </c>
      <c r="M708" s="3">
        <v>0.59736299514770497</v>
      </c>
      <c r="N708" s="3">
        <v>0.61115944385528598</v>
      </c>
      <c r="O708" s="3">
        <v>19019.86328125</v>
      </c>
      <c r="P708" s="3">
        <v>26004.314453125</v>
      </c>
      <c r="Q708" s="3">
        <v>1.0222543478012101</v>
      </c>
      <c r="R708" s="3">
        <v>0.40408957004547102</v>
      </c>
      <c r="S708" s="3">
        <v>0.27245610952377303</v>
      </c>
      <c r="T708" s="3">
        <v>0.31479409337043801</v>
      </c>
      <c r="U708" s="3">
        <v>0.30792587995529203</v>
      </c>
      <c r="W708" t="s">
        <v>50</v>
      </c>
      <c r="X708" t="s">
        <v>54</v>
      </c>
      <c r="Y708" t="s">
        <v>52</v>
      </c>
      <c r="Z708" t="s">
        <v>53</v>
      </c>
      <c r="AA708" t="s">
        <v>53</v>
      </c>
      <c r="AC708" s="2">
        <v>0.368850249272758</v>
      </c>
      <c r="AD708" s="2">
        <v>0.54520225524902299</v>
      </c>
      <c r="AE708" s="2">
        <v>0.292762041091919</v>
      </c>
      <c r="AF708" s="2">
        <v>0.225237756967545</v>
      </c>
      <c r="AG708" s="2">
        <v>0.14037899672985099</v>
      </c>
      <c r="AH708" s="2">
        <v>-0.27542287111282399</v>
      </c>
      <c r="AI708" s="2">
        <v>7.1841821074485807E-2</v>
      </c>
      <c r="AJ708" s="2">
        <v>0.30992330426829101</v>
      </c>
      <c r="AK708" s="2">
        <v>0.42621179580521701</v>
      </c>
      <c r="AL708" s="2">
        <v>0.18176440996677501</v>
      </c>
      <c r="AM708" s="2">
        <v>0.62973064184188798</v>
      </c>
      <c r="AN708" s="2">
        <v>0.49845802783966098</v>
      </c>
      <c r="AO708" s="2">
        <v>0.28401640057563798</v>
      </c>
      <c r="AP708" s="2">
        <v>0.47483715415000899</v>
      </c>
    </row>
    <row r="709" spans="1:42" x14ac:dyDescent="0.3">
      <c r="A709" t="s">
        <v>263</v>
      </c>
      <c r="B709" s="3">
        <v>2020</v>
      </c>
      <c r="C709" s="3">
        <v>4.6001310000000002</v>
      </c>
      <c r="D709" s="3"/>
      <c r="E709" t="s">
        <v>264</v>
      </c>
      <c r="G709" s="3">
        <v>19453.138671875</v>
      </c>
      <c r="H709" s="3">
        <v>26676.61328125</v>
      </c>
      <c r="I709" s="3">
        <v>25659.482421875</v>
      </c>
      <c r="J709" s="3">
        <v>24825.2578125</v>
      </c>
      <c r="K709" s="3">
        <v>102149.1796875</v>
      </c>
      <c r="L709" s="3">
        <v>9.9171849433332703E-4</v>
      </c>
      <c r="M709" s="3">
        <v>0.62005627155303999</v>
      </c>
      <c r="N709" s="3">
        <v>0.63919198513030995</v>
      </c>
      <c r="O709" s="3">
        <v>19002.015625</v>
      </c>
      <c r="P709" s="3">
        <v>27617.146484375</v>
      </c>
      <c r="Q709" s="3">
        <v>1.02531754970551</v>
      </c>
      <c r="R709" s="3">
        <v>0.40408957004547102</v>
      </c>
      <c r="S709" s="3">
        <v>0.27731537818908703</v>
      </c>
      <c r="T709" s="3">
        <v>0.32193762063980103</v>
      </c>
      <c r="U709" s="3">
        <v>0.33275595307350198</v>
      </c>
      <c r="W709" t="s">
        <v>50</v>
      </c>
      <c r="X709" t="s">
        <v>54</v>
      </c>
      <c r="Y709" t="s">
        <v>52</v>
      </c>
      <c r="Z709" t="s">
        <v>53</v>
      </c>
      <c r="AA709" t="s">
        <v>53</v>
      </c>
      <c r="AC709" s="2">
        <v>0.34327431188339802</v>
      </c>
      <c r="AD709" s="2">
        <v>0.57098239660263095</v>
      </c>
      <c r="AE709" s="2">
        <v>0.29097276926040699</v>
      </c>
      <c r="AF709" s="2">
        <v>0.21262027323245999</v>
      </c>
      <c r="AG709" s="2">
        <v>0.131108418107033</v>
      </c>
      <c r="AH709" s="2">
        <v>-0.281606435775757</v>
      </c>
      <c r="AI709" s="2">
        <v>7.5922533869743403E-2</v>
      </c>
      <c r="AJ709" s="2">
        <v>0.30891980248908302</v>
      </c>
      <c r="AK709" s="2">
        <v>0.44210734776483501</v>
      </c>
      <c r="AL709" s="2">
        <v>0.19244304520211999</v>
      </c>
      <c r="AM709" s="2">
        <v>0.71159011125564597</v>
      </c>
      <c r="AN709" s="2">
        <v>0.46784949302673301</v>
      </c>
      <c r="AO709" s="2">
        <v>0.29623240232467701</v>
      </c>
      <c r="AP709" s="2">
        <v>0.58943659067153897</v>
      </c>
    </row>
    <row r="710" spans="1:42" x14ac:dyDescent="0.3">
      <c r="A710" t="s">
        <v>265</v>
      </c>
      <c r="B710" s="3">
        <v>2015</v>
      </c>
      <c r="C710" s="3">
        <v>4.6730000000000001E-3</v>
      </c>
      <c r="D710" s="3"/>
      <c r="E710" t="s">
        <v>58</v>
      </c>
      <c r="G710" s="3">
        <v>147.94331359863301</v>
      </c>
      <c r="H710" s="3">
        <v>161.763748168945</v>
      </c>
      <c r="I710" s="3">
        <v>107.15927124023401</v>
      </c>
      <c r="J710" s="3">
        <v>80.724212646484403</v>
      </c>
      <c r="K710" s="3">
        <v>1440.24584960938</v>
      </c>
      <c r="L710" s="3"/>
      <c r="M710" s="3"/>
      <c r="N710" s="3"/>
      <c r="O710" s="3">
        <v>144.06652832031301</v>
      </c>
      <c r="P710" s="3">
        <v>150.30538940429699</v>
      </c>
      <c r="Q710" s="3"/>
      <c r="R710" s="3"/>
      <c r="S710" s="3">
        <v>0.55842208862304699</v>
      </c>
      <c r="T710" s="3">
        <v>0.57280606031417902</v>
      </c>
      <c r="U710" s="3">
        <v>0.76038515567779497</v>
      </c>
      <c r="W710" t="s">
        <v>50</v>
      </c>
      <c r="X710" t="s">
        <v>230</v>
      </c>
      <c r="Y710" t="s">
        <v>52</v>
      </c>
      <c r="Z710" t="s">
        <v>53</v>
      </c>
      <c r="AC710" s="2">
        <v>0.47649019366634998</v>
      </c>
      <c r="AD710" s="2">
        <v>0.95766603946685802</v>
      </c>
      <c r="AE710" s="2">
        <v>0.171205654740334</v>
      </c>
      <c r="AF710" s="2">
        <v>0.87503451108932495</v>
      </c>
      <c r="AG710" s="2">
        <v>8.3391919732093797E-2</v>
      </c>
      <c r="AH710" s="2">
        <v>-1.1624622344970701</v>
      </c>
      <c r="AI710" s="2">
        <v>7.5163960456848103E-2</v>
      </c>
      <c r="AJ710" s="2">
        <v>0.68960408553030095</v>
      </c>
      <c r="AK710" s="2">
        <v>0.72678175572668702</v>
      </c>
      <c r="AL710" s="2">
        <v>0.41485229834585102</v>
      </c>
      <c r="AM710" s="2">
        <v>0.59065490961074796</v>
      </c>
      <c r="AN710" s="2">
        <v>0.42485171556472801</v>
      </c>
      <c r="AO710" s="2">
        <v>0.48731911182403598</v>
      </c>
      <c r="AP710" s="2"/>
    </row>
    <row r="711" spans="1:42" x14ac:dyDescent="0.3">
      <c r="A711" t="s">
        <v>265</v>
      </c>
      <c r="B711" s="3">
        <v>2016</v>
      </c>
      <c r="C711" s="3">
        <v>4.6379999999999998E-3</v>
      </c>
      <c r="D711" s="3"/>
      <c r="E711" t="s">
        <v>58</v>
      </c>
      <c r="G711" s="3">
        <v>148.29322814941401</v>
      </c>
      <c r="H711" s="3">
        <v>173.17352294921901</v>
      </c>
      <c r="I711" s="3">
        <v>111.79499053955099</v>
      </c>
      <c r="J711" s="3">
        <v>96.710968017578097</v>
      </c>
      <c r="K711" s="3">
        <v>1394.84912109375</v>
      </c>
      <c r="L711" s="3"/>
      <c r="M711" s="3"/>
      <c r="N711" s="3"/>
      <c r="O711" s="3">
        <v>135.24911499023401</v>
      </c>
      <c r="P711" s="3">
        <v>156.27268981933599</v>
      </c>
      <c r="Q711" s="3"/>
      <c r="R711" s="3"/>
      <c r="S711" s="3">
        <v>0.52842754125595104</v>
      </c>
      <c r="T711" s="3">
        <v>0.56207376718521096</v>
      </c>
      <c r="U711" s="3">
        <v>0.64974057674408003</v>
      </c>
      <c r="W711" t="s">
        <v>50</v>
      </c>
      <c r="X711" t="s">
        <v>230</v>
      </c>
      <c r="Y711" t="s">
        <v>52</v>
      </c>
      <c r="Z711" t="s">
        <v>53</v>
      </c>
      <c r="AC711" s="2">
        <v>0.46150238853749598</v>
      </c>
      <c r="AD711" s="2">
        <v>0.70340120792388905</v>
      </c>
      <c r="AE711" s="2">
        <v>0.257264465093613</v>
      </c>
      <c r="AF711" s="2">
        <v>0.82996392250061002</v>
      </c>
      <c r="AG711" s="2">
        <v>7.6178327202796894E-2</v>
      </c>
      <c r="AH711" s="2">
        <v>-0.89727759361267101</v>
      </c>
      <c r="AI711" s="2">
        <v>3.0469654127955399E-2</v>
      </c>
      <c r="AJ711" s="2">
        <v>0.67900440824656205</v>
      </c>
      <c r="AK711" s="2">
        <v>0.76261453109542598</v>
      </c>
      <c r="AL711" s="2">
        <v>0.400812362866243</v>
      </c>
      <c r="AM711" s="2">
        <v>0.594968020915985</v>
      </c>
      <c r="AN711" s="2">
        <v>0.47014039754867598</v>
      </c>
      <c r="AO711" s="2">
        <v>0.50900775194168102</v>
      </c>
      <c r="AP711" s="2"/>
    </row>
    <row r="712" spans="1:42" x14ac:dyDescent="0.3">
      <c r="A712" t="s">
        <v>265</v>
      </c>
      <c r="B712" s="3">
        <v>2017</v>
      </c>
      <c r="C712" s="3">
        <v>4.6030000000000003E-3</v>
      </c>
      <c r="D712" s="3"/>
      <c r="E712" t="s">
        <v>58</v>
      </c>
      <c r="G712" s="3">
        <v>150.60157775878901</v>
      </c>
      <c r="H712" s="3">
        <v>165.91578674316401</v>
      </c>
      <c r="I712" s="3">
        <v>106.539413452148</v>
      </c>
      <c r="J712" s="3">
        <v>90.905799865722699</v>
      </c>
      <c r="K712" s="3">
        <v>1284.30688476563</v>
      </c>
      <c r="L712" s="3"/>
      <c r="M712" s="3"/>
      <c r="N712" s="3"/>
      <c r="O712" s="3">
        <v>141.29318237304699</v>
      </c>
      <c r="P712" s="3">
        <v>151.166427612305</v>
      </c>
      <c r="Q712" s="3"/>
      <c r="R712" s="3"/>
      <c r="S712" s="3">
        <v>0.53644609451294001</v>
      </c>
      <c r="T712" s="3">
        <v>0.56004309654235795</v>
      </c>
      <c r="U712" s="3">
        <v>0.65635710954666104</v>
      </c>
      <c r="W712" t="s">
        <v>51</v>
      </c>
      <c r="X712" t="s">
        <v>230</v>
      </c>
      <c r="Y712" t="s">
        <v>52</v>
      </c>
      <c r="Z712" t="s">
        <v>53</v>
      </c>
      <c r="AC712" s="2">
        <v>0.46554299013563499</v>
      </c>
      <c r="AD712" s="2">
        <v>0.74631631374359098</v>
      </c>
      <c r="AE712" s="2">
        <v>0.168462455272675</v>
      </c>
      <c r="AF712" s="2">
        <v>0.91036105155944802</v>
      </c>
      <c r="AG712" s="2">
        <v>8.4447257220745101E-2</v>
      </c>
      <c r="AH712" s="2">
        <v>-0.98078364133834794</v>
      </c>
      <c r="AI712" s="2">
        <v>7.1196511387824998E-2</v>
      </c>
      <c r="AJ712" s="2">
        <v>0.69522288525662002</v>
      </c>
      <c r="AK712" s="2">
        <v>0.79209877319059696</v>
      </c>
      <c r="AL712" s="2">
        <v>0.40628045466754997</v>
      </c>
      <c r="AM712" s="2">
        <v>0.63212430477142301</v>
      </c>
      <c r="AN712" s="2">
        <v>0.47503992915153498</v>
      </c>
      <c r="AO712" s="2">
        <v>0.54132187366485596</v>
      </c>
      <c r="AP712" s="2"/>
    </row>
    <row r="713" spans="1:42" x14ac:dyDescent="0.3">
      <c r="A713" t="s">
        <v>265</v>
      </c>
      <c r="B713" s="3">
        <v>2018</v>
      </c>
      <c r="C713" s="3">
        <v>4.5690000000000001E-3</v>
      </c>
      <c r="D713" s="3"/>
      <c r="E713" t="s">
        <v>58</v>
      </c>
      <c r="G713" s="3">
        <v>157.99986267089801</v>
      </c>
      <c r="H713" s="3">
        <v>174.13580322265599</v>
      </c>
      <c r="I713" s="3">
        <v>111.832038879395</v>
      </c>
      <c r="J713" s="3">
        <v>96.49072265625</v>
      </c>
      <c r="K713" s="3">
        <v>1222.67687988281</v>
      </c>
      <c r="L713" s="3"/>
      <c r="M713" s="3"/>
      <c r="N713" s="3"/>
      <c r="O713" s="3">
        <v>146.27597045898401</v>
      </c>
      <c r="P713" s="3">
        <v>157.18072509765599</v>
      </c>
      <c r="Q713" s="3"/>
      <c r="R713" s="3"/>
      <c r="S713" s="3">
        <v>0.52973562479019198</v>
      </c>
      <c r="T713" s="3">
        <v>0.55523079633712802</v>
      </c>
      <c r="U713" s="3">
        <v>0.64350855350494396</v>
      </c>
      <c r="W713" t="s">
        <v>50</v>
      </c>
      <c r="X713" t="s">
        <v>51</v>
      </c>
      <c r="Y713" t="s">
        <v>52</v>
      </c>
      <c r="Z713" t="s">
        <v>53</v>
      </c>
      <c r="AC713" s="2">
        <v>0.450036121550412</v>
      </c>
      <c r="AD713" s="2">
        <v>0.72784280776977495</v>
      </c>
      <c r="AE713" s="2">
        <v>0.167227894067764</v>
      </c>
      <c r="AF713" s="2">
        <v>0.90961879491805997</v>
      </c>
      <c r="AG713" s="2">
        <v>9.2083945870399503E-2</v>
      </c>
      <c r="AH713" s="2">
        <v>-0.920044004917145</v>
      </c>
      <c r="AI713" s="2">
        <v>2.3270484060049099E-2</v>
      </c>
      <c r="AJ713" s="2">
        <v>0.67815197530740701</v>
      </c>
      <c r="AK713" s="2">
        <v>0.80487453509506501</v>
      </c>
      <c r="AL713" s="2">
        <v>0.41097839165315497</v>
      </c>
      <c r="AM713" s="2">
        <v>0.62540483474731501</v>
      </c>
      <c r="AN713" s="2">
        <v>0.468537658452988</v>
      </c>
      <c r="AO713" s="2">
        <v>0.56549286842346203</v>
      </c>
      <c r="AP713" s="2"/>
    </row>
    <row r="714" spans="1:42" x14ac:dyDescent="0.3">
      <c r="A714" t="s">
        <v>265</v>
      </c>
      <c r="B714" s="3">
        <v>2019</v>
      </c>
      <c r="C714" s="3">
        <v>4.5399999999999998E-3</v>
      </c>
      <c r="D714" s="3"/>
      <c r="E714" t="s">
        <v>58</v>
      </c>
      <c r="G714" s="3">
        <v>160.46633911132801</v>
      </c>
      <c r="H714" s="3">
        <v>180.95542907714801</v>
      </c>
      <c r="I714" s="3">
        <v>116.958503723145</v>
      </c>
      <c r="J714" s="3">
        <v>102.71118927002</v>
      </c>
      <c r="K714" s="3">
        <v>1190.84155273438</v>
      </c>
      <c r="L714" s="3"/>
      <c r="M714" s="3"/>
      <c r="N714" s="3"/>
      <c r="O714" s="3">
        <v>148.97335815429699</v>
      </c>
      <c r="P714" s="3">
        <v>165.41281127929699</v>
      </c>
      <c r="Q714" s="3"/>
      <c r="R714" s="3"/>
      <c r="S714" s="3">
        <v>0.54352462291717496</v>
      </c>
      <c r="T714" s="3">
        <v>0.575322806835175</v>
      </c>
      <c r="U714" s="3">
        <v>0.65512710809707597</v>
      </c>
      <c r="W714" t="s">
        <v>50</v>
      </c>
      <c r="X714" t="s">
        <v>54</v>
      </c>
      <c r="Y714" t="s">
        <v>52</v>
      </c>
      <c r="Z714" t="s">
        <v>53</v>
      </c>
      <c r="AC714" s="2">
        <v>0.35120633229306603</v>
      </c>
      <c r="AD714" s="2">
        <v>0.66771441698074296</v>
      </c>
      <c r="AE714" s="2">
        <v>0.19948250055313099</v>
      </c>
      <c r="AF714" s="2">
        <v>0.89459186792373702</v>
      </c>
      <c r="AG714" s="2">
        <v>7.6260574162006406E-2</v>
      </c>
      <c r="AH714" s="2">
        <v>-0.79957509040832497</v>
      </c>
      <c r="AI714" s="2">
        <v>-3.8474287837743801E-2</v>
      </c>
      <c r="AJ714" s="2">
        <v>0.72743690064656896</v>
      </c>
      <c r="AK714" s="2">
        <v>0.82435945051241699</v>
      </c>
      <c r="AL714" s="2">
        <v>0.406254372214926</v>
      </c>
      <c r="AM714" s="2">
        <v>0.63356226682662997</v>
      </c>
      <c r="AN714" s="2">
        <v>0.47722890973091098</v>
      </c>
      <c r="AO714" s="2">
        <v>0.59356886148452803</v>
      </c>
      <c r="AP714" s="2"/>
    </row>
    <row r="715" spans="1:42" x14ac:dyDescent="0.3">
      <c r="A715" t="s">
        <v>265</v>
      </c>
      <c r="B715" s="3">
        <v>2020</v>
      </c>
      <c r="C715" s="3">
        <v>4.5079999999999999E-3</v>
      </c>
      <c r="D715" s="3"/>
      <c r="E715" t="s">
        <v>58</v>
      </c>
      <c r="G715" s="3">
        <v>200.790603637695</v>
      </c>
      <c r="H715" s="3">
        <v>219.23548889160199</v>
      </c>
      <c r="I715" s="3">
        <v>130.53601074218801</v>
      </c>
      <c r="J715" s="3">
        <v>118.46726226806599</v>
      </c>
      <c r="K715" s="3">
        <v>1006.54705810547</v>
      </c>
      <c r="L715" s="3"/>
      <c r="M715" s="3"/>
      <c r="N715" s="3"/>
      <c r="O715" s="3">
        <v>188.80940246582</v>
      </c>
      <c r="P715" s="3">
        <v>203.99761962890599</v>
      </c>
      <c r="Q715" s="3"/>
      <c r="R715" s="3"/>
      <c r="S715" s="3">
        <v>0.481399476528168</v>
      </c>
      <c r="T715" s="3">
        <v>0.51210504770278897</v>
      </c>
      <c r="U715" s="3">
        <v>0.56427532434463501</v>
      </c>
      <c r="W715" t="s">
        <v>50</v>
      </c>
      <c r="X715" t="s">
        <v>54</v>
      </c>
      <c r="Y715" t="s">
        <v>52</v>
      </c>
      <c r="Z715" t="s">
        <v>53</v>
      </c>
      <c r="AC715" s="2">
        <v>0.43431447952909502</v>
      </c>
      <c r="AD715" s="2">
        <v>0.74219691753387496</v>
      </c>
      <c r="AE715" s="2">
        <v>0.15569607913494099</v>
      </c>
      <c r="AF715" s="2">
        <v>0.95270687341690097</v>
      </c>
      <c r="AG715" s="2">
        <v>5.4730657488107702E-2</v>
      </c>
      <c r="AH715" s="2">
        <v>-0.68661361932754505</v>
      </c>
      <c r="AI715" s="2">
        <v>-0.21871691942214999</v>
      </c>
      <c r="AJ715" s="2">
        <v>0.58473950576584</v>
      </c>
      <c r="AK715" s="2">
        <v>0.84636519776029895</v>
      </c>
      <c r="AL715" s="2">
        <v>0.40089343956536599</v>
      </c>
      <c r="AM715" s="2">
        <v>0.55686557292938199</v>
      </c>
      <c r="AN715" s="2">
        <v>0.42307245731353799</v>
      </c>
      <c r="AO715" s="2">
        <v>0.61446893215179399</v>
      </c>
      <c r="AP715" s="2"/>
    </row>
    <row r="716" spans="1:42" x14ac:dyDescent="0.3">
      <c r="A716" t="s">
        <v>266</v>
      </c>
      <c r="B716" s="3">
        <v>2015</v>
      </c>
      <c r="C716" s="3">
        <v>1.2922750000000001</v>
      </c>
      <c r="D716" s="3">
        <v>1864.65</v>
      </c>
      <c r="E716" t="s">
        <v>267</v>
      </c>
      <c r="G716" s="3">
        <v>25373.0859375</v>
      </c>
      <c r="H716" s="3">
        <v>29897.31640625</v>
      </c>
      <c r="I716" s="3">
        <v>28676.24609375</v>
      </c>
      <c r="J716" s="3">
        <v>28278.828125</v>
      </c>
      <c r="K716" s="3">
        <v>102849.0625</v>
      </c>
      <c r="L716" s="3">
        <v>5.5072171380743395E-4</v>
      </c>
      <c r="M716" s="3">
        <v>1.1100420951843299</v>
      </c>
      <c r="N716" s="3">
        <v>1.1321991682052599</v>
      </c>
      <c r="O716" s="3">
        <v>26107.90625</v>
      </c>
      <c r="P716" s="3">
        <v>30796.201171875</v>
      </c>
      <c r="Q716" s="3">
        <v>1.0674531459808401</v>
      </c>
      <c r="R716" s="3">
        <v>0.43586361408233598</v>
      </c>
      <c r="S716" s="3">
        <v>0.41057601571083102</v>
      </c>
      <c r="T716" s="3">
        <v>0.418719083070755</v>
      </c>
      <c r="U716" s="3">
        <v>0.424603581428528</v>
      </c>
      <c r="W716" t="s">
        <v>50</v>
      </c>
      <c r="X716" t="s">
        <v>51</v>
      </c>
      <c r="Y716" t="s">
        <v>52</v>
      </c>
      <c r="Z716" t="s">
        <v>53</v>
      </c>
      <c r="AA716" t="s">
        <v>53</v>
      </c>
      <c r="AC716" s="2">
        <v>0.57124572689828901</v>
      </c>
      <c r="AD716" s="2">
        <v>0.69908303022384599</v>
      </c>
      <c r="AE716" s="2">
        <v>0.15998649597167999</v>
      </c>
      <c r="AF716" s="2">
        <v>0.198163732886314</v>
      </c>
      <c r="AG716" s="2">
        <v>0.154404282569885</v>
      </c>
      <c r="AH716" s="2">
        <v>-0.33372685313224798</v>
      </c>
      <c r="AI716" s="2">
        <v>0.122089363634586</v>
      </c>
      <c r="AJ716" s="2">
        <v>0.44077393944549098</v>
      </c>
      <c r="AK716" s="2">
        <v>0.46438754643114899</v>
      </c>
      <c r="AL716" s="2">
        <v>0.30404361274189201</v>
      </c>
      <c r="AM716" s="2">
        <v>0.56822752952575695</v>
      </c>
      <c r="AN716" s="2">
        <v>0.47241181135177601</v>
      </c>
      <c r="AO716" s="2">
        <v>0.28905233740806602</v>
      </c>
      <c r="AP716" s="2">
        <v>1.6433078050613401</v>
      </c>
    </row>
    <row r="717" spans="1:42" x14ac:dyDescent="0.3">
      <c r="A717" t="s">
        <v>266</v>
      </c>
      <c r="B717" s="3">
        <v>2016</v>
      </c>
      <c r="C717" s="3">
        <v>1.291803</v>
      </c>
      <c r="D717" s="3">
        <v>1889.27</v>
      </c>
      <c r="E717" t="s">
        <v>267</v>
      </c>
      <c r="G717" s="3">
        <v>27225.583984375</v>
      </c>
      <c r="H717" s="3">
        <v>31852.505859375</v>
      </c>
      <c r="I717" s="3">
        <v>30820.3203125</v>
      </c>
      <c r="J717" s="3">
        <v>31105.814453125</v>
      </c>
      <c r="K717" s="3">
        <v>104990.8828125</v>
      </c>
      <c r="L717" s="3">
        <v>5.3792359540238998E-4</v>
      </c>
      <c r="M717" s="3">
        <v>1.2089114189148</v>
      </c>
      <c r="N717" s="3">
        <v>1.1968456506729099</v>
      </c>
      <c r="O717" s="3">
        <v>26941.783203125</v>
      </c>
      <c r="P717" s="3">
        <v>31806.90234375</v>
      </c>
      <c r="Q717" s="3">
        <v>1.08270275592804</v>
      </c>
      <c r="R717" s="3">
        <v>0.43847331404686002</v>
      </c>
      <c r="S717" s="3">
        <v>0.39816522598266602</v>
      </c>
      <c r="T717" s="3">
        <v>0.40863156318664601</v>
      </c>
      <c r="U717" s="3">
        <v>0.40488106012344399</v>
      </c>
      <c r="W717" t="s">
        <v>50</v>
      </c>
      <c r="X717" t="s">
        <v>51</v>
      </c>
      <c r="Y717" t="s">
        <v>52</v>
      </c>
      <c r="Z717" t="s">
        <v>53</v>
      </c>
      <c r="AA717" t="s">
        <v>53</v>
      </c>
      <c r="AC717" s="2">
        <v>0.60340528855235798</v>
      </c>
      <c r="AD717" s="2">
        <v>0.66677480936050404</v>
      </c>
      <c r="AE717" s="2">
        <v>0.14874780178070099</v>
      </c>
      <c r="AF717" s="2">
        <v>0.208482280373573</v>
      </c>
      <c r="AG717" s="2">
        <v>0.12639106810092901</v>
      </c>
      <c r="AH717" s="2">
        <v>-0.31201106309890703</v>
      </c>
      <c r="AI717" s="2">
        <v>0.16161508858203899</v>
      </c>
      <c r="AJ717" s="2">
        <v>0.43228934532609598</v>
      </c>
      <c r="AK717" s="2">
        <v>0.47021730168795001</v>
      </c>
      <c r="AL717" s="2">
        <v>0.28902834266273097</v>
      </c>
      <c r="AM717" s="2">
        <v>0.558890521526337</v>
      </c>
      <c r="AN717" s="2">
        <v>0.47957694530487099</v>
      </c>
      <c r="AO717" s="2">
        <v>0.288556307554245</v>
      </c>
      <c r="AP717" s="2">
        <v>1.7016966342926001</v>
      </c>
    </row>
    <row r="718" spans="1:42" x14ac:dyDescent="0.3">
      <c r="A718" t="s">
        <v>266</v>
      </c>
      <c r="B718" s="3">
        <v>2017</v>
      </c>
      <c r="C718" s="3">
        <v>1.2906550000000001</v>
      </c>
      <c r="D718" s="3">
        <v>1916.18</v>
      </c>
      <c r="E718" t="s">
        <v>267</v>
      </c>
      <c r="G718" s="3">
        <v>28081.98046875</v>
      </c>
      <c r="H718" s="3">
        <v>33060.15625</v>
      </c>
      <c r="I718" s="3">
        <v>31748.740234375</v>
      </c>
      <c r="J718" s="3">
        <v>31974.537109375</v>
      </c>
      <c r="K718" s="3">
        <v>107847.7890625</v>
      </c>
      <c r="L718" s="3">
        <v>5.3209968609735402E-4</v>
      </c>
      <c r="M718" s="3">
        <v>1.2139366865158101</v>
      </c>
      <c r="N718" s="3">
        <v>1.20873475074768</v>
      </c>
      <c r="O718" s="3">
        <v>27706.033203125</v>
      </c>
      <c r="P718" s="3">
        <v>32809.9296875</v>
      </c>
      <c r="Q718" s="3">
        <v>1.09251236915588</v>
      </c>
      <c r="R718" s="3">
        <v>0.43763294816017201</v>
      </c>
      <c r="S718" s="3">
        <v>0.422230064868927</v>
      </c>
      <c r="T718" s="3">
        <v>0.43193855881691001</v>
      </c>
      <c r="U718" s="3">
        <v>0.42888835072517401</v>
      </c>
      <c r="W718" t="s">
        <v>51</v>
      </c>
      <c r="X718" t="s">
        <v>51</v>
      </c>
      <c r="Y718" t="s">
        <v>52</v>
      </c>
      <c r="Z718" t="s">
        <v>53</v>
      </c>
      <c r="AA718" t="s">
        <v>53</v>
      </c>
      <c r="AC718" s="2">
        <v>0.61530860021064804</v>
      </c>
      <c r="AD718" s="2">
        <v>0.66464257240295399</v>
      </c>
      <c r="AE718" s="2">
        <v>0.15569183230400099</v>
      </c>
      <c r="AF718" s="2">
        <v>0.213618159294128</v>
      </c>
      <c r="AG718" s="2">
        <v>0.115906730294228</v>
      </c>
      <c r="AH718" s="2">
        <v>-0.33948346972465498</v>
      </c>
      <c r="AI718" s="2">
        <v>0.18962420523166701</v>
      </c>
      <c r="AJ718" s="2">
        <v>0.464686559465181</v>
      </c>
      <c r="AK718" s="2">
        <v>0.48670448903035601</v>
      </c>
      <c r="AL718" s="2">
        <v>0.29013270922123202</v>
      </c>
      <c r="AM718" s="2">
        <v>0.56734633445739802</v>
      </c>
      <c r="AN718" s="2">
        <v>0.48545080423355103</v>
      </c>
      <c r="AO718" s="2">
        <v>0.30088323354721103</v>
      </c>
      <c r="AP718" s="2">
        <v>1.80829298496246</v>
      </c>
    </row>
    <row r="719" spans="1:42" x14ac:dyDescent="0.3">
      <c r="A719" t="s">
        <v>266</v>
      </c>
      <c r="B719" s="3">
        <v>2018</v>
      </c>
      <c r="C719" s="3">
        <v>1.2888329999999999</v>
      </c>
      <c r="D719" s="3">
        <v>1825.67</v>
      </c>
      <c r="E719" t="s">
        <v>267</v>
      </c>
      <c r="G719" s="3">
        <v>28362.951171875</v>
      </c>
      <c r="H719" s="3">
        <v>33660.25</v>
      </c>
      <c r="I719" s="3">
        <v>31786.544921875</v>
      </c>
      <c r="J719" s="3">
        <v>31762.009765625</v>
      </c>
      <c r="K719" s="3">
        <v>105688.90625</v>
      </c>
      <c r="L719" s="3">
        <v>5.0649093464016904E-4</v>
      </c>
      <c r="M719" s="3">
        <v>1.22324919700623</v>
      </c>
      <c r="N719" s="3">
        <v>1.2478716373443599</v>
      </c>
      <c r="O719" s="3">
        <v>28659.013671875</v>
      </c>
      <c r="P719" s="3">
        <v>34622.83203125</v>
      </c>
      <c r="Q719" s="3">
        <v>1.1178056001663199</v>
      </c>
      <c r="R719" s="3">
        <v>0.43390953540802002</v>
      </c>
      <c r="S719" s="3">
        <v>0.45211273431777999</v>
      </c>
      <c r="T719" s="3">
        <v>0.46358212828636203</v>
      </c>
      <c r="U719" s="3">
        <v>0.46394026279449502</v>
      </c>
      <c r="W719" t="s">
        <v>50</v>
      </c>
      <c r="X719" t="s">
        <v>51</v>
      </c>
      <c r="Y719" t="s">
        <v>52</v>
      </c>
      <c r="Z719" t="s">
        <v>53</v>
      </c>
      <c r="AA719" t="s">
        <v>53</v>
      </c>
      <c r="AC719" s="2">
        <v>0.62032244131049996</v>
      </c>
      <c r="AD719" s="2">
        <v>0.67543858289718595</v>
      </c>
      <c r="AE719" s="2">
        <v>0.16678094863891599</v>
      </c>
      <c r="AF719" s="2">
        <v>0.21754495799541501</v>
      </c>
      <c r="AG719" s="2">
        <v>0.105656281113625</v>
      </c>
      <c r="AH719" s="2">
        <v>-0.35632061958312999</v>
      </c>
      <c r="AI719" s="2">
        <v>0.190899878740311</v>
      </c>
      <c r="AJ719" s="2">
        <v>0.49770366524085402</v>
      </c>
      <c r="AK719" s="2">
        <v>0.52499181811385998</v>
      </c>
      <c r="AL719" s="2">
        <v>0.31056099352639599</v>
      </c>
      <c r="AM719" s="2">
        <v>0.59229981899261497</v>
      </c>
      <c r="AN719" s="2">
        <v>0.50093638896942105</v>
      </c>
      <c r="AO719" s="2">
        <v>0.33293926715850802</v>
      </c>
      <c r="AP719" s="2">
        <v>1.94737648963928</v>
      </c>
    </row>
    <row r="720" spans="1:42" x14ac:dyDescent="0.3">
      <c r="A720" t="s">
        <v>266</v>
      </c>
      <c r="B720" s="3">
        <v>2019</v>
      </c>
      <c r="C720" s="3">
        <v>1.28627</v>
      </c>
      <c r="D720" s="3">
        <v>1913.63</v>
      </c>
      <c r="E720" t="s">
        <v>267</v>
      </c>
      <c r="G720" s="3">
        <v>29503.501953125</v>
      </c>
      <c r="H720" s="3">
        <v>35053.61328125</v>
      </c>
      <c r="I720" s="3">
        <v>32590.4375</v>
      </c>
      <c r="J720" s="3">
        <v>32598.982421875</v>
      </c>
      <c r="K720" s="3">
        <v>109798.890625</v>
      </c>
      <c r="L720" s="3">
        <v>5.0214008660986998E-4</v>
      </c>
      <c r="M720" s="3">
        <v>1.1980059146881099</v>
      </c>
      <c r="N720" s="3">
        <v>1.23961865901947</v>
      </c>
      <c r="O720" s="3">
        <v>29504.029296875</v>
      </c>
      <c r="P720" s="3">
        <v>35477.31640625</v>
      </c>
      <c r="Q720" s="3">
        <v>1.09434485435486</v>
      </c>
      <c r="R720" s="3">
        <v>0.437303125858307</v>
      </c>
      <c r="S720" s="3">
        <v>0.43118959665298501</v>
      </c>
      <c r="T720" s="3">
        <v>0.442962676286697</v>
      </c>
      <c r="U720" s="3">
        <v>0.44284653663635298</v>
      </c>
      <c r="W720" t="s">
        <v>50</v>
      </c>
      <c r="X720" t="s">
        <v>54</v>
      </c>
      <c r="Y720" t="s">
        <v>52</v>
      </c>
      <c r="Z720" t="s">
        <v>53</v>
      </c>
      <c r="AA720" t="s">
        <v>53</v>
      </c>
      <c r="AC720" s="2">
        <v>0.625578509353519</v>
      </c>
      <c r="AD720" s="2">
        <v>0.68674176931381203</v>
      </c>
      <c r="AE720" s="2">
        <v>0.170254170894623</v>
      </c>
      <c r="AF720" s="2">
        <v>0.218301877379417</v>
      </c>
      <c r="AG720" s="2">
        <v>0.10076294094324099</v>
      </c>
      <c r="AH720" s="2">
        <v>-0.35849758982658397</v>
      </c>
      <c r="AI720" s="2">
        <v>0.182436794042587</v>
      </c>
      <c r="AJ720" s="2">
        <v>0.47314321940190701</v>
      </c>
      <c r="AK720" s="2">
        <v>0.50554642484702295</v>
      </c>
      <c r="AL720" s="2">
        <v>0.29921042931821001</v>
      </c>
      <c r="AM720" s="2">
        <v>0.57123291492462203</v>
      </c>
      <c r="AN720" s="2">
        <v>0.47928035259246798</v>
      </c>
      <c r="AO720" s="2">
        <v>0.32912716269493097</v>
      </c>
      <c r="AP720" s="2">
        <v>1.8400231599807699</v>
      </c>
    </row>
    <row r="721" spans="1:42" x14ac:dyDescent="0.3">
      <c r="A721" t="s">
        <v>266</v>
      </c>
      <c r="B721" s="3">
        <v>2020</v>
      </c>
      <c r="C721" s="3">
        <v>1.283223</v>
      </c>
      <c r="D721" s="3">
        <v>1837.9</v>
      </c>
      <c r="E721" t="s">
        <v>267</v>
      </c>
      <c r="G721" s="3">
        <v>26061.783203125</v>
      </c>
      <c r="H721" s="3">
        <v>30485.61328125</v>
      </c>
      <c r="I721" s="3">
        <v>28118.255859375</v>
      </c>
      <c r="J721" s="3">
        <v>28923.9609375</v>
      </c>
      <c r="K721" s="3">
        <v>113185.453125</v>
      </c>
      <c r="L721" s="3">
        <v>6.5232347697019599E-4</v>
      </c>
      <c r="M721" s="3">
        <v>0.95852154493331898</v>
      </c>
      <c r="N721" s="3">
        <v>0.96917587518692005</v>
      </c>
      <c r="O721" s="3">
        <v>25725.767578125</v>
      </c>
      <c r="P721" s="3">
        <v>30076.998046875</v>
      </c>
      <c r="Q721" s="3">
        <v>0.98187863826751698</v>
      </c>
      <c r="R721" s="3">
        <v>0.46541136503219599</v>
      </c>
      <c r="S721" s="3">
        <v>0.394854456186295</v>
      </c>
      <c r="T721" s="3">
        <v>0.405718833208084</v>
      </c>
      <c r="U721" s="3">
        <v>0.39441716670990001</v>
      </c>
      <c r="W721" t="s">
        <v>50</v>
      </c>
      <c r="X721" t="s">
        <v>54</v>
      </c>
      <c r="Y721" t="s">
        <v>52</v>
      </c>
      <c r="Z721" t="s">
        <v>53</v>
      </c>
      <c r="AA721" t="s">
        <v>53</v>
      </c>
      <c r="AC721" s="2">
        <v>0.62468416060202903</v>
      </c>
      <c r="AD721" s="2">
        <v>0.65612465143203702</v>
      </c>
      <c r="AE721" s="2">
        <v>0.15294690430164301</v>
      </c>
      <c r="AF721" s="2">
        <v>0.244920134544373</v>
      </c>
      <c r="AG721" s="2">
        <v>8.0877840518951402E-2</v>
      </c>
      <c r="AH721" s="2">
        <v>-0.28415697813034102</v>
      </c>
      <c r="AI721" s="2">
        <v>0.14928752183914201</v>
      </c>
      <c r="AJ721" s="2">
        <v>0.43663768988336699</v>
      </c>
      <c r="AK721" s="2">
        <v>0.46972337035593997</v>
      </c>
      <c r="AL721" s="2">
        <v>0.28291998564596899</v>
      </c>
      <c r="AM721" s="2">
        <v>0.55839478969573997</v>
      </c>
      <c r="AN721" s="2">
        <v>0.48300921916961698</v>
      </c>
      <c r="AO721" s="2">
        <v>0.309710383415222</v>
      </c>
      <c r="AP721" s="2">
        <v>1.11018478870392</v>
      </c>
    </row>
    <row r="722" spans="1:42" x14ac:dyDescent="0.3">
      <c r="A722" t="s">
        <v>268</v>
      </c>
      <c r="B722" s="3">
        <v>2015</v>
      </c>
      <c r="C722" s="3">
        <v>17.085587</v>
      </c>
      <c r="D722" s="3">
        <v>1576.18</v>
      </c>
      <c r="E722" t="s">
        <v>269</v>
      </c>
      <c r="G722" s="3">
        <v>23986.0546875</v>
      </c>
      <c r="H722" s="3">
        <v>27748.310546875</v>
      </c>
      <c r="I722" s="3">
        <v>23989.1328125</v>
      </c>
      <c r="J722" s="3">
        <v>25069.01171875</v>
      </c>
      <c r="K722" s="3">
        <v>29256.8828125</v>
      </c>
      <c r="L722" s="3"/>
      <c r="M722" s="3"/>
      <c r="N722" s="3"/>
      <c r="O722" s="3">
        <v>28992.28515625</v>
      </c>
      <c r="P722" s="3">
        <v>30510.0234375</v>
      </c>
      <c r="Q722" s="3"/>
      <c r="R722" s="3"/>
      <c r="S722" s="3">
        <v>0.31899160146713301</v>
      </c>
      <c r="T722" s="3">
        <v>0.34248691797256497</v>
      </c>
      <c r="U722" s="3">
        <v>0.327733904123306</v>
      </c>
      <c r="W722" t="s">
        <v>50</v>
      </c>
      <c r="X722" t="s">
        <v>51</v>
      </c>
      <c r="Y722" t="s">
        <v>52</v>
      </c>
      <c r="Z722" t="s">
        <v>53</v>
      </c>
      <c r="AC722" s="2">
        <v>0.49375412807630997</v>
      </c>
      <c r="AD722" s="2">
        <v>0.87696564197540305</v>
      </c>
      <c r="AE722" s="2">
        <v>0.15007597208023099</v>
      </c>
      <c r="AF722" s="2">
        <v>7.9835310578346294E-2</v>
      </c>
      <c r="AG722" s="2">
        <v>7.6767049729824094E-2</v>
      </c>
      <c r="AH722" s="2">
        <v>-0.176833361387253</v>
      </c>
      <c r="AI722" s="2">
        <v>-6.8105952814221399E-3</v>
      </c>
      <c r="AJ722" s="2">
        <v>0.31349901439386002</v>
      </c>
      <c r="AK722" s="2">
        <v>0.49228001881101202</v>
      </c>
      <c r="AL722" s="2">
        <v>0.37932604976967099</v>
      </c>
      <c r="AM722" s="2">
        <v>0.56124466657638605</v>
      </c>
      <c r="AN722" s="2">
        <v>0.52145153284072898</v>
      </c>
      <c r="AO722" s="2">
        <v>0.32340618968009999</v>
      </c>
      <c r="AP722" s="2"/>
    </row>
    <row r="723" spans="1:42" x14ac:dyDescent="0.3">
      <c r="A723" t="s">
        <v>268</v>
      </c>
      <c r="B723" s="3">
        <v>2016</v>
      </c>
      <c r="C723" s="3">
        <v>17.557739000000002</v>
      </c>
      <c r="D723" s="3">
        <v>1577.17</v>
      </c>
      <c r="E723" t="s">
        <v>269</v>
      </c>
      <c r="G723" s="3">
        <v>25179.248046875</v>
      </c>
      <c r="H723" s="3">
        <v>28970.896484375</v>
      </c>
      <c r="I723" s="3">
        <v>23792.962890625</v>
      </c>
      <c r="J723" s="3">
        <v>25256.314453125</v>
      </c>
      <c r="K723" s="3">
        <v>28922.498046875</v>
      </c>
      <c r="L723" s="3"/>
      <c r="M723" s="3"/>
      <c r="N723" s="3"/>
      <c r="O723" s="3">
        <v>31264.07421875</v>
      </c>
      <c r="P723" s="3">
        <v>32900.73828125</v>
      </c>
      <c r="Q723" s="3"/>
      <c r="R723" s="3"/>
      <c r="S723" s="3">
        <v>0.27735793590545699</v>
      </c>
      <c r="T723" s="3">
        <v>0.29940834641456598</v>
      </c>
      <c r="U723" s="3">
        <v>0.28206059336662298</v>
      </c>
      <c r="W723" t="s">
        <v>50</v>
      </c>
      <c r="X723" t="s">
        <v>51</v>
      </c>
      <c r="Y723" t="s">
        <v>52</v>
      </c>
      <c r="Z723" t="s">
        <v>53</v>
      </c>
      <c r="AC723" s="2">
        <v>0.50328237011494903</v>
      </c>
      <c r="AD723" s="2">
        <v>0.91187191009521495</v>
      </c>
      <c r="AE723" s="2">
        <v>0.15012678503990201</v>
      </c>
      <c r="AF723" s="2">
        <v>8.5076697170734406E-2</v>
      </c>
      <c r="AG723" s="2">
        <v>7.3598004877567305E-2</v>
      </c>
      <c r="AH723" s="2">
        <v>-0.169765889644623</v>
      </c>
      <c r="AI723" s="2">
        <v>-5.0907537341117901E-2</v>
      </c>
      <c r="AJ723" s="2">
        <v>0.273147612911322</v>
      </c>
      <c r="AK723" s="2">
        <v>0.44583863462390499</v>
      </c>
      <c r="AL723" s="2">
        <v>0.32248502302013499</v>
      </c>
      <c r="AM723" s="2">
        <v>0.54989570379257202</v>
      </c>
      <c r="AN723" s="2">
        <v>0.51538938283920299</v>
      </c>
      <c r="AO723" s="2">
        <v>0.288077503442764</v>
      </c>
      <c r="AP723" s="2"/>
    </row>
    <row r="724" spans="1:42" x14ac:dyDescent="0.3">
      <c r="A724" t="s">
        <v>268</v>
      </c>
      <c r="B724" s="3">
        <v>2017</v>
      </c>
      <c r="C724" s="3">
        <v>18.039715000000001</v>
      </c>
      <c r="D724" s="3">
        <v>1578.42</v>
      </c>
      <c r="E724" t="s">
        <v>269</v>
      </c>
      <c r="G724" s="3">
        <v>26387.208984375</v>
      </c>
      <c r="H724" s="3">
        <v>30446.85546875</v>
      </c>
      <c r="I724" s="3">
        <v>25660.068359375</v>
      </c>
      <c r="J724" s="3">
        <v>27024.546875</v>
      </c>
      <c r="K724" s="3">
        <v>29078.181640625</v>
      </c>
      <c r="L724" s="3"/>
      <c r="M724" s="3"/>
      <c r="N724" s="3"/>
      <c r="O724" s="3">
        <v>34546.9453125</v>
      </c>
      <c r="P724" s="3">
        <v>36355.46484375</v>
      </c>
      <c r="Q724" s="3"/>
      <c r="R724" s="3"/>
      <c r="S724" s="3">
        <v>0.32378619909286499</v>
      </c>
      <c r="T724" s="3">
        <v>0.34853935241699202</v>
      </c>
      <c r="U724" s="3">
        <v>0.33094146847724898</v>
      </c>
      <c r="W724" t="s">
        <v>51</v>
      </c>
      <c r="X724" t="s">
        <v>51</v>
      </c>
      <c r="Y724" t="s">
        <v>52</v>
      </c>
      <c r="Z724" t="s">
        <v>53</v>
      </c>
      <c r="AC724" s="2">
        <v>0.51324119481802599</v>
      </c>
      <c r="AD724" s="2">
        <v>0.88610696792602495</v>
      </c>
      <c r="AE724" s="2">
        <v>0.150220721960068</v>
      </c>
      <c r="AF724" s="2">
        <v>9.0309306979179396E-2</v>
      </c>
      <c r="AG724" s="2">
        <v>5.8963883668184301E-2</v>
      </c>
      <c r="AH724" s="2">
        <v>-0.18502017855644201</v>
      </c>
      <c r="AI724" s="2">
        <v>-5.8071006787940903E-4</v>
      </c>
      <c r="AJ724" s="2">
        <v>0.32138462527751999</v>
      </c>
      <c r="AK724" s="2">
        <v>0.50943177862192701</v>
      </c>
      <c r="AL724" s="2">
        <v>0.34735027844691502</v>
      </c>
      <c r="AM724" s="2">
        <v>0.55467051267623901</v>
      </c>
      <c r="AN724" s="2">
        <v>0.50939953327178999</v>
      </c>
      <c r="AO724" s="2">
        <v>0.33280420303344699</v>
      </c>
      <c r="AP724" s="2"/>
    </row>
    <row r="725" spans="1:42" x14ac:dyDescent="0.3">
      <c r="A725" t="s">
        <v>268</v>
      </c>
      <c r="B725" s="3">
        <v>2018</v>
      </c>
      <c r="C725" s="3">
        <v>18.528081</v>
      </c>
      <c r="D725" s="3">
        <v>1579.76</v>
      </c>
      <c r="E725" t="s">
        <v>269</v>
      </c>
      <c r="G725" s="3">
        <v>27011.05859375</v>
      </c>
      <c r="H725" s="3">
        <v>31252.578125</v>
      </c>
      <c r="I725" s="3">
        <v>26356.61328125</v>
      </c>
      <c r="J725" s="3">
        <v>27404.20703125</v>
      </c>
      <c r="K725" s="3">
        <v>30215.158203125</v>
      </c>
      <c r="L725" s="3"/>
      <c r="M725" s="3"/>
      <c r="N725" s="3"/>
      <c r="O725" s="3">
        <v>35887.59765625</v>
      </c>
      <c r="P725" s="3">
        <v>37766.3046875</v>
      </c>
      <c r="Q725" s="3"/>
      <c r="R725" s="3"/>
      <c r="S725" s="3">
        <v>0.349168330430985</v>
      </c>
      <c r="T725" s="3">
        <v>0.37482890486717202</v>
      </c>
      <c r="U725" s="3">
        <v>0.36050015687942499</v>
      </c>
      <c r="W725" t="s">
        <v>50</v>
      </c>
      <c r="X725" t="s">
        <v>51</v>
      </c>
      <c r="Y725" t="s">
        <v>52</v>
      </c>
      <c r="Z725" t="s">
        <v>53</v>
      </c>
      <c r="AC725" s="2">
        <v>0.52489556262506099</v>
      </c>
      <c r="AD725" s="2">
        <v>0.89876681566238403</v>
      </c>
      <c r="AE725" s="2">
        <v>0.154776245355606</v>
      </c>
      <c r="AF725" s="2">
        <v>8.6886897683143602E-2</v>
      </c>
      <c r="AG725" s="2">
        <v>5.6207958608865703E-2</v>
      </c>
      <c r="AH725" s="2">
        <v>-0.19575962424278301</v>
      </c>
      <c r="AI725" s="2">
        <v>-8.7828369578346599E-4</v>
      </c>
      <c r="AJ725" s="2">
        <v>0.34492928309874499</v>
      </c>
      <c r="AK725" s="2">
        <v>0.53824182163254197</v>
      </c>
      <c r="AL725" s="2">
        <v>0.39301737871248499</v>
      </c>
      <c r="AM725" s="2">
        <v>0.57128787040710505</v>
      </c>
      <c r="AN725" s="2">
        <v>0.50449770689010598</v>
      </c>
      <c r="AO725" s="2">
        <v>0.35594365000724798</v>
      </c>
      <c r="AP725" s="2"/>
    </row>
    <row r="726" spans="1:42" x14ac:dyDescent="0.3">
      <c r="A726" t="s">
        <v>268</v>
      </c>
      <c r="B726" s="3">
        <v>2019</v>
      </c>
      <c r="C726" s="3">
        <v>19.025752000000001</v>
      </c>
      <c r="D726" s="3">
        <v>1581.03</v>
      </c>
      <c r="E726" t="s">
        <v>269</v>
      </c>
      <c r="G726" s="3">
        <v>29487.689453125</v>
      </c>
      <c r="H726" s="3">
        <v>34193.5546875</v>
      </c>
      <c r="I726" s="3">
        <v>29205.994140625</v>
      </c>
      <c r="J726" s="3">
        <v>30223.419921875</v>
      </c>
      <c r="K726" s="3">
        <v>33079.1953125</v>
      </c>
      <c r="L726" s="3"/>
      <c r="M726" s="3"/>
      <c r="N726" s="3"/>
      <c r="O726" s="3">
        <v>37767.1640625</v>
      </c>
      <c r="P726" s="3">
        <v>39744.265625</v>
      </c>
      <c r="Q726" s="3"/>
      <c r="R726" s="3"/>
      <c r="S726" s="3">
        <v>0.35328415036201499</v>
      </c>
      <c r="T726" s="3">
        <v>0.37841045856475802</v>
      </c>
      <c r="U726" s="3">
        <v>0.36567178368568398</v>
      </c>
      <c r="W726" t="s">
        <v>50</v>
      </c>
      <c r="X726" t="s">
        <v>54</v>
      </c>
      <c r="Y726" t="s">
        <v>52</v>
      </c>
      <c r="Z726" t="s">
        <v>53</v>
      </c>
      <c r="AC726" s="2">
        <v>0.53265248897651496</v>
      </c>
      <c r="AD726" s="2">
        <v>0.89668399095535301</v>
      </c>
      <c r="AE726" s="2">
        <v>0.15570259094238301</v>
      </c>
      <c r="AF726" s="2">
        <v>7.8972972929477706E-2</v>
      </c>
      <c r="AG726" s="2">
        <v>5.6134678423404701E-2</v>
      </c>
      <c r="AH726" s="2">
        <v>-0.20023080706596399</v>
      </c>
      <c r="AI726" s="2">
        <v>1.27365766093135E-2</v>
      </c>
      <c r="AJ726" s="2">
        <v>0.346257965177102</v>
      </c>
      <c r="AK726" s="2">
        <v>0.53585581672600602</v>
      </c>
      <c r="AL726" s="2">
        <v>0.43306152589559799</v>
      </c>
      <c r="AM726" s="2">
        <v>0.53804206848144498</v>
      </c>
      <c r="AN726" s="2">
        <v>0.48597255349159202</v>
      </c>
      <c r="AO726" s="2">
        <v>0.35678175091743503</v>
      </c>
      <c r="AP726" s="2"/>
    </row>
    <row r="727" spans="1:42" x14ac:dyDescent="0.3">
      <c r="A727" t="s">
        <v>268</v>
      </c>
      <c r="B727" s="3">
        <v>2020</v>
      </c>
      <c r="C727" s="3">
        <v>19.533888000000001</v>
      </c>
      <c r="D727" s="3">
        <v>1505.46</v>
      </c>
      <c r="E727" t="s">
        <v>269</v>
      </c>
      <c r="G727" s="3">
        <v>36395.7734375</v>
      </c>
      <c r="H727" s="3">
        <v>38055.5234375</v>
      </c>
      <c r="I727" s="3">
        <v>32352.02734375</v>
      </c>
      <c r="J727" s="3">
        <v>32558.751953125</v>
      </c>
      <c r="K727" s="3">
        <v>21741.9609375</v>
      </c>
      <c r="L727" s="3"/>
      <c r="M727" s="3"/>
      <c r="N727" s="3"/>
      <c r="O727" s="3">
        <v>39650.7734375</v>
      </c>
      <c r="P727" s="3">
        <v>41433.703125</v>
      </c>
      <c r="Q727" s="3"/>
      <c r="R727" s="3"/>
      <c r="S727" s="3">
        <v>0.35596287250518799</v>
      </c>
      <c r="T727" s="3">
        <v>0.363789051771164</v>
      </c>
      <c r="U727" s="3">
        <v>0.36147928237915</v>
      </c>
      <c r="W727" t="s">
        <v>50</v>
      </c>
      <c r="X727" t="s">
        <v>54</v>
      </c>
      <c r="Y727" t="s">
        <v>52</v>
      </c>
      <c r="Z727" t="s">
        <v>53</v>
      </c>
      <c r="AC727" s="2">
        <v>0.53909578349891596</v>
      </c>
      <c r="AD727" s="2">
        <v>1.03202760219574</v>
      </c>
      <c r="AE727" s="2">
        <v>5.0977084785699803E-2</v>
      </c>
      <c r="AF727" s="2">
        <v>8.5821643471717807E-2</v>
      </c>
      <c r="AG727" s="2">
        <v>5.6381311267614399E-2</v>
      </c>
      <c r="AH727" s="2">
        <v>-0.21779993176460299</v>
      </c>
      <c r="AI727" s="2">
        <v>-7.4076615273952501E-3</v>
      </c>
      <c r="AJ727" s="2">
        <v>0.347307783241391</v>
      </c>
      <c r="AK727" s="2">
        <v>0.535405465607388</v>
      </c>
      <c r="AL727" s="2">
        <v>0.46004243708965198</v>
      </c>
      <c r="AM727" s="2">
        <v>0.35135757923126198</v>
      </c>
      <c r="AN727" s="2">
        <v>0.371254622936249</v>
      </c>
      <c r="AO727" s="2">
        <v>0.352823525667191</v>
      </c>
      <c r="AP727" s="2"/>
    </row>
    <row r="728" spans="1:42" x14ac:dyDescent="0.3">
      <c r="A728" t="s">
        <v>270</v>
      </c>
      <c r="B728" s="3">
        <v>2015</v>
      </c>
      <c r="C728" s="3">
        <v>31.232797999999999</v>
      </c>
      <c r="D728" s="3">
        <v>2337.5500000000002</v>
      </c>
      <c r="E728" t="s">
        <v>271</v>
      </c>
      <c r="G728" s="3">
        <v>590489.9375</v>
      </c>
      <c r="H728" s="3">
        <v>796089.5</v>
      </c>
      <c r="I728" s="3">
        <v>860891.3125</v>
      </c>
      <c r="J728" s="3">
        <v>795300.5625</v>
      </c>
      <c r="K728" s="3">
        <v>3041207</v>
      </c>
      <c r="L728" s="3">
        <v>3.8332596421241802E-2</v>
      </c>
      <c r="M728" s="3">
        <v>0.604525566101074</v>
      </c>
      <c r="N728" s="3">
        <v>0.58379167318344105</v>
      </c>
      <c r="O728" s="3">
        <v>575677.5</v>
      </c>
      <c r="P728" s="3">
        <v>789130.0625</v>
      </c>
      <c r="Q728" s="3">
        <v>1.0267708301544201</v>
      </c>
      <c r="R728" s="3">
        <v>0.39671948552131697</v>
      </c>
      <c r="S728" s="3">
        <v>0.342179656028748</v>
      </c>
      <c r="T728" s="3">
        <v>0.35004967451095598</v>
      </c>
      <c r="U728" s="3">
        <v>0.37891930341720598</v>
      </c>
      <c r="W728" t="s">
        <v>50</v>
      </c>
      <c r="X728" t="s">
        <v>51</v>
      </c>
      <c r="Y728" t="s">
        <v>52</v>
      </c>
      <c r="Z728" t="s">
        <v>53</v>
      </c>
      <c r="AA728" t="s">
        <v>53</v>
      </c>
      <c r="AC728" s="2">
        <v>0.64361429621585298</v>
      </c>
      <c r="AD728" s="2">
        <v>0.59363871812820401</v>
      </c>
      <c r="AE728" s="2">
        <v>0.25851806998252902</v>
      </c>
      <c r="AF728" s="2">
        <v>0.14883519709110299</v>
      </c>
      <c r="AG728" s="2">
        <v>0.43363717198371898</v>
      </c>
      <c r="AH728" s="2">
        <v>-0.43014225363731401</v>
      </c>
      <c r="AI728" s="2">
        <v>-4.4868928380310501E-3</v>
      </c>
      <c r="AJ728" s="2">
        <v>0.34443837877105998</v>
      </c>
      <c r="AK728" s="2">
        <v>0.37265268864074302</v>
      </c>
      <c r="AL728" s="2">
        <v>0.33317061392841102</v>
      </c>
      <c r="AM728" s="2">
        <v>0.58053731918335005</v>
      </c>
      <c r="AN728" s="2">
        <v>0.514992475509644</v>
      </c>
      <c r="AO728" s="2">
        <v>0.22518247365951499</v>
      </c>
      <c r="AP728" s="2">
        <v>0.63365238904953003</v>
      </c>
    </row>
    <row r="729" spans="1:42" x14ac:dyDescent="0.3">
      <c r="A729" t="s">
        <v>270</v>
      </c>
      <c r="B729" s="3">
        <v>2016</v>
      </c>
      <c r="C729" s="3">
        <v>31.789684999999999</v>
      </c>
      <c r="D729" s="3">
        <v>2341.1799999999998</v>
      </c>
      <c r="E729" t="s">
        <v>271</v>
      </c>
      <c r="G729" s="3">
        <v>616466.375</v>
      </c>
      <c r="H729" s="3">
        <v>832358.8125</v>
      </c>
      <c r="I729" s="3">
        <v>891672</v>
      </c>
      <c r="J729" s="3">
        <v>827569.75</v>
      </c>
      <c r="K729" s="3">
        <v>3265532.5</v>
      </c>
      <c r="L729" s="3">
        <v>3.9349514991044998E-2</v>
      </c>
      <c r="M729" s="3">
        <v>0.60793626308441195</v>
      </c>
      <c r="N729" s="3">
        <v>0.591161489486694</v>
      </c>
      <c r="O729" s="3">
        <v>603988.1875</v>
      </c>
      <c r="P729" s="3">
        <v>826873</v>
      </c>
      <c r="Q729" s="3">
        <v>1.03030121326447</v>
      </c>
      <c r="R729" s="3">
        <v>0.39671948552131697</v>
      </c>
      <c r="S729" s="3">
        <v>0.32913932204246499</v>
      </c>
      <c r="T729" s="3">
        <v>0.337854504585266</v>
      </c>
      <c r="U729" s="3">
        <v>0.36402416229248002</v>
      </c>
      <c r="W729" t="s">
        <v>50</v>
      </c>
      <c r="X729" t="s">
        <v>51</v>
      </c>
      <c r="Y729" t="s">
        <v>52</v>
      </c>
      <c r="Z729" t="s">
        <v>53</v>
      </c>
      <c r="AA729" t="s">
        <v>53</v>
      </c>
      <c r="AC729" s="2">
        <v>0.58899975052403897</v>
      </c>
      <c r="AD729" s="2">
        <v>0.60831207036972101</v>
      </c>
      <c r="AE729" s="2">
        <v>0.260875225067139</v>
      </c>
      <c r="AF729" s="2">
        <v>0.13659963011741599</v>
      </c>
      <c r="AG729" s="2">
        <v>0.39421936869621299</v>
      </c>
      <c r="AH729" s="2">
        <v>-0.39668750762939498</v>
      </c>
      <c r="AI729" s="2">
        <v>-3.31873586401343E-3</v>
      </c>
      <c r="AJ729" s="2">
        <v>0.32785880857438598</v>
      </c>
      <c r="AK729" s="2">
        <v>0.36274018174253098</v>
      </c>
      <c r="AL729" s="2">
        <v>0.334841736987539</v>
      </c>
      <c r="AM729" s="2">
        <v>0.58059000968933105</v>
      </c>
      <c r="AN729" s="2">
        <v>0.51289027929305997</v>
      </c>
      <c r="AO729" s="2">
        <v>0.21371991932392101</v>
      </c>
      <c r="AP729" s="2">
        <v>0.59783047437667902</v>
      </c>
    </row>
    <row r="730" spans="1:42" x14ac:dyDescent="0.3">
      <c r="A730" t="s">
        <v>270</v>
      </c>
      <c r="B730" s="3">
        <v>2017</v>
      </c>
      <c r="C730" s="3">
        <v>32.355643999999998</v>
      </c>
      <c r="D730" s="3">
        <v>2342.9699999999998</v>
      </c>
      <c r="E730" t="s">
        <v>271</v>
      </c>
      <c r="G730" s="3">
        <v>638858.75</v>
      </c>
      <c r="H730" s="3">
        <v>869867.125</v>
      </c>
      <c r="I730" s="3">
        <v>934018.5625</v>
      </c>
      <c r="J730" s="3">
        <v>862705.875</v>
      </c>
      <c r="K730" s="3">
        <v>3486877.25</v>
      </c>
      <c r="L730" s="3">
        <v>4.0707260370254503E-2</v>
      </c>
      <c r="M730" s="3">
        <v>0.60401660203933705</v>
      </c>
      <c r="N730" s="3">
        <v>0.58650708198547397</v>
      </c>
      <c r="O730" s="3">
        <v>644324</v>
      </c>
      <c r="P730" s="3">
        <v>881191.625</v>
      </c>
      <c r="Q730" s="3">
        <v>1.04043245315552</v>
      </c>
      <c r="R730" s="3">
        <v>0.39671948552131697</v>
      </c>
      <c r="S730" s="3">
        <v>0.33758291602134699</v>
      </c>
      <c r="T730" s="3">
        <v>0.34165179729461698</v>
      </c>
      <c r="U730" s="3">
        <v>0.36989331245422402</v>
      </c>
      <c r="W730" t="s">
        <v>51</v>
      </c>
      <c r="X730" t="s">
        <v>51</v>
      </c>
      <c r="Y730" t="s">
        <v>52</v>
      </c>
      <c r="Z730" t="s">
        <v>53</v>
      </c>
      <c r="AA730" t="s">
        <v>53</v>
      </c>
      <c r="AC730" s="2">
        <v>0.55748826027132403</v>
      </c>
      <c r="AD730" s="2">
        <v>0.60991293191909801</v>
      </c>
      <c r="AE730" s="2">
        <v>0.26777192950248702</v>
      </c>
      <c r="AF730" s="2">
        <v>0.13061611354350999</v>
      </c>
      <c r="AG730" s="2">
        <v>0.43079042434692399</v>
      </c>
      <c r="AH730" s="2">
        <v>-0.43568959832191501</v>
      </c>
      <c r="AI730" s="2">
        <v>-3.4017942380160102E-3</v>
      </c>
      <c r="AJ730" s="2">
        <v>0.33593380763003899</v>
      </c>
      <c r="AK730" s="2">
        <v>0.35290447027216898</v>
      </c>
      <c r="AL730" s="2">
        <v>0.34528341944982599</v>
      </c>
      <c r="AM730" s="2">
        <v>0.58583521842956499</v>
      </c>
      <c r="AN730" s="2">
        <v>0.51804876327514704</v>
      </c>
      <c r="AO730" s="2">
        <v>0.20812067389488201</v>
      </c>
      <c r="AP730" s="2">
        <v>0.59003823995590199</v>
      </c>
    </row>
    <row r="731" spans="1:42" x14ac:dyDescent="0.3">
      <c r="A731" t="s">
        <v>270</v>
      </c>
      <c r="B731" s="3">
        <v>2018</v>
      </c>
      <c r="C731" s="3">
        <v>32.910966999999999</v>
      </c>
      <c r="D731" s="3">
        <v>2316.81</v>
      </c>
      <c r="E731" t="s">
        <v>271</v>
      </c>
      <c r="G731" s="3">
        <v>725860.625</v>
      </c>
      <c r="H731" s="3">
        <v>950721.0625</v>
      </c>
      <c r="I731" s="3">
        <v>1019073.875</v>
      </c>
      <c r="J731" s="3">
        <v>941029.3125</v>
      </c>
      <c r="K731" s="3">
        <v>3678383.25</v>
      </c>
      <c r="L731" s="3">
        <v>4.1329383850097698E-2</v>
      </c>
      <c r="M731" s="3">
        <v>0.63723504543304399</v>
      </c>
      <c r="N731" s="3">
        <v>0.61971986293792702</v>
      </c>
      <c r="O731" s="3">
        <v>690433.125</v>
      </c>
      <c r="P731" s="3">
        <v>923224.8125</v>
      </c>
      <c r="Q731" s="3">
        <v>1.04954409599304</v>
      </c>
      <c r="R731" s="3">
        <v>0.39671948552131697</v>
      </c>
      <c r="S731" s="3">
        <v>0.34301695227623002</v>
      </c>
      <c r="T731" s="3">
        <v>0.35207352042198198</v>
      </c>
      <c r="U731" s="3">
        <v>0.38127288222312899</v>
      </c>
      <c r="W731" t="s">
        <v>50</v>
      </c>
      <c r="X731" t="s">
        <v>51</v>
      </c>
      <c r="Y731" t="s">
        <v>52</v>
      </c>
      <c r="Z731" t="s">
        <v>53</v>
      </c>
      <c r="AA731" t="s">
        <v>53</v>
      </c>
      <c r="AC731" s="2">
        <v>0.29063479642180801</v>
      </c>
      <c r="AD731" s="2">
        <v>0.64988076686859098</v>
      </c>
      <c r="AE731" s="2">
        <v>0.23895159363746599</v>
      </c>
      <c r="AF731" s="2">
        <v>0.12146672606468201</v>
      </c>
      <c r="AG731" s="2">
        <v>0.43939673900604298</v>
      </c>
      <c r="AH731" s="2">
        <v>-0.43324947357177701</v>
      </c>
      <c r="AI731" s="2">
        <v>-1.6446407884359401E-2</v>
      </c>
      <c r="AJ731" s="2">
        <v>0.33690637870971801</v>
      </c>
      <c r="AK731" s="2">
        <v>0.38130859221582603</v>
      </c>
      <c r="AL731" s="2">
        <v>0.37571019152544</v>
      </c>
      <c r="AM731" s="2">
        <v>0.59814471006393399</v>
      </c>
      <c r="AN731" s="2">
        <v>0.53313159942626998</v>
      </c>
      <c r="AO731" s="2">
        <v>0.223322704434395</v>
      </c>
      <c r="AP731" s="2">
        <v>0.619248747825623</v>
      </c>
    </row>
    <row r="732" spans="1:42" x14ac:dyDescent="0.3">
      <c r="A732" t="s">
        <v>270</v>
      </c>
      <c r="B732" s="3">
        <v>2019</v>
      </c>
      <c r="C732" s="3">
        <v>33.440595999999999</v>
      </c>
      <c r="D732" s="3">
        <v>2315.5500000000002</v>
      </c>
      <c r="E732" t="s">
        <v>271</v>
      </c>
      <c r="G732" s="3">
        <v>735612.375</v>
      </c>
      <c r="H732" s="3">
        <v>939681.4375</v>
      </c>
      <c r="I732" s="3">
        <v>1016167.875</v>
      </c>
      <c r="J732" s="3">
        <v>937316.8125</v>
      </c>
      <c r="K732" s="3">
        <v>3862533.25</v>
      </c>
      <c r="L732" s="3">
        <v>4.1520163416862502E-2</v>
      </c>
      <c r="M732" s="3">
        <v>0.61400377750396695</v>
      </c>
      <c r="N732" s="3">
        <v>0.59233278036117598</v>
      </c>
      <c r="O732" s="3">
        <v>736222.3125</v>
      </c>
      <c r="P732" s="3">
        <v>960378.9375</v>
      </c>
      <c r="Q732" s="3">
        <v>1.0546636581420901</v>
      </c>
      <c r="R732" s="3">
        <v>0.39671948552131697</v>
      </c>
      <c r="S732" s="3">
        <v>0.35457190871238697</v>
      </c>
      <c r="T732" s="3">
        <v>0.35936760902404802</v>
      </c>
      <c r="U732" s="3">
        <v>0.38959908485412598</v>
      </c>
      <c r="W732" t="s">
        <v>50</v>
      </c>
      <c r="X732" t="s">
        <v>54</v>
      </c>
      <c r="Y732" t="s">
        <v>52</v>
      </c>
      <c r="Z732" t="s">
        <v>53</v>
      </c>
      <c r="AA732" t="s">
        <v>53</v>
      </c>
      <c r="AC732" s="2">
        <v>0.51939368358050597</v>
      </c>
      <c r="AD732" s="2">
        <v>0.66359424591064498</v>
      </c>
      <c r="AE732" s="2">
        <v>0.21771617233753199</v>
      </c>
      <c r="AF732" s="2">
        <v>0.1212123259902</v>
      </c>
      <c r="AG732" s="2">
        <v>0.43597108125686601</v>
      </c>
      <c r="AH732" s="2">
        <v>-0.42289522290229797</v>
      </c>
      <c r="AI732" s="2">
        <v>-1.55986212193966E-2</v>
      </c>
      <c r="AJ732" s="2">
        <v>0.350922218605835</v>
      </c>
      <c r="AK732" s="2">
        <v>0.376654735070788</v>
      </c>
      <c r="AL732" s="2">
        <v>0.37455273023661001</v>
      </c>
      <c r="AM732" s="2">
        <v>0.582633197307587</v>
      </c>
      <c r="AN732" s="2">
        <v>0.516934454441071</v>
      </c>
      <c r="AO732" s="2">
        <v>0.21909920871257799</v>
      </c>
      <c r="AP732" s="2">
        <v>0.60350513458251998</v>
      </c>
    </row>
    <row r="733" spans="1:42" x14ac:dyDescent="0.3">
      <c r="A733" t="s">
        <v>270</v>
      </c>
      <c r="B733" s="3">
        <v>2020</v>
      </c>
      <c r="C733" s="3">
        <v>33.889558000000001</v>
      </c>
      <c r="D733" s="3">
        <v>2117.7800000000002</v>
      </c>
      <c r="E733" t="s">
        <v>271</v>
      </c>
      <c r="G733" s="3">
        <v>726576.4375</v>
      </c>
      <c r="H733" s="3">
        <v>904492.5</v>
      </c>
      <c r="I733" s="3">
        <v>966004.625</v>
      </c>
      <c r="J733" s="3">
        <v>899313.0625</v>
      </c>
      <c r="K733" s="3">
        <v>4022746.75</v>
      </c>
      <c r="L733" s="3">
        <v>4.0672786533832599E-2</v>
      </c>
      <c r="M733" s="3">
        <v>0.61032676696777299</v>
      </c>
      <c r="N733" s="3">
        <v>0.58887082338333097</v>
      </c>
      <c r="O733" s="3">
        <v>716854.6875</v>
      </c>
      <c r="P733" s="3">
        <v>914518.0625</v>
      </c>
      <c r="Q733" s="3">
        <v>1.01114749908447</v>
      </c>
      <c r="R733" s="3">
        <v>0.39671948552131697</v>
      </c>
      <c r="S733" s="3">
        <v>0.34357142448425299</v>
      </c>
      <c r="T733" s="3">
        <v>0.349331855773926</v>
      </c>
      <c r="U733" s="3">
        <v>0.37523773312568698</v>
      </c>
      <c r="W733" t="s">
        <v>50</v>
      </c>
      <c r="X733" t="s">
        <v>54</v>
      </c>
      <c r="Y733" t="s">
        <v>52</v>
      </c>
      <c r="Z733" t="s">
        <v>53</v>
      </c>
      <c r="AA733" t="s">
        <v>53</v>
      </c>
      <c r="AC733" s="2">
        <v>0.51687346350521002</v>
      </c>
      <c r="AD733" s="2">
        <v>0.67895275354385398</v>
      </c>
      <c r="AE733" s="2">
        <v>0.19783553481102001</v>
      </c>
      <c r="AF733" s="2">
        <v>0.12897109985351601</v>
      </c>
      <c r="AG733" s="2">
        <v>0.40897622704505898</v>
      </c>
      <c r="AH733" s="2">
        <v>-0.39981311559677102</v>
      </c>
      <c r="AI733" s="2">
        <v>-1.49225043132901E-2</v>
      </c>
      <c r="AJ733" s="2">
        <v>0.33719595032009098</v>
      </c>
      <c r="AK733" s="2">
        <v>0.37285638612155197</v>
      </c>
      <c r="AL733" s="2">
        <v>0.37713429233092999</v>
      </c>
      <c r="AM733" s="2">
        <v>0.56429117918014504</v>
      </c>
      <c r="AN733" s="2">
        <v>0.50345581769943204</v>
      </c>
      <c r="AO733" s="2">
        <v>0.21300530433654799</v>
      </c>
      <c r="AP733" s="2">
        <v>0.59437108039856001</v>
      </c>
    </row>
    <row r="734" spans="1:42" x14ac:dyDescent="0.3">
      <c r="A734" t="s">
        <v>272</v>
      </c>
      <c r="B734" s="3">
        <v>2015</v>
      </c>
      <c r="C734" s="3">
        <v>2.3742999999999999</v>
      </c>
      <c r="D734" s="3">
        <v>2345.41</v>
      </c>
      <c r="E734" t="s">
        <v>273</v>
      </c>
      <c r="G734" s="3">
        <v>27172.43359375</v>
      </c>
      <c r="H734" s="3">
        <v>35299.10546875</v>
      </c>
      <c r="I734" s="3">
        <v>27905.05859375</v>
      </c>
      <c r="J734" s="3">
        <v>28326.267578125</v>
      </c>
      <c r="K734" s="3">
        <v>99463.125</v>
      </c>
      <c r="L734" s="3">
        <v>1.2100524036213799E-3</v>
      </c>
      <c r="M734" s="3">
        <v>0.63712471723556496</v>
      </c>
      <c r="N734" s="3">
        <v>0.76596987247466997</v>
      </c>
      <c r="O734" s="3">
        <v>25544.890625</v>
      </c>
      <c r="P734" s="3">
        <v>34142.16015625</v>
      </c>
      <c r="Q734" s="3">
        <v>1.10110747814178</v>
      </c>
      <c r="R734" s="3">
        <v>0.54431128501892101</v>
      </c>
      <c r="S734" s="3">
        <v>0.40022310614585899</v>
      </c>
      <c r="T734" s="3">
        <v>0.40620455145835899</v>
      </c>
      <c r="U734" s="3">
        <v>0.40016436576843301</v>
      </c>
      <c r="W734" t="s">
        <v>50</v>
      </c>
      <c r="X734" t="s">
        <v>51</v>
      </c>
      <c r="Y734" t="s">
        <v>52</v>
      </c>
      <c r="Z734" t="s">
        <v>53</v>
      </c>
      <c r="AA734" t="s">
        <v>53</v>
      </c>
      <c r="AC734" s="2">
        <v>0.51086431891733197</v>
      </c>
      <c r="AD734" s="2">
        <v>0.68718975782394398</v>
      </c>
      <c r="AE734" s="2">
        <v>0.28689521551132202</v>
      </c>
      <c r="AF734" s="2">
        <v>0.27207654714584401</v>
      </c>
      <c r="AG734" s="2">
        <v>0.28842967748642001</v>
      </c>
      <c r="AH734" s="2">
        <v>-0.540358185768127</v>
      </c>
      <c r="AI734" s="2">
        <v>5.7669770903885399E-3</v>
      </c>
      <c r="AJ734" s="2">
        <v>0.40012450361533902</v>
      </c>
      <c r="AK734" s="2">
        <v>0.426204252354906</v>
      </c>
      <c r="AL734" s="2">
        <v>0.40047212504973301</v>
      </c>
      <c r="AM734" s="2">
        <v>0.56648898124694802</v>
      </c>
      <c r="AN734" s="2">
        <v>0.502874076366425</v>
      </c>
      <c r="AO734" s="2">
        <v>0.24666133522987399</v>
      </c>
      <c r="AP734" s="2">
        <v>0.57031369209289595</v>
      </c>
    </row>
    <row r="735" spans="1:42" x14ac:dyDescent="0.3">
      <c r="A735" t="s">
        <v>272</v>
      </c>
      <c r="B735" s="3">
        <v>2016</v>
      </c>
      <c r="C735" s="3">
        <v>2.4392130000000001</v>
      </c>
      <c r="D735" s="3">
        <v>2359.4499999999998</v>
      </c>
      <c r="E735" t="s">
        <v>273</v>
      </c>
      <c r="G735" s="3">
        <v>29002.84375</v>
      </c>
      <c r="H735" s="3">
        <v>34547.30859375</v>
      </c>
      <c r="I735" s="3">
        <v>27872.626953125</v>
      </c>
      <c r="J735" s="3">
        <v>27854.275390625</v>
      </c>
      <c r="K735" s="3">
        <v>95899.0703125</v>
      </c>
      <c r="L735" s="3">
        <v>1.1207110946998E-3</v>
      </c>
      <c r="M735" s="3">
        <v>0.64632111787795998</v>
      </c>
      <c r="N735" s="3">
        <v>0.77501964569091797</v>
      </c>
      <c r="O735" s="3">
        <v>28500.09375</v>
      </c>
      <c r="P735" s="3">
        <v>34793.31640625</v>
      </c>
      <c r="Q735" s="3">
        <v>1.0944532155990601</v>
      </c>
      <c r="R735" s="3">
        <v>0.55650258064269997</v>
      </c>
      <c r="S735" s="3">
        <v>0.37677597999572798</v>
      </c>
      <c r="T735" s="3">
        <v>0.38467913866043102</v>
      </c>
      <c r="U735" s="3">
        <v>0.38493257761001598</v>
      </c>
      <c r="W735" t="s">
        <v>50</v>
      </c>
      <c r="X735" t="s">
        <v>51</v>
      </c>
      <c r="Y735" t="s">
        <v>52</v>
      </c>
      <c r="Z735" t="s">
        <v>53</v>
      </c>
      <c r="AA735" t="s">
        <v>53</v>
      </c>
      <c r="AC735" s="2">
        <v>0.46207799585314702</v>
      </c>
      <c r="AD735" s="2">
        <v>0.76757329702377297</v>
      </c>
      <c r="AE735" s="2">
        <v>0.19905255734920499</v>
      </c>
      <c r="AF735" s="2">
        <v>0.27366158366203303</v>
      </c>
      <c r="AG735" s="2">
        <v>0.30860176682472201</v>
      </c>
      <c r="AH735" s="2">
        <v>-0.48710849881172202</v>
      </c>
      <c r="AI735" s="2">
        <v>-6.17806576192379E-2</v>
      </c>
      <c r="AJ735" s="2">
        <v>0.37576760829130901</v>
      </c>
      <c r="AK735" s="2">
        <v>0.42602034091624702</v>
      </c>
      <c r="AL735" s="2">
        <v>0.37960429031635801</v>
      </c>
      <c r="AM735" s="2">
        <v>0.56025058031082198</v>
      </c>
      <c r="AN735" s="2">
        <v>0.49535793066024802</v>
      </c>
      <c r="AO735" s="2">
        <v>0.24503278732299799</v>
      </c>
      <c r="AP735" s="2">
        <v>0.54920858144760099</v>
      </c>
    </row>
    <row r="736" spans="1:42" x14ac:dyDescent="0.3">
      <c r="A736" t="s">
        <v>272</v>
      </c>
      <c r="B736" s="3">
        <v>2017</v>
      </c>
      <c r="C736" s="3">
        <v>2.506853</v>
      </c>
      <c r="D736" s="3">
        <v>2297.35</v>
      </c>
      <c r="E736" t="s">
        <v>273</v>
      </c>
      <c r="G736" s="3">
        <v>27536.447265625</v>
      </c>
      <c r="H736" s="3">
        <v>31979.26953125</v>
      </c>
      <c r="I736" s="3">
        <v>28057.47265625</v>
      </c>
      <c r="J736" s="3">
        <v>27105.302734375</v>
      </c>
      <c r="K736" s="3">
        <v>94052.7421875</v>
      </c>
      <c r="L736" s="3">
        <v>1.04532367549837E-3</v>
      </c>
      <c r="M736" s="3">
        <v>0.63558542728424094</v>
      </c>
      <c r="N736" s="3">
        <v>0.72214114665985096</v>
      </c>
      <c r="O736" s="3">
        <v>26921.6328125</v>
      </c>
      <c r="P736" s="3">
        <v>32589.1171875</v>
      </c>
      <c r="Q736" s="3">
        <v>1.0697768926620499</v>
      </c>
      <c r="R736" s="3">
        <v>0.55967634916305498</v>
      </c>
      <c r="S736" s="3">
        <v>0.450284063816071</v>
      </c>
      <c r="T736" s="3">
        <v>0.45932507514953602</v>
      </c>
      <c r="U736" s="3">
        <v>0.47546049952507002</v>
      </c>
      <c r="W736" t="s">
        <v>51</v>
      </c>
      <c r="X736" t="s">
        <v>51</v>
      </c>
      <c r="Y736" t="s">
        <v>52</v>
      </c>
      <c r="Z736" t="s">
        <v>53</v>
      </c>
      <c r="AA736" t="s">
        <v>53</v>
      </c>
      <c r="AC736" s="2">
        <v>0.405381127262045</v>
      </c>
      <c r="AD736" s="2">
        <v>0.74966627359390303</v>
      </c>
      <c r="AE736" s="2">
        <v>0.16390968859195701</v>
      </c>
      <c r="AF736" s="2">
        <v>0.26624000072479298</v>
      </c>
      <c r="AG736" s="2">
        <v>0.327065229415894</v>
      </c>
      <c r="AH736" s="2">
        <v>-0.48728558421134999</v>
      </c>
      <c r="AI736" s="2">
        <v>-1.95956267416477E-2</v>
      </c>
      <c r="AJ736" s="2">
        <v>0.44781249702169401</v>
      </c>
      <c r="AK736" s="2">
        <v>0.51536105198540405</v>
      </c>
      <c r="AL736" s="2">
        <v>0.45724343130640999</v>
      </c>
      <c r="AM736" s="2">
        <v>0.58987498283386197</v>
      </c>
      <c r="AN736" s="2">
        <v>0.51318824291229304</v>
      </c>
      <c r="AO736" s="2">
        <v>0.30296492576599099</v>
      </c>
      <c r="AP736" s="2">
        <v>0.67730367183685303</v>
      </c>
    </row>
    <row r="737" spans="1:42" x14ac:dyDescent="0.3">
      <c r="A737" t="s">
        <v>272</v>
      </c>
      <c r="B737" s="3">
        <v>2018</v>
      </c>
      <c r="C737" s="3">
        <v>2.5773269999999999</v>
      </c>
      <c r="D737" s="3">
        <v>2239.92</v>
      </c>
      <c r="E737" t="s">
        <v>273</v>
      </c>
      <c r="G737" s="3">
        <v>26937.689453125</v>
      </c>
      <c r="H737" s="3">
        <v>30799.787109375</v>
      </c>
      <c r="I737" s="3">
        <v>28012.93359375</v>
      </c>
      <c r="J737" s="3">
        <v>26032.564453125</v>
      </c>
      <c r="K737" s="3">
        <v>101530.1796875</v>
      </c>
      <c r="L737" s="3">
        <v>1.0881195776164499E-3</v>
      </c>
      <c r="M737" s="3">
        <v>0.58393096923828103</v>
      </c>
      <c r="N737" s="3">
        <v>0.66502577066421498</v>
      </c>
      <c r="O737" s="3">
        <v>26866.3984375</v>
      </c>
      <c r="P737" s="3">
        <v>31542</v>
      </c>
      <c r="Q737" s="3">
        <v>1.06562829017639</v>
      </c>
      <c r="R737" s="3">
        <v>0.56271553039550803</v>
      </c>
      <c r="S737" s="3">
        <v>0.48268094658851601</v>
      </c>
      <c r="T737" s="3">
        <v>0.48841792345047003</v>
      </c>
      <c r="U737" s="3">
        <v>0.52557325363159202</v>
      </c>
      <c r="W737" t="s">
        <v>50</v>
      </c>
      <c r="X737" t="s">
        <v>51</v>
      </c>
      <c r="Y737" t="s">
        <v>52</v>
      </c>
      <c r="Z737" t="s">
        <v>53</v>
      </c>
      <c r="AA737" t="s">
        <v>53</v>
      </c>
      <c r="AC737" s="2">
        <v>0.37361331613000398</v>
      </c>
      <c r="AD737" s="2">
        <v>0.75300025939941395</v>
      </c>
      <c r="AE737" s="2">
        <v>0.1483563631773</v>
      </c>
      <c r="AF737" s="2">
        <v>0.28176867961883501</v>
      </c>
      <c r="AG737" s="2">
        <v>0.48102387785911599</v>
      </c>
      <c r="AH737" s="2">
        <v>-0.623182713985443</v>
      </c>
      <c r="AI737" s="2">
        <v>-4.0966417640447603E-2</v>
      </c>
      <c r="AJ737" s="2">
        <v>0.48623933152190502</v>
      </c>
      <c r="AK737" s="2">
        <v>0.528432540093425</v>
      </c>
      <c r="AL737" s="2">
        <v>0.473171535918889</v>
      </c>
      <c r="AM737" s="2">
        <v>0.597997546195984</v>
      </c>
      <c r="AN737" s="2">
        <v>0.51093620061874401</v>
      </c>
      <c r="AO737" s="2">
        <v>0.31653708219528198</v>
      </c>
      <c r="AP737" s="2">
        <v>0.65013462305069003</v>
      </c>
    </row>
    <row r="738" spans="1:42" x14ac:dyDescent="0.3">
      <c r="A738" t="s">
        <v>272</v>
      </c>
      <c r="B738" s="3">
        <v>2019</v>
      </c>
      <c r="C738" s="3">
        <v>2.6504940000000001</v>
      </c>
      <c r="D738" s="3">
        <v>2222.27</v>
      </c>
      <c r="E738" t="s">
        <v>273</v>
      </c>
      <c r="G738" s="3">
        <v>26373.73046875</v>
      </c>
      <c r="H738" s="3">
        <v>30382.318359375</v>
      </c>
      <c r="I738" s="3">
        <v>27595.447265625</v>
      </c>
      <c r="J738" s="3">
        <v>25468.6484375</v>
      </c>
      <c r="K738" s="3">
        <v>103928.75</v>
      </c>
      <c r="L738" s="3">
        <v>1.0791706154122901E-3</v>
      </c>
      <c r="M738" s="3">
        <v>0.55864006280899103</v>
      </c>
      <c r="N738" s="3">
        <v>0.641279757022858</v>
      </c>
      <c r="O738" s="3">
        <v>26950.671875</v>
      </c>
      <c r="P738" s="3">
        <v>31667.865234375</v>
      </c>
      <c r="Q738" s="3">
        <v>1.0471599102020299</v>
      </c>
      <c r="R738" s="3">
        <v>0.56097984313964799</v>
      </c>
      <c r="S738" s="3">
        <v>0.450665682554245</v>
      </c>
      <c r="T738" s="3">
        <v>0.45448353886604298</v>
      </c>
      <c r="U738" s="3">
        <v>0.492435812950134</v>
      </c>
      <c r="W738" t="s">
        <v>50</v>
      </c>
      <c r="X738" t="s">
        <v>54</v>
      </c>
      <c r="Y738" t="s">
        <v>52</v>
      </c>
      <c r="Z738" t="s">
        <v>53</v>
      </c>
      <c r="AA738" t="s">
        <v>53</v>
      </c>
      <c r="AC738" s="2">
        <v>0.37342882037092301</v>
      </c>
      <c r="AD738" s="2">
        <v>0.74632352590560902</v>
      </c>
      <c r="AE738" s="2">
        <v>0.157392993569374</v>
      </c>
      <c r="AF738" s="2">
        <v>0.28921353816986101</v>
      </c>
      <c r="AG738" s="2">
        <v>0.40644508600235002</v>
      </c>
      <c r="AH738" s="2">
        <v>-0.64428943395614602</v>
      </c>
      <c r="AI738" s="2">
        <v>4.4914308935403803E-2</v>
      </c>
      <c r="AJ738" s="2">
        <v>0.45669577603781403</v>
      </c>
      <c r="AK738" s="2">
        <v>0.47960235888391201</v>
      </c>
      <c r="AL738" s="2">
        <v>0.435104826446091</v>
      </c>
      <c r="AM738" s="2">
        <v>0.60436487197875999</v>
      </c>
      <c r="AN738" s="2">
        <v>0.49277502298355103</v>
      </c>
      <c r="AO738" s="2">
        <v>0.29310271143913302</v>
      </c>
      <c r="AP738" s="2">
        <v>0.58031833171844505</v>
      </c>
    </row>
    <row r="739" spans="1:42" x14ac:dyDescent="0.3">
      <c r="A739" t="s">
        <v>272</v>
      </c>
      <c r="B739" s="3">
        <v>2020</v>
      </c>
      <c r="C739" s="3">
        <v>2.7287620000000001</v>
      </c>
      <c r="D739" s="3">
        <v>2128.25</v>
      </c>
      <c r="E739" t="s">
        <v>273</v>
      </c>
      <c r="G739" s="3">
        <v>25576.90625</v>
      </c>
      <c r="H739" s="3">
        <v>29158.59375</v>
      </c>
      <c r="I739" s="3">
        <v>26612.0234375</v>
      </c>
      <c r="J739" s="3">
        <v>25078.8828125</v>
      </c>
      <c r="K739" s="3">
        <v>106544.90625</v>
      </c>
      <c r="L739" s="3">
        <v>1.05533457826823E-3</v>
      </c>
      <c r="M739" s="3">
        <v>0.55931019783019997</v>
      </c>
      <c r="N739" s="3">
        <v>0.62384200096130404</v>
      </c>
      <c r="O739" s="3">
        <v>25019.130859375</v>
      </c>
      <c r="P739" s="3">
        <v>28886.61328125</v>
      </c>
      <c r="Q739" s="3">
        <v>0.99912077188491799</v>
      </c>
      <c r="R739" s="3">
        <v>0.587332963943481</v>
      </c>
      <c r="S739" s="3">
        <v>0.39575943350791898</v>
      </c>
      <c r="T739" s="3">
        <v>0.39770555496215798</v>
      </c>
      <c r="U739" s="3">
        <v>0.42201834917068498</v>
      </c>
      <c r="W739" t="s">
        <v>50</v>
      </c>
      <c r="X739" t="s">
        <v>54</v>
      </c>
      <c r="Y739" t="s">
        <v>52</v>
      </c>
      <c r="Z739" t="s">
        <v>53</v>
      </c>
      <c r="AA739" t="s">
        <v>53</v>
      </c>
      <c r="AC739" s="2">
        <v>0.36175182682852403</v>
      </c>
      <c r="AD739" s="2">
        <v>0.72183239459991499</v>
      </c>
      <c r="AE739" s="2">
        <v>0.142816841602325</v>
      </c>
      <c r="AF739" s="2">
        <v>0.29802590608596802</v>
      </c>
      <c r="AG739" s="2">
        <v>0.34304103255271901</v>
      </c>
      <c r="AH739" s="2">
        <v>-0.54814177751541104</v>
      </c>
      <c r="AI739" s="2">
        <v>4.2425625026226002E-2</v>
      </c>
      <c r="AJ739" s="2">
        <v>0.40436665993274701</v>
      </c>
      <c r="AK739" s="2">
        <v>0.41160267482608598</v>
      </c>
      <c r="AL739" s="2">
        <v>0.37491237770375901</v>
      </c>
      <c r="AM739" s="2">
        <v>0.56776595115661599</v>
      </c>
      <c r="AN739" s="2">
        <v>0.46166050434112599</v>
      </c>
      <c r="AO739" s="2">
        <v>0.25342929363250699</v>
      </c>
      <c r="AP739" s="2">
        <v>0.491444081068039</v>
      </c>
    </row>
    <row r="740" spans="1:42" x14ac:dyDescent="0.3">
      <c r="A740" t="s">
        <v>274</v>
      </c>
      <c r="B740" s="3">
        <v>2015</v>
      </c>
      <c r="C740" s="3">
        <v>19.939498</v>
      </c>
      <c r="D740" s="3">
        <v>2046.44</v>
      </c>
      <c r="E740" t="s">
        <v>82</v>
      </c>
      <c r="G740" s="3">
        <v>22633.369140625</v>
      </c>
      <c r="H740" s="3">
        <v>29515.646484375</v>
      </c>
      <c r="I740" s="3">
        <v>25402.763671875</v>
      </c>
      <c r="J740" s="3">
        <v>26630.099609375</v>
      </c>
      <c r="K740" s="3">
        <v>123041.21875</v>
      </c>
      <c r="L740" s="3">
        <v>1.4081791741773499E-3</v>
      </c>
      <c r="M740" s="3">
        <v>0.262456834316254</v>
      </c>
      <c r="N740" s="3">
        <v>0.28064015507698098</v>
      </c>
      <c r="O740" s="3">
        <v>24647.14453125</v>
      </c>
      <c r="P740" s="3">
        <v>31839.259765625</v>
      </c>
      <c r="Q740" s="3">
        <v>0.98016154766082797</v>
      </c>
      <c r="R740" s="3">
        <v>0.386958777904511</v>
      </c>
      <c r="S740" s="3">
        <v>0.35868990421295199</v>
      </c>
      <c r="T740" s="3">
        <v>0.381213158369064</v>
      </c>
      <c r="U740" s="3">
        <v>0.36364373564720198</v>
      </c>
      <c r="W740" t="s">
        <v>50</v>
      </c>
      <c r="X740" t="s">
        <v>51</v>
      </c>
      <c r="Y740" t="s">
        <v>52</v>
      </c>
      <c r="Z740" t="s">
        <v>53</v>
      </c>
      <c r="AA740" t="s">
        <v>53</v>
      </c>
      <c r="AC740" s="2">
        <v>0.462242968713102</v>
      </c>
      <c r="AD740" s="2">
        <v>0.70318752527236905</v>
      </c>
      <c r="AE740" s="2">
        <v>0.25843980908393899</v>
      </c>
      <c r="AF740" s="2">
        <v>0.146729290485382</v>
      </c>
      <c r="AG740" s="2">
        <v>5.2864089608192402E-2</v>
      </c>
      <c r="AH740" s="2">
        <v>-0.17161792516708399</v>
      </c>
      <c r="AI740" s="2">
        <v>1.03972544893622E-2</v>
      </c>
      <c r="AJ740" s="2">
        <v>0.34822040267749199</v>
      </c>
      <c r="AK740" s="2">
        <v>0.45528415047105902</v>
      </c>
      <c r="AL740" s="2">
        <v>0.40886411746390999</v>
      </c>
      <c r="AM740" s="2">
        <v>0.56100571155548096</v>
      </c>
      <c r="AN740" s="2">
        <v>0.53790640830993697</v>
      </c>
      <c r="AO740" s="2">
        <v>0.27372533082961997</v>
      </c>
      <c r="AP740" s="2">
        <v>0.563251852989197</v>
      </c>
    </row>
    <row r="741" spans="1:42" x14ac:dyDescent="0.3">
      <c r="A741" t="s">
        <v>274</v>
      </c>
      <c r="B741" s="3">
        <v>2016</v>
      </c>
      <c r="C741" s="3">
        <v>20.685752999999998</v>
      </c>
      <c r="D741" s="3">
        <v>2048.5</v>
      </c>
      <c r="E741" t="s">
        <v>82</v>
      </c>
      <c r="G741" s="3">
        <v>23864.513671875</v>
      </c>
      <c r="H741" s="3">
        <v>29636.310546875</v>
      </c>
      <c r="I741" s="3">
        <v>26432.333984375</v>
      </c>
      <c r="J741" s="3">
        <v>26925.375</v>
      </c>
      <c r="K741" s="3">
        <v>126774.0859375</v>
      </c>
      <c r="L741" s="3">
        <v>1.4066062867641501E-3</v>
      </c>
      <c r="M741" s="3">
        <v>0.255794078111649</v>
      </c>
      <c r="N741" s="3">
        <v>0.272204250097275</v>
      </c>
      <c r="O741" s="3">
        <v>26511.171875</v>
      </c>
      <c r="P741" s="3">
        <v>32594.177734375</v>
      </c>
      <c r="Q741" s="3">
        <v>0.99213600158691395</v>
      </c>
      <c r="R741" s="3">
        <v>0.392389416694641</v>
      </c>
      <c r="S741" s="3">
        <v>0.368642598390579</v>
      </c>
      <c r="T741" s="3">
        <v>0.393414497375488</v>
      </c>
      <c r="U741" s="3">
        <v>0.38621053099632302</v>
      </c>
      <c r="W741" t="s">
        <v>50</v>
      </c>
      <c r="X741" t="s">
        <v>51</v>
      </c>
      <c r="Y741" t="s">
        <v>52</v>
      </c>
      <c r="Z741" t="s">
        <v>53</v>
      </c>
      <c r="AA741" t="s">
        <v>53</v>
      </c>
      <c r="AC741" s="2">
        <v>0.42435828868578002</v>
      </c>
      <c r="AD741" s="2">
        <v>0.74787318706512496</v>
      </c>
      <c r="AE741" s="2">
        <v>0.21436269581317899</v>
      </c>
      <c r="AF741" s="2">
        <v>0.13844741880893699</v>
      </c>
      <c r="AG741" s="2">
        <v>6.4016610383987399E-2</v>
      </c>
      <c r="AH741" s="2">
        <v>-0.133245289325714</v>
      </c>
      <c r="AI741" s="2">
        <v>-3.1454611569643E-2</v>
      </c>
      <c r="AJ741" s="2">
        <v>0.35803021386588701</v>
      </c>
      <c r="AK741" s="2">
        <v>0.49583838138818798</v>
      </c>
      <c r="AL741" s="2">
        <v>0.42596918167200598</v>
      </c>
      <c r="AM741" s="2">
        <v>0.53949660062789895</v>
      </c>
      <c r="AN741" s="2">
        <v>0.51936453580856301</v>
      </c>
      <c r="AO741" s="2">
        <v>0.281363844871521</v>
      </c>
      <c r="AP741" s="2">
        <v>0.58143597841262795</v>
      </c>
    </row>
    <row r="742" spans="1:42" x14ac:dyDescent="0.3">
      <c r="A742" t="s">
        <v>274</v>
      </c>
      <c r="B742" s="3">
        <v>2017</v>
      </c>
      <c r="C742" s="3">
        <v>21.435445999999999</v>
      </c>
      <c r="D742" s="3">
        <v>2050.62</v>
      </c>
      <c r="E742" t="s">
        <v>82</v>
      </c>
      <c r="G742" s="3">
        <v>25103.548828125</v>
      </c>
      <c r="H742" s="3">
        <v>31032.89453125</v>
      </c>
      <c r="I742" s="3">
        <v>27469.90625</v>
      </c>
      <c r="J742" s="3">
        <v>27355.248046875</v>
      </c>
      <c r="K742" s="3">
        <v>142010.140625</v>
      </c>
      <c r="L742" s="3">
        <v>1.51612004265189E-3</v>
      </c>
      <c r="M742" s="3">
        <v>0.24263736605644201</v>
      </c>
      <c r="N742" s="3">
        <v>0.26507788896560702</v>
      </c>
      <c r="O742" s="3">
        <v>28496.326171875</v>
      </c>
      <c r="P742" s="3">
        <v>34342.21875</v>
      </c>
      <c r="Q742" s="3">
        <v>1.00193607807159</v>
      </c>
      <c r="R742" s="3">
        <v>0.385907202959061</v>
      </c>
      <c r="S742" s="3">
        <v>0.38743659853935197</v>
      </c>
      <c r="T742" s="3">
        <v>0.407176703214645</v>
      </c>
      <c r="U742" s="3">
        <v>0.40888333320617698</v>
      </c>
      <c r="W742" t="s">
        <v>51</v>
      </c>
      <c r="X742" t="s">
        <v>51</v>
      </c>
      <c r="Y742" t="s">
        <v>52</v>
      </c>
      <c r="Z742" t="s">
        <v>53</v>
      </c>
      <c r="AA742" t="s">
        <v>53</v>
      </c>
      <c r="AC742" s="2">
        <v>0.42320324531452203</v>
      </c>
      <c r="AD742" s="2">
        <v>0.77471649646759</v>
      </c>
      <c r="AE742" s="2">
        <v>0.21675352752208699</v>
      </c>
      <c r="AF742" s="2">
        <v>0.14297026395797699</v>
      </c>
      <c r="AG742" s="2">
        <v>0.13342648744583099</v>
      </c>
      <c r="AH742" s="2">
        <v>-0.117555804550648</v>
      </c>
      <c r="AI742" s="2">
        <v>-0.150310948491097</v>
      </c>
      <c r="AJ742" s="2">
        <v>0.37733055501673202</v>
      </c>
      <c r="AK742" s="2">
        <v>0.49075194494511798</v>
      </c>
      <c r="AL742" s="2">
        <v>0.44219844762138</v>
      </c>
      <c r="AM742" s="2">
        <v>0.54586440324783303</v>
      </c>
      <c r="AN742" s="2">
        <v>0.54788792133331299</v>
      </c>
      <c r="AO742" s="2">
        <v>0.26624402403831499</v>
      </c>
      <c r="AP742" s="2">
        <v>0.56524139642715499</v>
      </c>
    </row>
    <row r="743" spans="1:42" x14ac:dyDescent="0.3">
      <c r="A743" t="s">
        <v>274</v>
      </c>
      <c r="B743" s="3">
        <v>2018</v>
      </c>
      <c r="C743" s="3">
        <v>22.188068999999999</v>
      </c>
      <c r="D743" s="3">
        <v>2051.06</v>
      </c>
      <c r="E743" t="s">
        <v>82</v>
      </c>
      <c r="G743" s="3">
        <v>26712.732421875</v>
      </c>
      <c r="H743" s="3">
        <v>33592.515625</v>
      </c>
      <c r="I743" s="3">
        <v>29466.52734375</v>
      </c>
      <c r="J743" s="3">
        <v>30077.224609375</v>
      </c>
      <c r="K743" s="3">
        <v>142343.890625</v>
      </c>
      <c r="L743" s="3">
        <v>1.5006570611149101E-3</v>
      </c>
      <c r="M743" s="3">
        <v>0.25489625334739702</v>
      </c>
      <c r="N743" s="3">
        <v>0.27404007315635698</v>
      </c>
      <c r="O743" s="3">
        <v>30182.19140625</v>
      </c>
      <c r="P743" s="3">
        <v>37319.62109375</v>
      </c>
      <c r="Q743" s="3">
        <v>1.0253593921661399</v>
      </c>
      <c r="R743" s="3">
        <v>0.40628075599670399</v>
      </c>
      <c r="S743" s="3">
        <v>0.40856459736824002</v>
      </c>
      <c r="T743" s="3">
        <v>0.43468517065048201</v>
      </c>
      <c r="U743" s="3">
        <v>0.42585924267768899</v>
      </c>
      <c r="W743" t="s">
        <v>50</v>
      </c>
      <c r="X743" t="s">
        <v>51</v>
      </c>
      <c r="Y743" t="s">
        <v>52</v>
      </c>
      <c r="Z743" t="s">
        <v>53</v>
      </c>
      <c r="AA743" t="s">
        <v>53</v>
      </c>
      <c r="AC743" s="2">
        <v>0.422996013367618</v>
      </c>
      <c r="AD743" s="2">
        <v>0.74692183732986495</v>
      </c>
      <c r="AE743" s="2">
        <v>0.22873729467392001</v>
      </c>
      <c r="AF743" s="2">
        <v>0.14121632277965501</v>
      </c>
      <c r="AG743" s="2">
        <v>9.0101413428783403E-2</v>
      </c>
      <c r="AH743" s="2">
        <v>-0.151376962661743</v>
      </c>
      <c r="AI743" s="2">
        <v>-5.5599920451641097E-2</v>
      </c>
      <c r="AJ743" s="2">
        <v>0.39909611684400298</v>
      </c>
      <c r="AK743" s="2">
        <v>0.53610588652744195</v>
      </c>
      <c r="AL743" s="2">
        <v>0.45864526683166901</v>
      </c>
      <c r="AM743" s="2">
        <v>0.57735335826873802</v>
      </c>
      <c r="AN743" s="2">
        <v>0.58114945888519298</v>
      </c>
      <c r="AO743" s="2">
        <v>0.29717844724655201</v>
      </c>
      <c r="AP743" s="2">
        <v>0.59919637441635099</v>
      </c>
    </row>
    <row r="744" spans="1:42" x14ac:dyDescent="0.3">
      <c r="A744" t="s">
        <v>274</v>
      </c>
      <c r="B744" s="3">
        <v>2019</v>
      </c>
      <c r="C744" s="3">
        <v>22.947756999999999</v>
      </c>
      <c r="D744" s="3">
        <v>2051.0700000000002</v>
      </c>
      <c r="E744" t="s">
        <v>82</v>
      </c>
      <c r="G744" s="3">
        <v>29787.671875</v>
      </c>
      <c r="H744" s="3">
        <v>37967.83203125</v>
      </c>
      <c r="I744" s="3">
        <v>33000.09375</v>
      </c>
      <c r="J744" s="3">
        <v>33840.3515625</v>
      </c>
      <c r="K744" s="3">
        <v>152550.015625</v>
      </c>
      <c r="L744" s="3">
        <v>1.5614402946084701E-3</v>
      </c>
      <c r="M744" s="3">
        <v>0.27357226610183699</v>
      </c>
      <c r="N744" s="3">
        <v>0.29536128044128401</v>
      </c>
      <c r="O744" s="3">
        <v>31653.052734375</v>
      </c>
      <c r="P744" s="3">
        <v>40001.84765625</v>
      </c>
      <c r="Q744" s="3">
        <v>1.03228676319122</v>
      </c>
      <c r="R744" s="3">
        <v>0.39088749885559099</v>
      </c>
      <c r="S744" s="3">
        <v>0.36422711610794101</v>
      </c>
      <c r="T744" s="3">
        <v>0.39140677452087402</v>
      </c>
      <c r="U744" s="3">
        <v>0.38168808817863498</v>
      </c>
      <c r="W744" t="s">
        <v>50</v>
      </c>
      <c r="X744" t="s">
        <v>54</v>
      </c>
      <c r="Y744" t="s">
        <v>52</v>
      </c>
      <c r="Z744" t="s">
        <v>53</v>
      </c>
      <c r="AA744" t="s">
        <v>53</v>
      </c>
      <c r="AC744" s="2">
        <v>0.42694728875229299</v>
      </c>
      <c r="AD744" s="2">
        <v>0.73280668258667003</v>
      </c>
      <c r="AE744" s="2">
        <v>0.24172796308994299</v>
      </c>
      <c r="AF744" s="2">
        <v>0.147434487938881</v>
      </c>
      <c r="AG744" s="2">
        <v>7.7259361743927002E-2</v>
      </c>
      <c r="AH744" s="2">
        <v>-0.14358915388584101</v>
      </c>
      <c r="AI744" s="2">
        <v>-5.5639345198869698E-2</v>
      </c>
      <c r="AJ744" s="2">
        <v>0.35613553743090798</v>
      </c>
      <c r="AK744" s="2">
        <v>0.49038016723685002</v>
      </c>
      <c r="AL744" s="2">
        <v>0.40444546607484999</v>
      </c>
      <c r="AM744" s="2">
        <v>0.55117428302764904</v>
      </c>
      <c r="AN744" s="2">
        <v>0.54882067441940297</v>
      </c>
      <c r="AO744" s="2">
        <v>0.27724978327751199</v>
      </c>
      <c r="AP744" s="2">
        <v>0.57310211658477805</v>
      </c>
    </row>
    <row r="745" spans="1:42" x14ac:dyDescent="0.3">
      <c r="A745" t="s">
        <v>274</v>
      </c>
      <c r="B745" s="3">
        <v>2020</v>
      </c>
      <c r="C745" s="3">
        <v>23.717613</v>
      </c>
      <c r="D745" s="3">
        <v>2017.79</v>
      </c>
      <c r="E745" t="s">
        <v>82</v>
      </c>
      <c r="G745" s="3">
        <v>32612.857421875</v>
      </c>
      <c r="H745" s="3">
        <v>40388.16015625</v>
      </c>
      <c r="I745" s="3">
        <v>34970.86328125</v>
      </c>
      <c r="J745" s="3">
        <v>35989.265625</v>
      </c>
      <c r="K745" s="3">
        <v>158073.90625</v>
      </c>
      <c r="L745" s="3">
        <v>1.53595418669283E-3</v>
      </c>
      <c r="M745" s="3">
        <v>0.28656104207038902</v>
      </c>
      <c r="N745" s="3">
        <v>0.30850464105606101</v>
      </c>
      <c r="O745" s="3">
        <v>34002.94140625</v>
      </c>
      <c r="P745" s="3">
        <v>41614.7890625</v>
      </c>
      <c r="Q745" s="3">
        <v>1.0351825952529901</v>
      </c>
      <c r="R745" s="3">
        <v>0.39088749885559099</v>
      </c>
      <c r="S745" s="3">
        <v>0.36664846539497398</v>
      </c>
      <c r="T745" s="3">
        <v>0.393017917871475</v>
      </c>
      <c r="U745" s="3">
        <v>0.38189652562141402</v>
      </c>
      <c r="W745" t="s">
        <v>50</v>
      </c>
      <c r="X745" t="s">
        <v>54</v>
      </c>
      <c r="Y745" t="s">
        <v>52</v>
      </c>
      <c r="Z745" t="s">
        <v>53</v>
      </c>
      <c r="AA745" t="s">
        <v>53</v>
      </c>
      <c r="AC745" s="2">
        <v>0.42919821611389902</v>
      </c>
      <c r="AD745" s="2">
        <v>0.75662451982498202</v>
      </c>
      <c r="AE745" s="2">
        <v>0.216045022010803</v>
      </c>
      <c r="AF745" s="2">
        <v>0.14955835044384</v>
      </c>
      <c r="AG745" s="2">
        <v>6.9073863327503204E-2</v>
      </c>
      <c r="AH745" s="2">
        <v>-0.13668979704379999</v>
      </c>
      <c r="AI745" s="2">
        <v>-5.4612003266811399E-2</v>
      </c>
      <c r="AJ745" s="2">
        <v>0.35956191099412999</v>
      </c>
      <c r="AK745" s="2">
        <v>0.50362223041337095</v>
      </c>
      <c r="AL745" s="2">
        <v>0.40249984938924699</v>
      </c>
      <c r="AM745" s="2">
        <v>0.56491321325302102</v>
      </c>
      <c r="AN745" s="2">
        <v>0.56568783521652199</v>
      </c>
      <c r="AO745" s="2">
        <v>0.28611552715301503</v>
      </c>
      <c r="AP745" s="2">
        <v>0.647236227989197</v>
      </c>
    </row>
    <row r="746" spans="1:42" x14ac:dyDescent="0.3">
      <c r="A746" t="s">
        <v>275</v>
      </c>
      <c r="B746" s="3">
        <v>2015</v>
      </c>
      <c r="C746" s="3">
        <v>190.67187799999999</v>
      </c>
      <c r="D746" s="3">
        <v>2236.11</v>
      </c>
      <c r="E746" t="s">
        <v>276</v>
      </c>
      <c r="G746" s="3">
        <v>1033759.1875</v>
      </c>
      <c r="H746" s="3">
        <v>1154356.25</v>
      </c>
      <c r="I746" s="3">
        <v>1152834.125</v>
      </c>
      <c r="J746" s="3">
        <v>1160201.375</v>
      </c>
      <c r="K746" s="3">
        <v>3602163.5</v>
      </c>
      <c r="L746" s="3">
        <v>3.9287678897380801E-2</v>
      </c>
      <c r="M746" s="3">
        <v>0.57762682437896695</v>
      </c>
      <c r="N746" s="3">
        <v>0.554454565048218</v>
      </c>
      <c r="O746" s="3">
        <v>708363.3125</v>
      </c>
      <c r="P746" s="3">
        <v>1015857.375</v>
      </c>
      <c r="Q746" s="3">
        <v>1.07644808292389</v>
      </c>
      <c r="R746" s="3">
        <v>0.31155726313590998</v>
      </c>
      <c r="S746" s="3">
        <v>0.410152196884155</v>
      </c>
      <c r="T746" s="3">
        <v>0.433670163154602</v>
      </c>
      <c r="U746" s="3">
        <v>0.430916398763657</v>
      </c>
      <c r="W746" t="s">
        <v>50</v>
      </c>
      <c r="X746" t="s">
        <v>51</v>
      </c>
      <c r="Y746" t="s">
        <v>52</v>
      </c>
      <c r="Z746" t="s">
        <v>53</v>
      </c>
      <c r="AA746" t="s">
        <v>62</v>
      </c>
      <c r="AC746" s="2">
        <v>0.241026817844329</v>
      </c>
      <c r="AD746" s="2">
        <v>0.80159389972686801</v>
      </c>
      <c r="AE746" s="2">
        <v>0.103944957256317</v>
      </c>
      <c r="AF746" s="2">
        <v>8.9423105120658902E-2</v>
      </c>
      <c r="AG746" s="2">
        <v>8.9264623820781694E-2</v>
      </c>
      <c r="AH746" s="2">
        <v>-5.36983758211136E-2</v>
      </c>
      <c r="AI746" s="2">
        <v>-3.05282510817051E-2</v>
      </c>
      <c r="AJ746" s="2">
        <v>0.42033972462339603</v>
      </c>
      <c r="AK746" s="2">
        <v>0.63526645766025902</v>
      </c>
      <c r="AL746" s="2">
        <v>0.31883068541925602</v>
      </c>
      <c r="AM746" s="2">
        <v>0.46766164898872398</v>
      </c>
      <c r="AN746" s="2">
        <v>0.54302364587783802</v>
      </c>
      <c r="AO746" s="2">
        <v>0.37275394797325101</v>
      </c>
      <c r="AP746" s="2">
        <v>1.1704686880111701</v>
      </c>
    </row>
    <row r="747" spans="1:42" x14ac:dyDescent="0.3">
      <c r="A747" t="s">
        <v>275</v>
      </c>
      <c r="B747" s="3">
        <v>2016</v>
      </c>
      <c r="C747" s="3">
        <v>195.44370000000001</v>
      </c>
      <c r="D747" s="3">
        <v>2292.7600000000002</v>
      </c>
      <c r="E747" t="s">
        <v>276</v>
      </c>
      <c r="G747" s="3">
        <v>1027101</v>
      </c>
      <c r="H747" s="3">
        <v>1133358.375</v>
      </c>
      <c r="I747" s="3">
        <v>1108021.25</v>
      </c>
      <c r="J747" s="3">
        <v>1118727.625</v>
      </c>
      <c r="K747" s="3">
        <v>3417361.75</v>
      </c>
      <c r="L747" s="3">
        <v>3.6023620516061797E-2</v>
      </c>
      <c r="M747" s="3">
        <v>0.56013673543930098</v>
      </c>
      <c r="N747" s="3">
        <v>0.54862886667251598</v>
      </c>
      <c r="O747" s="3">
        <v>668348.8125</v>
      </c>
      <c r="P747" s="3">
        <v>957103.6875</v>
      </c>
      <c r="Q747" s="3">
        <v>1.02533411979675</v>
      </c>
      <c r="R747" s="3">
        <v>0.31155726313590998</v>
      </c>
      <c r="S747" s="3">
        <v>0.34254431724548301</v>
      </c>
      <c r="T747" s="3">
        <v>0.36519867181777999</v>
      </c>
      <c r="U747" s="3">
        <v>0.36170366406440702</v>
      </c>
      <c r="W747" t="s">
        <v>50</v>
      </c>
      <c r="X747" t="s">
        <v>51</v>
      </c>
      <c r="Y747" t="s">
        <v>52</v>
      </c>
      <c r="Z747" t="s">
        <v>53</v>
      </c>
      <c r="AA747" t="s">
        <v>53</v>
      </c>
      <c r="AC747" s="2">
        <v>0.251610684869783</v>
      </c>
      <c r="AD747" s="2">
        <v>0.84200179576873802</v>
      </c>
      <c r="AE747" s="2">
        <v>9.4980530440807301E-2</v>
      </c>
      <c r="AF747" s="2">
        <v>7.6095677912235302E-2</v>
      </c>
      <c r="AG747" s="2">
        <v>6.3648954033851596E-2</v>
      </c>
      <c r="AH747" s="2">
        <v>-5.9571705758571597E-2</v>
      </c>
      <c r="AI747" s="2">
        <v>-1.7155228182673499E-2</v>
      </c>
      <c r="AJ747" s="2">
        <v>0.35037198408001802</v>
      </c>
      <c r="AK747" s="2">
        <v>0.58417949536918401</v>
      </c>
      <c r="AL747" s="2">
        <v>0.25593077398973801</v>
      </c>
      <c r="AM747" s="2">
        <v>0.46180263161659202</v>
      </c>
      <c r="AN747" s="2">
        <v>0.528090059757233</v>
      </c>
      <c r="AO747" s="2">
        <v>0.34401547908782998</v>
      </c>
      <c r="AP747" s="2">
        <v>1.00097000598907</v>
      </c>
    </row>
    <row r="748" spans="1:42" x14ac:dyDescent="0.3">
      <c r="A748" t="s">
        <v>275</v>
      </c>
      <c r="B748" s="3">
        <v>2017</v>
      </c>
      <c r="C748" s="3">
        <v>200.25457900000001</v>
      </c>
      <c r="D748" s="3">
        <v>2196.81</v>
      </c>
      <c r="E748" t="s">
        <v>276</v>
      </c>
      <c r="G748" s="3">
        <v>995127.9375</v>
      </c>
      <c r="H748" s="3">
        <v>1100501.25</v>
      </c>
      <c r="I748" s="3">
        <v>1100449.25</v>
      </c>
      <c r="J748" s="3">
        <v>1097664.25</v>
      </c>
      <c r="K748" s="3">
        <v>3465675.5</v>
      </c>
      <c r="L748" s="3">
        <v>3.4967519342899302E-2</v>
      </c>
      <c r="M748" s="3">
        <v>0.54427808523178101</v>
      </c>
      <c r="N748" s="3">
        <v>0.52550387382507302</v>
      </c>
      <c r="O748" s="3">
        <v>660764.5625</v>
      </c>
      <c r="P748" s="3">
        <v>945416.25</v>
      </c>
      <c r="Q748" s="3">
        <v>1.0165375471115099</v>
      </c>
      <c r="R748" s="3">
        <v>0.31155726313590998</v>
      </c>
      <c r="S748" s="3">
        <v>0.31917330622673001</v>
      </c>
      <c r="T748" s="3">
        <v>0.34144660830497697</v>
      </c>
      <c r="U748" s="3">
        <v>0.342312902212143</v>
      </c>
      <c r="W748" t="s">
        <v>51</v>
      </c>
      <c r="X748" t="s">
        <v>51</v>
      </c>
      <c r="Y748" t="s">
        <v>52</v>
      </c>
      <c r="Z748" t="s">
        <v>53</v>
      </c>
      <c r="AA748" t="s">
        <v>53</v>
      </c>
      <c r="AC748" s="2">
        <v>0.24635929172915599</v>
      </c>
      <c r="AD748" s="2">
        <v>0.83652937412261996</v>
      </c>
      <c r="AE748" s="2">
        <v>9.5997728407383007E-2</v>
      </c>
      <c r="AF748" s="2">
        <v>7.0057429373264299E-2</v>
      </c>
      <c r="AG748" s="2">
        <v>8.58969837427139E-2</v>
      </c>
      <c r="AH748" s="2">
        <v>-5.3313937038183198E-2</v>
      </c>
      <c r="AI748" s="2">
        <v>-3.51675674319267E-2</v>
      </c>
      <c r="AJ748" s="2">
        <v>0.32788466127391502</v>
      </c>
      <c r="AK748" s="2">
        <v>0.55179202310429099</v>
      </c>
      <c r="AL748" s="2">
        <v>0.21515435826826201</v>
      </c>
      <c r="AM748" s="2">
        <v>0.47161129117012002</v>
      </c>
      <c r="AN748" s="2">
        <v>0.53434145450591997</v>
      </c>
      <c r="AO748" s="2">
        <v>0.32856428623199502</v>
      </c>
      <c r="AP748" s="2">
        <v>0.92297351360321001</v>
      </c>
    </row>
    <row r="749" spans="1:42" x14ac:dyDescent="0.3">
      <c r="A749" t="s">
        <v>275</v>
      </c>
      <c r="B749" s="3">
        <v>2018</v>
      </c>
      <c r="C749" s="3">
        <v>204.93875499999999</v>
      </c>
      <c r="D749" s="3">
        <v>2095.31</v>
      </c>
      <c r="E749" t="s">
        <v>276</v>
      </c>
      <c r="G749" s="3">
        <v>995473.625</v>
      </c>
      <c r="H749" s="3">
        <v>1134908.125</v>
      </c>
      <c r="I749" s="3">
        <v>1112502.625</v>
      </c>
      <c r="J749" s="3">
        <v>1108238.75</v>
      </c>
      <c r="K749" s="3">
        <v>4370208</v>
      </c>
      <c r="L749" s="3">
        <v>4.0170274674892398E-2</v>
      </c>
      <c r="M749" s="3">
        <v>0.49836093187332198</v>
      </c>
      <c r="N749" s="3">
        <v>0.49126660823821999</v>
      </c>
      <c r="O749" s="3">
        <v>703365.1875</v>
      </c>
      <c r="P749" s="3">
        <v>1011154.5</v>
      </c>
      <c r="Q749" s="3">
        <v>1.0251272916793801</v>
      </c>
      <c r="R749" s="3">
        <v>0.31155726313590998</v>
      </c>
      <c r="S749" s="3">
        <v>0.34824547171592701</v>
      </c>
      <c r="T749" s="3">
        <v>0.37908908724784901</v>
      </c>
      <c r="U749" s="3">
        <v>0.38054764270782498</v>
      </c>
      <c r="W749" t="s">
        <v>50</v>
      </c>
      <c r="X749" t="s">
        <v>51</v>
      </c>
      <c r="Y749" t="s">
        <v>52</v>
      </c>
      <c r="Z749" t="s">
        <v>53</v>
      </c>
      <c r="AA749" t="s">
        <v>53</v>
      </c>
      <c r="AC749" s="2">
        <v>0.25715892361175302</v>
      </c>
      <c r="AD749" s="2">
        <v>0.80133444070815996</v>
      </c>
      <c r="AE749" s="2">
        <v>0.125816315412521</v>
      </c>
      <c r="AF749" s="2">
        <v>9.6913889050483704E-2</v>
      </c>
      <c r="AG749" s="2">
        <v>0.11512733995914499</v>
      </c>
      <c r="AH749" s="2">
        <v>-7.3079973459243802E-2</v>
      </c>
      <c r="AI749" s="2">
        <v>-6.61119744181633E-2</v>
      </c>
      <c r="AJ749" s="2">
        <v>0.36374796061367198</v>
      </c>
      <c r="AK749" s="2">
        <v>0.59929287828734001</v>
      </c>
      <c r="AL749" s="2">
        <v>0.22006277032150001</v>
      </c>
      <c r="AM749" s="2">
        <v>0.48906996846199002</v>
      </c>
      <c r="AN749" s="2">
        <v>0.53107166290283203</v>
      </c>
      <c r="AO749" s="2">
        <v>0.36786964535713201</v>
      </c>
      <c r="AP749" s="2">
        <v>0.85461616516113303</v>
      </c>
    </row>
    <row r="750" spans="1:42" x14ac:dyDescent="0.3">
      <c r="A750" t="s">
        <v>275</v>
      </c>
      <c r="B750" s="3">
        <v>2019</v>
      </c>
      <c r="C750" s="3">
        <v>209.48564099999999</v>
      </c>
      <c r="D750" s="3">
        <v>1994.8</v>
      </c>
      <c r="E750" t="s">
        <v>276</v>
      </c>
      <c r="G750" s="3">
        <v>1041220.125</v>
      </c>
      <c r="H750" s="3">
        <v>1237142</v>
      </c>
      <c r="I750" s="3">
        <v>1171737.875</v>
      </c>
      <c r="J750" s="3">
        <v>1185539.875</v>
      </c>
      <c r="K750" s="3">
        <v>6125918.5</v>
      </c>
      <c r="L750" s="3">
        <v>5.13374656438828E-2</v>
      </c>
      <c r="M750" s="3">
        <v>0.45445269346237199</v>
      </c>
      <c r="N750" s="3">
        <v>0.45634451508522</v>
      </c>
      <c r="O750" s="3">
        <v>700200</v>
      </c>
      <c r="P750" s="3">
        <v>1021092.5</v>
      </c>
      <c r="Q750" s="3">
        <v>1.0335948467254601</v>
      </c>
      <c r="R750" s="3">
        <v>0.31155726313590998</v>
      </c>
      <c r="S750" s="3">
        <v>0.36534082889556901</v>
      </c>
      <c r="T750" s="3">
        <v>0.40496799349784901</v>
      </c>
      <c r="U750" s="3">
        <v>0.40025332570076</v>
      </c>
      <c r="W750" t="s">
        <v>50</v>
      </c>
      <c r="X750" t="s">
        <v>54</v>
      </c>
      <c r="Y750" t="s">
        <v>52</v>
      </c>
      <c r="Z750" t="s">
        <v>53</v>
      </c>
      <c r="AA750" t="s">
        <v>53</v>
      </c>
      <c r="AC750" s="2">
        <v>0.26923061094205503</v>
      </c>
      <c r="AD750" s="2">
        <v>0.76815319061279297</v>
      </c>
      <c r="AE750" s="2">
        <v>0.165259674191475</v>
      </c>
      <c r="AF750" s="2">
        <v>0.110113434493542</v>
      </c>
      <c r="AG750" s="2">
        <v>0.101042360067368</v>
      </c>
      <c r="AH750" s="2">
        <v>-7.5581885874271407E-2</v>
      </c>
      <c r="AI750" s="2">
        <v>-6.8986751139163999E-2</v>
      </c>
      <c r="AJ750" s="2">
        <v>0.38703137319887698</v>
      </c>
      <c r="AK750" s="2">
        <v>0.61556516271912098</v>
      </c>
      <c r="AL750" s="2">
        <v>0.21402713749767999</v>
      </c>
      <c r="AM750" s="2">
        <v>0.44759935140609702</v>
      </c>
      <c r="AN750" s="2">
        <v>0.52864128351211603</v>
      </c>
      <c r="AO750" s="2">
        <v>0.38532277941703802</v>
      </c>
      <c r="AP750" s="2">
        <v>0.72377061843872104</v>
      </c>
    </row>
    <row r="751" spans="1:42" x14ac:dyDescent="0.3">
      <c r="A751" t="s">
        <v>275</v>
      </c>
      <c r="B751" s="3">
        <v>2020</v>
      </c>
      <c r="C751" s="3">
        <v>213.99618100000001</v>
      </c>
      <c r="D751" s="3">
        <v>1964.21</v>
      </c>
      <c r="E751" t="s">
        <v>276</v>
      </c>
      <c r="G751" s="3">
        <v>1022837.875</v>
      </c>
      <c r="H751" s="3">
        <v>1250391</v>
      </c>
      <c r="I751" s="3">
        <v>1160556.75</v>
      </c>
      <c r="J751" s="3">
        <v>1187933.125</v>
      </c>
      <c r="K751" s="3">
        <v>7814045.5</v>
      </c>
      <c r="L751" s="3">
        <v>6.1030860990285901E-2</v>
      </c>
      <c r="M751" s="3">
        <v>0.40194186568260198</v>
      </c>
      <c r="N751" s="3">
        <v>0.405864238739014</v>
      </c>
      <c r="O751" s="3">
        <v>746046</v>
      </c>
      <c r="P751" s="3">
        <v>1050396.75</v>
      </c>
      <c r="Q751" s="3">
        <v>0.99615520238876298</v>
      </c>
      <c r="R751" s="3">
        <v>0.31155726313590998</v>
      </c>
      <c r="S751" s="3">
        <v>0.32926955819129899</v>
      </c>
      <c r="T751" s="3">
        <v>0.370423823595047</v>
      </c>
      <c r="U751" s="3">
        <v>0.36188730597495999</v>
      </c>
      <c r="W751" t="s">
        <v>50</v>
      </c>
      <c r="X751" t="s">
        <v>54</v>
      </c>
      <c r="Y751" t="s">
        <v>52</v>
      </c>
      <c r="Z751" t="s">
        <v>53</v>
      </c>
      <c r="AA751" t="s">
        <v>53</v>
      </c>
      <c r="AC751" s="2">
        <v>0.27321217867702302</v>
      </c>
      <c r="AD751" s="2">
        <v>0.70173710584640503</v>
      </c>
      <c r="AE751" s="2">
        <v>0.19155383110046401</v>
      </c>
      <c r="AF751" s="2">
        <v>0.15928602218627899</v>
      </c>
      <c r="AG751" s="2">
        <v>6.8537108600139604E-2</v>
      </c>
      <c r="AH751" s="2">
        <v>-5.7081338018178898E-2</v>
      </c>
      <c r="AI751" s="2">
        <v>-6.4032748341560405E-2</v>
      </c>
      <c r="AJ751" s="2">
        <v>0.35910405589632199</v>
      </c>
      <c r="AK751" s="2">
        <v>0.55540993121075799</v>
      </c>
      <c r="AL751" s="2">
        <v>0.19783313890071899</v>
      </c>
      <c r="AM751" s="2">
        <v>0.37043997645378102</v>
      </c>
      <c r="AN751" s="2">
        <v>0.52956998348236095</v>
      </c>
      <c r="AO751" s="2">
        <v>0.34978374838829002</v>
      </c>
      <c r="AP751" s="2">
        <v>0.57584887742996205</v>
      </c>
    </row>
    <row r="752" spans="1:42" x14ac:dyDescent="0.3">
      <c r="A752" t="s">
        <v>277</v>
      </c>
      <c r="B752" s="3">
        <v>2015</v>
      </c>
      <c r="C752" s="3">
        <v>6.1494169999999997</v>
      </c>
      <c r="D752" s="3"/>
      <c r="E752" t="s">
        <v>278</v>
      </c>
      <c r="G752" s="3">
        <v>33396.71875</v>
      </c>
      <c r="H752" s="3">
        <v>41962.30078125</v>
      </c>
      <c r="I752" s="3">
        <v>35553.25390625</v>
      </c>
      <c r="J752" s="3">
        <v>36148.671875</v>
      </c>
      <c r="K752" s="3">
        <v>129330.296875</v>
      </c>
      <c r="L752" s="3">
        <v>1.45605392754078E-3</v>
      </c>
      <c r="M752" s="3">
        <v>0.43254247307777399</v>
      </c>
      <c r="N752" s="3">
        <v>0.48440474271774298</v>
      </c>
      <c r="O752" s="3">
        <v>37021.28125</v>
      </c>
      <c r="P752" s="3">
        <v>49569.7890625</v>
      </c>
      <c r="Q752" s="3">
        <v>1.0425451993942301</v>
      </c>
      <c r="R752" s="3">
        <v>0.53725200891494795</v>
      </c>
      <c r="S752" s="3">
        <v>0.32295936346054099</v>
      </c>
      <c r="T752" s="3">
        <v>0.35880529880523698</v>
      </c>
      <c r="U752" s="3">
        <v>0.35289531946182301</v>
      </c>
      <c r="W752" t="s">
        <v>50</v>
      </c>
      <c r="X752" t="s">
        <v>51</v>
      </c>
      <c r="Y752" t="s">
        <v>52</v>
      </c>
      <c r="Z752" t="s">
        <v>53</v>
      </c>
      <c r="AA752" t="s">
        <v>53</v>
      </c>
      <c r="AC752" s="2">
        <v>0.631472424936798</v>
      </c>
      <c r="AD752" s="2">
        <v>0.72788542509079002</v>
      </c>
      <c r="AE752" s="2">
        <v>0.23695425689220401</v>
      </c>
      <c r="AF752" s="2">
        <v>0.195985868573189</v>
      </c>
      <c r="AG752" s="2">
        <v>0.25558122992515597</v>
      </c>
      <c r="AH752" s="2">
        <v>-0.416406780481339</v>
      </c>
      <c r="AI752" s="2">
        <v>0</v>
      </c>
      <c r="AJ752" s="2">
        <v>0.34178864456099201</v>
      </c>
      <c r="AK752" s="2">
        <v>0.49856659878241699</v>
      </c>
      <c r="AL752" s="2">
        <v>0.25302794373142101</v>
      </c>
      <c r="AM752" s="2">
        <v>0.55345910787582397</v>
      </c>
      <c r="AN752" s="2">
        <v>0.49247235059738198</v>
      </c>
      <c r="AO752" s="2">
        <v>0.33209013938903797</v>
      </c>
      <c r="AP752" s="2">
        <v>0.54166066646575906</v>
      </c>
    </row>
    <row r="753" spans="1:42" x14ac:dyDescent="0.3">
      <c r="A753" t="s">
        <v>277</v>
      </c>
      <c r="B753" s="3">
        <v>2016</v>
      </c>
      <c r="C753" s="3">
        <v>6.232666</v>
      </c>
      <c r="D753" s="3"/>
      <c r="E753" t="s">
        <v>278</v>
      </c>
      <c r="G753" s="3">
        <v>35473.40625</v>
      </c>
      <c r="H753" s="3">
        <v>44153.0625</v>
      </c>
      <c r="I753" s="3">
        <v>38046.69140625</v>
      </c>
      <c r="J753" s="3">
        <v>38673.2421875</v>
      </c>
      <c r="K753" s="3">
        <v>137372.25</v>
      </c>
      <c r="L753" s="3">
        <v>1.52053229976445E-3</v>
      </c>
      <c r="M753" s="3">
        <v>0.44161954522132901</v>
      </c>
      <c r="N753" s="3">
        <v>0.487461477518082</v>
      </c>
      <c r="O753" s="3">
        <v>39291.89453125</v>
      </c>
      <c r="P753" s="3">
        <v>51714.39453125</v>
      </c>
      <c r="Q753" s="3">
        <v>1.04314172267914</v>
      </c>
      <c r="R753" s="3">
        <v>0.52773427963256803</v>
      </c>
      <c r="S753" s="3">
        <v>0.31779175996780401</v>
      </c>
      <c r="T753" s="3">
        <v>0.34920495748519897</v>
      </c>
      <c r="U753" s="3">
        <v>0.343547433614731</v>
      </c>
      <c r="W753" t="s">
        <v>50</v>
      </c>
      <c r="X753" t="s">
        <v>51</v>
      </c>
      <c r="Y753" t="s">
        <v>52</v>
      </c>
      <c r="Z753" t="s">
        <v>53</v>
      </c>
      <c r="AA753" t="s">
        <v>53</v>
      </c>
      <c r="AC753" s="2">
        <v>0.60654310311938497</v>
      </c>
      <c r="AD753" s="2">
        <v>0.71292293071746804</v>
      </c>
      <c r="AE753" s="2">
        <v>0.22443573176860801</v>
      </c>
      <c r="AF753" s="2">
        <v>0.204336702823639</v>
      </c>
      <c r="AG753" s="2">
        <v>0.243002489209175</v>
      </c>
      <c r="AH753" s="2">
        <v>-0.38469785451888999</v>
      </c>
      <c r="AI753" s="2">
        <v>0</v>
      </c>
      <c r="AJ753" s="2">
        <v>0.33919196544011199</v>
      </c>
      <c r="AK753" s="2">
        <v>0.47758940778805398</v>
      </c>
      <c r="AL753" s="2">
        <v>0.24312722985681001</v>
      </c>
      <c r="AM753" s="2">
        <v>0.54969894886016901</v>
      </c>
      <c r="AN753" s="2">
        <v>0.490557581186295</v>
      </c>
      <c r="AO753" s="2">
        <v>0.31633910536766102</v>
      </c>
      <c r="AP753" s="2">
        <v>0.534135401248932</v>
      </c>
    </row>
    <row r="754" spans="1:42" x14ac:dyDescent="0.3">
      <c r="A754" t="s">
        <v>277</v>
      </c>
      <c r="B754" s="3">
        <v>2017</v>
      </c>
      <c r="C754" s="3">
        <v>6.3162310000000002</v>
      </c>
      <c r="D754" s="3"/>
      <c r="E754" t="s">
        <v>278</v>
      </c>
      <c r="G754" s="3">
        <v>35988.25390625</v>
      </c>
      <c r="H754" s="3">
        <v>44836.3515625</v>
      </c>
      <c r="I754" s="3">
        <v>39432.984375</v>
      </c>
      <c r="J754" s="3">
        <v>39914.25</v>
      </c>
      <c r="K754" s="3">
        <v>142726.0625</v>
      </c>
      <c r="L754" s="3">
        <v>1.5628690598532601E-3</v>
      </c>
      <c r="M754" s="3">
        <v>0.43691769242286699</v>
      </c>
      <c r="N754" s="3">
        <v>0.472646474838257</v>
      </c>
      <c r="O754" s="3">
        <v>40274.0625</v>
      </c>
      <c r="P754" s="3">
        <v>52828.8828125</v>
      </c>
      <c r="Q754" s="3">
        <v>1.0479817390441899</v>
      </c>
      <c r="R754" s="3">
        <v>0.52154022455215499</v>
      </c>
      <c r="S754" s="3">
        <v>0.32096073031425498</v>
      </c>
      <c r="T754" s="3">
        <v>0.34960305690765398</v>
      </c>
      <c r="U754" s="3">
        <v>0.34538775682449302</v>
      </c>
      <c r="W754" t="s">
        <v>51</v>
      </c>
      <c r="X754" t="s">
        <v>51</v>
      </c>
      <c r="Y754" t="s">
        <v>52</v>
      </c>
      <c r="Z754" t="s">
        <v>53</v>
      </c>
      <c r="AA754" t="s">
        <v>53</v>
      </c>
      <c r="AC754" s="2">
        <v>0.61912946124388402</v>
      </c>
      <c r="AD754" s="2">
        <v>0.68983721733093295</v>
      </c>
      <c r="AE754" s="2">
        <v>0.221677631139755</v>
      </c>
      <c r="AF754" s="2">
        <v>0.21180197596549999</v>
      </c>
      <c r="AG754" s="2">
        <v>0.25427269935607899</v>
      </c>
      <c r="AH754" s="2">
        <v>-0.37758958339691201</v>
      </c>
      <c r="AI754" s="2">
        <v>0</v>
      </c>
      <c r="AJ754" s="2">
        <v>0.347355662571808</v>
      </c>
      <c r="AK754" s="2">
        <v>0.46610128861283501</v>
      </c>
      <c r="AL754" s="2">
        <v>0.23499268154031699</v>
      </c>
      <c r="AM754" s="2">
        <v>0.56152206659317005</v>
      </c>
      <c r="AN754" s="2">
        <v>0.50347518920898404</v>
      </c>
      <c r="AO754" s="2">
        <v>0.31196007132530201</v>
      </c>
      <c r="AP754" s="2">
        <v>0.52656400203704801</v>
      </c>
    </row>
    <row r="755" spans="1:42" x14ac:dyDescent="0.3">
      <c r="A755" t="s">
        <v>277</v>
      </c>
      <c r="B755" s="3">
        <v>2018</v>
      </c>
      <c r="C755" s="3">
        <v>6.40008</v>
      </c>
      <c r="D755" s="3"/>
      <c r="E755" t="s">
        <v>278</v>
      </c>
      <c r="G755" s="3">
        <v>35374.4296875</v>
      </c>
      <c r="H755" s="3">
        <v>42594.1953125</v>
      </c>
      <c r="I755" s="3">
        <v>38923.53125</v>
      </c>
      <c r="J755" s="3">
        <v>38903.8671875</v>
      </c>
      <c r="K755" s="3">
        <v>162815.828125</v>
      </c>
      <c r="L755" s="3">
        <v>1.70427234843373E-3</v>
      </c>
      <c r="M755" s="3">
        <v>0.39965230226516701</v>
      </c>
      <c r="N755" s="3">
        <v>0.42119732499122597</v>
      </c>
      <c r="O755" s="3">
        <v>38601.890625</v>
      </c>
      <c r="P755" s="3">
        <v>47711.3671875</v>
      </c>
      <c r="Q755" s="3">
        <v>0.99725818634033203</v>
      </c>
      <c r="R755" s="3">
        <v>0.52005988359451305</v>
      </c>
      <c r="S755" s="3">
        <v>0.31428879499435403</v>
      </c>
      <c r="T755" s="3">
        <v>0.33463618159294101</v>
      </c>
      <c r="U755" s="3">
        <v>0.33480533957481401</v>
      </c>
      <c r="W755" t="s">
        <v>50</v>
      </c>
      <c r="X755" t="s">
        <v>51</v>
      </c>
      <c r="Y755" t="s">
        <v>52</v>
      </c>
      <c r="Z755" t="s">
        <v>53</v>
      </c>
      <c r="AA755" t="s">
        <v>53</v>
      </c>
      <c r="AC755" s="2">
        <v>0.61921352051888801</v>
      </c>
      <c r="AD755" s="2">
        <v>0.67835432291030895</v>
      </c>
      <c r="AE755" s="2">
        <v>0.18557965755462599</v>
      </c>
      <c r="AF755" s="2">
        <v>0.230923652648926</v>
      </c>
      <c r="AG755" s="2">
        <v>0.24373517930507699</v>
      </c>
      <c r="AH755" s="2">
        <v>-0.33859279751777699</v>
      </c>
      <c r="AI755" s="2">
        <v>-2.4330051862087E-12</v>
      </c>
      <c r="AJ755" s="2">
        <v>0.34821911819046297</v>
      </c>
      <c r="AK755" s="2">
        <v>0.43433149838206297</v>
      </c>
      <c r="AL755" s="2">
        <v>0.214616090996394</v>
      </c>
      <c r="AM755" s="2">
        <v>0.58073741197586104</v>
      </c>
      <c r="AN755" s="2">
        <v>0.51129192113876298</v>
      </c>
      <c r="AO755" s="2">
        <v>0.28223466873168901</v>
      </c>
      <c r="AP755" s="2">
        <v>0.43370941281318698</v>
      </c>
    </row>
    <row r="756" spans="1:42" x14ac:dyDescent="0.3">
      <c r="A756" t="s">
        <v>277</v>
      </c>
      <c r="B756" s="3">
        <v>2019</v>
      </c>
      <c r="C756" s="3">
        <v>6.483657</v>
      </c>
      <c r="D756" s="3"/>
      <c r="E756" t="s">
        <v>278</v>
      </c>
      <c r="G756" s="3">
        <v>36106.31640625</v>
      </c>
      <c r="H756" s="3">
        <v>41911.30078125</v>
      </c>
      <c r="I756" s="3">
        <v>40041.34765625</v>
      </c>
      <c r="J756" s="3">
        <v>39269.03515625</v>
      </c>
      <c r="K756" s="3">
        <v>184460.765625</v>
      </c>
      <c r="L756" s="3">
        <v>1.83101487345994E-3</v>
      </c>
      <c r="M756" s="3">
        <v>0.37851029634475702</v>
      </c>
      <c r="N756" s="3">
        <v>0.38873964548111001</v>
      </c>
      <c r="O756" s="3">
        <v>38131.19921875</v>
      </c>
      <c r="P756" s="3">
        <v>44480.33203125</v>
      </c>
      <c r="Q756" s="3">
        <v>0.95876014232635498</v>
      </c>
      <c r="R756" s="3">
        <v>0.52010387182235696</v>
      </c>
      <c r="S756" s="3">
        <v>0.30542308092117298</v>
      </c>
      <c r="T756" s="3">
        <v>0.31714773178100603</v>
      </c>
      <c r="U756" s="3">
        <v>0.323385149240494</v>
      </c>
      <c r="W756" t="s">
        <v>50</v>
      </c>
      <c r="X756" t="s">
        <v>54</v>
      </c>
      <c r="Y756" t="s">
        <v>52</v>
      </c>
      <c r="Z756" t="s">
        <v>53</v>
      </c>
      <c r="AA756" t="s">
        <v>53</v>
      </c>
      <c r="AC756" s="2">
        <v>0.61218355121035695</v>
      </c>
      <c r="AD756" s="2">
        <v>0.681754410266876</v>
      </c>
      <c r="AE756" s="2">
        <v>0.14782601594924899</v>
      </c>
      <c r="AF756" s="2">
        <v>0.23770579695701599</v>
      </c>
      <c r="AG756" s="2">
        <v>0.259267717599869</v>
      </c>
      <c r="AH756" s="2">
        <v>-0.32418701052665699</v>
      </c>
      <c r="AI756" s="2">
        <v>-2.3669591173529599E-3</v>
      </c>
      <c r="AJ756" s="2">
        <v>0.33975208561371301</v>
      </c>
      <c r="AK756" s="2">
        <v>0.39007382814643099</v>
      </c>
      <c r="AL756" s="2">
        <v>0.20696543976366899</v>
      </c>
      <c r="AM756" s="2">
        <v>0.55884659290313698</v>
      </c>
      <c r="AN756" s="2">
        <v>0.49116003513336198</v>
      </c>
      <c r="AO756" s="2">
        <v>0.246742993593216</v>
      </c>
      <c r="AP756" s="2">
        <v>0.378566414117813</v>
      </c>
    </row>
    <row r="757" spans="1:42" x14ac:dyDescent="0.3">
      <c r="A757" t="s">
        <v>277</v>
      </c>
      <c r="B757" s="3">
        <v>2020</v>
      </c>
      <c r="C757" s="3">
        <v>6.5652670000000004</v>
      </c>
      <c r="D757" s="3"/>
      <c r="E757" t="s">
        <v>278</v>
      </c>
      <c r="G757" s="3">
        <v>36745.9765625</v>
      </c>
      <c r="H757" s="3">
        <v>43610.390625</v>
      </c>
      <c r="I757" s="3">
        <v>41486.83203125</v>
      </c>
      <c r="J757" s="3">
        <v>40310.78515625</v>
      </c>
      <c r="K757" s="3">
        <v>209958.828125</v>
      </c>
      <c r="L757" s="3">
        <v>1.94376392755657E-3</v>
      </c>
      <c r="M757" s="3">
        <v>0.36984592676162698</v>
      </c>
      <c r="N757" s="3">
        <v>0.38384243845939597</v>
      </c>
      <c r="O757" s="3">
        <v>38194.41796875</v>
      </c>
      <c r="P757" s="3">
        <v>45474.36328125</v>
      </c>
      <c r="Q757" s="3">
        <v>0.93879717588424705</v>
      </c>
      <c r="R757" s="3">
        <v>0.52010387182235696</v>
      </c>
      <c r="S757" s="3">
        <v>0.29577019810676602</v>
      </c>
      <c r="T757" s="3">
        <v>0.305676490068436</v>
      </c>
      <c r="U757" s="3">
        <v>0.31459444761276201</v>
      </c>
      <c r="W757" t="s">
        <v>50</v>
      </c>
      <c r="X757" t="s">
        <v>54</v>
      </c>
      <c r="Y757" t="s">
        <v>52</v>
      </c>
      <c r="Z757" t="s">
        <v>53</v>
      </c>
      <c r="AA757" t="s">
        <v>53</v>
      </c>
      <c r="AC757" s="2">
        <v>0.59538798375156898</v>
      </c>
      <c r="AD757" s="2">
        <v>0.66449028253555298</v>
      </c>
      <c r="AE757" s="2">
        <v>0.17028725147247301</v>
      </c>
      <c r="AF757" s="2">
        <v>0.247076585888863</v>
      </c>
      <c r="AG757" s="2">
        <v>0.22960191965103199</v>
      </c>
      <c r="AH757" s="2">
        <v>-0.31145608425140398</v>
      </c>
      <c r="AI757" s="2">
        <v>0</v>
      </c>
      <c r="AJ757" s="2">
        <v>0.33390608108227299</v>
      </c>
      <c r="AK757" s="2">
        <v>0.358705935851096</v>
      </c>
      <c r="AL757" s="2">
        <v>0.193207219404673</v>
      </c>
      <c r="AM757" s="2">
        <v>0.57401794195175204</v>
      </c>
      <c r="AN757" s="2">
        <v>0.474861711263657</v>
      </c>
      <c r="AO757" s="2">
        <v>0.217640206217766</v>
      </c>
      <c r="AP757" s="2">
        <v>0.371792823076248</v>
      </c>
    </row>
    <row r="758" spans="1:42" x14ac:dyDescent="0.3">
      <c r="A758" t="s">
        <v>279</v>
      </c>
      <c r="B758" s="3">
        <v>2015</v>
      </c>
      <c r="C758" s="3">
        <v>17.107433</v>
      </c>
      <c r="D758" s="3">
        <v>1438.41</v>
      </c>
      <c r="E758" t="s">
        <v>74</v>
      </c>
      <c r="G758" s="3">
        <v>616993.0625</v>
      </c>
      <c r="H758" s="3">
        <v>889811.5</v>
      </c>
      <c r="I758" s="3">
        <v>963603.0625</v>
      </c>
      <c r="J758" s="3">
        <v>970075.375</v>
      </c>
      <c r="K758" s="3">
        <v>4843849</v>
      </c>
      <c r="L758" s="3">
        <v>6.0734502971172298E-2</v>
      </c>
      <c r="M758" s="3">
        <v>0.94668114185333296</v>
      </c>
      <c r="N758" s="3">
        <v>0.83773934841155995</v>
      </c>
      <c r="O758" s="3">
        <v>690993.3125</v>
      </c>
      <c r="P758" s="3">
        <v>973080.5</v>
      </c>
      <c r="Q758" s="3">
        <v>1.00062739849091</v>
      </c>
      <c r="R758" s="3">
        <v>0.58118379116058405</v>
      </c>
      <c r="S758" s="3">
        <v>0.88227230310440097</v>
      </c>
      <c r="T758" s="3">
        <v>0.80504482984542902</v>
      </c>
      <c r="U758" s="3">
        <v>0.79967361688613903</v>
      </c>
      <c r="W758" t="s">
        <v>50</v>
      </c>
      <c r="X758" t="s">
        <v>51</v>
      </c>
      <c r="Y758" t="s">
        <v>52</v>
      </c>
      <c r="Z758" t="s">
        <v>53</v>
      </c>
      <c r="AA758" t="s">
        <v>53</v>
      </c>
      <c r="AC758" s="2">
        <v>0.78157126473454597</v>
      </c>
      <c r="AD758" s="2">
        <v>0.44023799896240201</v>
      </c>
      <c r="AE758" s="2">
        <v>0.28123423457145702</v>
      </c>
      <c r="AF758" s="2">
        <v>0.19578789174556699</v>
      </c>
      <c r="AG758" s="2">
        <v>0.83152937889099099</v>
      </c>
      <c r="AH758" s="2">
        <v>-0.758267521858215</v>
      </c>
      <c r="AI758" s="2">
        <v>9.4780446961522102E-3</v>
      </c>
      <c r="AJ758" s="2">
        <v>0.82308575939197404</v>
      </c>
      <c r="AK758" s="2">
        <v>0.63039095794776601</v>
      </c>
      <c r="AL758" s="2">
        <v>1.01535590633887</v>
      </c>
      <c r="AM758" s="2">
        <v>0.57608532905578602</v>
      </c>
      <c r="AN758" s="2">
        <v>0.56098026037216198</v>
      </c>
      <c r="AO758" s="2">
        <v>0.55226933956146196</v>
      </c>
      <c r="AP758" s="2">
        <v>0.71470737457275402</v>
      </c>
    </row>
    <row r="759" spans="1:42" x14ac:dyDescent="0.3">
      <c r="A759" t="s">
        <v>279</v>
      </c>
      <c r="B759" s="3">
        <v>2016</v>
      </c>
      <c r="C759" s="3">
        <v>17.204692999999999</v>
      </c>
      <c r="D759" s="3">
        <v>1451.09</v>
      </c>
      <c r="E759" t="s">
        <v>74</v>
      </c>
      <c r="G759" s="3">
        <v>625149.75</v>
      </c>
      <c r="H759" s="3">
        <v>865194.375</v>
      </c>
      <c r="I759" s="3">
        <v>970530.625</v>
      </c>
      <c r="J759" s="3">
        <v>983500.625</v>
      </c>
      <c r="K759" s="3">
        <v>4826210</v>
      </c>
      <c r="L759" s="3">
        <v>5.9465941041707999E-2</v>
      </c>
      <c r="M759" s="3">
        <v>0.95114755630493197</v>
      </c>
      <c r="N759" s="3">
        <v>0.80896311998367298</v>
      </c>
      <c r="O759" s="3">
        <v>700233.25</v>
      </c>
      <c r="P759" s="3">
        <v>963121.75</v>
      </c>
      <c r="Q759" s="3">
        <v>1.00203740596771</v>
      </c>
      <c r="R759" s="3">
        <v>0.58949762582778897</v>
      </c>
      <c r="S759" s="3">
        <v>0.88457733392715499</v>
      </c>
      <c r="T759" s="3">
        <v>0.82136923074722301</v>
      </c>
      <c r="U759" s="3">
        <v>0.81053727865219105</v>
      </c>
      <c r="W759" t="s">
        <v>50</v>
      </c>
      <c r="X759" t="s">
        <v>51</v>
      </c>
      <c r="Y759" t="s">
        <v>52</v>
      </c>
      <c r="Z759" t="s">
        <v>53</v>
      </c>
      <c r="AA759" t="s">
        <v>53</v>
      </c>
      <c r="AC759" s="2">
        <v>0.79045210292868096</v>
      </c>
      <c r="AD759" s="2">
        <v>0.438426613807678</v>
      </c>
      <c r="AE759" s="2">
        <v>0.24407163262367201</v>
      </c>
      <c r="AF759" s="2">
        <v>0.197210744023323</v>
      </c>
      <c r="AG759" s="2">
        <v>0.83200383186340299</v>
      </c>
      <c r="AH759" s="2">
        <v>-0.74482649564742998</v>
      </c>
      <c r="AI759" s="2">
        <v>3.31136099994183E-2</v>
      </c>
      <c r="AJ759" s="2">
        <v>0.82941327289518496</v>
      </c>
      <c r="AK759" s="2">
        <v>0.65675575574938905</v>
      </c>
      <c r="AL759" s="2">
        <v>1.00721469488808</v>
      </c>
      <c r="AM759" s="2">
        <v>0.572149038314819</v>
      </c>
      <c r="AN759" s="2">
        <v>0.55704057216644298</v>
      </c>
      <c r="AO759" s="2">
        <v>0.55972170829773005</v>
      </c>
      <c r="AP759" s="2">
        <v>0.71229237318038896</v>
      </c>
    </row>
    <row r="760" spans="1:42" x14ac:dyDescent="0.3">
      <c r="A760" t="s">
        <v>279</v>
      </c>
      <c r="B760" s="3">
        <v>2017</v>
      </c>
      <c r="C760" s="3">
        <v>17.315370000000001</v>
      </c>
      <c r="D760" s="3">
        <v>1451.1</v>
      </c>
      <c r="E760" t="s">
        <v>74</v>
      </c>
      <c r="G760" s="3">
        <v>649847.9375</v>
      </c>
      <c r="H760" s="3">
        <v>906859</v>
      </c>
      <c r="I760" s="3">
        <v>1015667.8125</v>
      </c>
      <c r="J760" s="3">
        <v>1023924.4375</v>
      </c>
      <c r="K760" s="3">
        <v>4847271</v>
      </c>
      <c r="L760" s="3">
        <v>5.9050980955362299E-2</v>
      </c>
      <c r="M760" s="3">
        <v>0.95852279663085904</v>
      </c>
      <c r="N760" s="3">
        <v>0.81753981113433805</v>
      </c>
      <c r="O760" s="3">
        <v>713633.75</v>
      </c>
      <c r="P760" s="3">
        <v>990227.3125</v>
      </c>
      <c r="Q760" s="3">
        <v>1.0066289901733401</v>
      </c>
      <c r="R760" s="3">
        <v>0.58476877212524403</v>
      </c>
      <c r="S760" s="3">
        <v>0.90158003568649303</v>
      </c>
      <c r="T760" s="3">
        <v>0.83514857292175304</v>
      </c>
      <c r="U760" s="3">
        <v>0.82841420173644997</v>
      </c>
      <c r="W760" t="s">
        <v>51</v>
      </c>
      <c r="X760" t="s">
        <v>51</v>
      </c>
      <c r="Y760" t="s">
        <v>52</v>
      </c>
      <c r="Z760" t="s">
        <v>53</v>
      </c>
      <c r="AA760" t="s">
        <v>53</v>
      </c>
      <c r="AC760" s="2">
        <v>0.78658174795051095</v>
      </c>
      <c r="AD760" s="2">
        <v>0.43878892064094499</v>
      </c>
      <c r="AE760" s="2">
        <v>0.25100585818290699</v>
      </c>
      <c r="AF760" s="2">
        <v>0.195875078439713</v>
      </c>
      <c r="AG760" s="2">
        <v>0.87560266256332397</v>
      </c>
      <c r="AH760" s="2">
        <v>-0.79058820009231601</v>
      </c>
      <c r="AI760" s="2">
        <v>2.9315721243619901E-2</v>
      </c>
      <c r="AJ760" s="2">
        <v>0.84775869186216601</v>
      </c>
      <c r="AK760" s="2">
        <v>0.66717776423397701</v>
      </c>
      <c r="AL760" s="2">
        <v>1.02214769518045</v>
      </c>
      <c r="AM760" s="2">
        <v>0.58882093429565396</v>
      </c>
      <c r="AN760" s="2">
        <v>0.570601046085358</v>
      </c>
      <c r="AO760" s="2">
        <v>0.58079600334167503</v>
      </c>
      <c r="AP760" s="2">
        <v>0.74416935443878196</v>
      </c>
    </row>
    <row r="761" spans="1:42" x14ac:dyDescent="0.3">
      <c r="A761" t="s">
        <v>279</v>
      </c>
      <c r="B761" s="3">
        <v>2018</v>
      </c>
      <c r="C761" s="3">
        <v>17.421279999999999</v>
      </c>
      <c r="D761" s="3">
        <v>1451.04</v>
      </c>
      <c r="E761" t="s">
        <v>74</v>
      </c>
      <c r="G761" s="3">
        <v>672087.875</v>
      </c>
      <c r="H761" s="3">
        <v>937188.5</v>
      </c>
      <c r="I761" s="3">
        <v>1047767.5</v>
      </c>
      <c r="J761" s="3">
        <v>1050808.5</v>
      </c>
      <c r="K761" s="3">
        <v>4910654.5</v>
      </c>
      <c r="L761" s="3">
        <v>5.8337863534688998E-2</v>
      </c>
      <c r="M761" s="3">
        <v>0.95875465869903598</v>
      </c>
      <c r="N761" s="3">
        <v>0.82310801744461104</v>
      </c>
      <c r="O761" s="3">
        <v>728964</v>
      </c>
      <c r="P761" s="3">
        <v>1014329.375</v>
      </c>
      <c r="Q761" s="3">
        <v>1.0039308071136499</v>
      </c>
      <c r="R761" s="3">
        <v>0.58840727806091297</v>
      </c>
      <c r="S761" s="3">
        <v>0.95403903722763095</v>
      </c>
      <c r="T761" s="3">
        <v>0.88734722137451205</v>
      </c>
      <c r="U761" s="3">
        <v>0.884779393672943</v>
      </c>
      <c r="W761" t="s">
        <v>50</v>
      </c>
      <c r="X761" t="s">
        <v>51</v>
      </c>
      <c r="Y761" t="s">
        <v>52</v>
      </c>
      <c r="Z761" t="s">
        <v>53</v>
      </c>
      <c r="AA761" t="s">
        <v>53</v>
      </c>
      <c r="AC761" s="2">
        <v>0.790409626546693</v>
      </c>
      <c r="AD761" s="2">
        <v>0.44242179393768299</v>
      </c>
      <c r="AE761" s="2">
        <v>0.25228255987167397</v>
      </c>
      <c r="AF761" s="2">
        <v>0.19716940820217099</v>
      </c>
      <c r="AG761" s="2">
        <v>0.91713023185730003</v>
      </c>
      <c r="AH761" s="2">
        <v>-0.842631936073303</v>
      </c>
      <c r="AI761" s="2">
        <v>3.36278639733791E-2</v>
      </c>
      <c r="AJ761" s="2">
        <v>0.89492310671051201</v>
      </c>
      <c r="AK761" s="2">
        <v>0.71826892264478504</v>
      </c>
      <c r="AL761" s="2">
        <v>1.08668731703199</v>
      </c>
      <c r="AM761" s="2">
        <v>0.61001944541931197</v>
      </c>
      <c r="AN761" s="2">
        <v>0.588445484638214</v>
      </c>
      <c r="AO761" s="2">
        <v>0.63013404607772805</v>
      </c>
      <c r="AP761" s="2">
        <v>0.77560645341873202</v>
      </c>
    </row>
    <row r="762" spans="1:42" x14ac:dyDescent="0.3">
      <c r="A762" t="s">
        <v>279</v>
      </c>
      <c r="B762" s="3">
        <v>2019</v>
      </c>
      <c r="C762" s="3">
        <v>17.537507000000002</v>
      </c>
      <c r="D762" s="3">
        <v>1456.55</v>
      </c>
      <c r="E762" t="s">
        <v>74</v>
      </c>
      <c r="G762" s="3">
        <v>708258.625</v>
      </c>
      <c r="H762" s="3">
        <v>993608.875</v>
      </c>
      <c r="I762" s="3">
        <v>1103583.25</v>
      </c>
      <c r="J762" s="3">
        <v>1102079.75</v>
      </c>
      <c r="K762" s="3">
        <v>4964761.5</v>
      </c>
      <c r="L762" s="3">
        <v>5.7444669306278201E-2</v>
      </c>
      <c r="M762" s="3">
        <v>0.97926551103591897</v>
      </c>
      <c r="N762" s="3">
        <v>0.84957873821258501</v>
      </c>
      <c r="O762" s="3">
        <v>741005.3125</v>
      </c>
      <c r="P762" s="3">
        <v>1047993.75</v>
      </c>
      <c r="Q762" s="3">
        <v>0.99967354536056496</v>
      </c>
      <c r="R762" s="3">
        <v>0.58988344669341997</v>
      </c>
      <c r="S762" s="3">
        <v>0.89547067880630504</v>
      </c>
      <c r="T762" s="3">
        <v>0.84171539545059204</v>
      </c>
      <c r="U762" s="3">
        <v>0.84286355972289995</v>
      </c>
      <c r="W762" t="s">
        <v>50</v>
      </c>
      <c r="X762" t="s">
        <v>54</v>
      </c>
      <c r="Y762" t="s">
        <v>52</v>
      </c>
      <c r="Z762" t="s">
        <v>53</v>
      </c>
      <c r="AA762" t="s">
        <v>53</v>
      </c>
      <c r="AC762" s="2">
        <v>0.78372230294843404</v>
      </c>
      <c r="AD762" s="2">
        <v>0.43956205248832703</v>
      </c>
      <c r="AE762" s="2">
        <v>0.25891977548599199</v>
      </c>
      <c r="AF762" s="2">
        <v>0.203094393014908</v>
      </c>
      <c r="AG762" s="2">
        <v>0.90800774097442605</v>
      </c>
      <c r="AH762" s="2">
        <v>-0.84257024526596103</v>
      </c>
      <c r="AI762" s="2">
        <v>3.2986372709274299E-2</v>
      </c>
      <c r="AJ762" s="2">
        <v>0.84180511370514799</v>
      </c>
      <c r="AK762" s="2">
        <v>0.70829114872759502</v>
      </c>
      <c r="AL762" s="2">
        <v>1.01162034701869</v>
      </c>
      <c r="AM762" s="2">
        <v>0.57638227939605702</v>
      </c>
      <c r="AN762" s="2">
        <v>0.55445760488510099</v>
      </c>
      <c r="AO762" s="2">
        <v>0.62317228317260698</v>
      </c>
      <c r="AP762" s="2">
        <v>0.75430029630661</v>
      </c>
    </row>
    <row r="763" spans="1:42" x14ac:dyDescent="0.3">
      <c r="A763" t="s">
        <v>279</v>
      </c>
      <c r="B763" s="3">
        <v>2020</v>
      </c>
      <c r="C763" s="3">
        <v>17.636731000000001</v>
      </c>
      <c r="D763" s="3">
        <v>1402.14</v>
      </c>
      <c r="E763" t="s">
        <v>74</v>
      </c>
      <c r="G763" s="3">
        <v>702935.875</v>
      </c>
      <c r="H763" s="3">
        <v>984317.8125</v>
      </c>
      <c r="I763" s="3">
        <v>1096730.625</v>
      </c>
      <c r="J763" s="3">
        <v>1099621.875</v>
      </c>
      <c r="K763" s="3">
        <v>5375966</v>
      </c>
      <c r="L763" s="3">
        <v>5.9672500938177102E-2</v>
      </c>
      <c r="M763" s="3">
        <v>0.96811252832412698</v>
      </c>
      <c r="N763" s="3">
        <v>0.83134478330612205</v>
      </c>
      <c r="O763" s="3">
        <v>716020.9375</v>
      </c>
      <c r="P763" s="3">
        <v>1004676.3125</v>
      </c>
      <c r="Q763" s="3">
        <v>0.97685885429382302</v>
      </c>
      <c r="R763" s="3">
        <v>0.60109609365463301</v>
      </c>
      <c r="S763" s="3">
        <v>0.90741544961929299</v>
      </c>
      <c r="T763" s="3">
        <v>0.85030984878539995</v>
      </c>
      <c r="U763" s="3">
        <v>0.84807425737381004</v>
      </c>
      <c r="W763" t="s">
        <v>50</v>
      </c>
      <c r="X763" t="s">
        <v>54</v>
      </c>
      <c r="Y763" t="s">
        <v>52</v>
      </c>
      <c r="Z763" t="s">
        <v>53</v>
      </c>
      <c r="AA763" t="s">
        <v>53</v>
      </c>
      <c r="AC763" s="2">
        <v>0.78334915419054696</v>
      </c>
      <c r="AD763" s="2">
        <v>0.42876690626144398</v>
      </c>
      <c r="AE763" s="2">
        <v>0.25588971376419101</v>
      </c>
      <c r="AF763" s="2">
        <v>0.21048542857170099</v>
      </c>
      <c r="AG763" s="2">
        <v>0.86768281459808405</v>
      </c>
      <c r="AH763" s="2">
        <v>-0.79624688625335704</v>
      </c>
      <c r="AI763" s="2">
        <v>3.3422015607356997E-2</v>
      </c>
      <c r="AJ763" s="2">
        <v>0.844756877757596</v>
      </c>
      <c r="AK763" s="2">
        <v>0.70765098029395002</v>
      </c>
      <c r="AL763" s="2">
        <v>1.03505336481695</v>
      </c>
      <c r="AM763" s="2">
        <v>0.57788056135177601</v>
      </c>
      <c r="AN763" s="2">
        <v>0.55615329742431596</v>
      </c>
      <c r="AO763" s="2">
        <v>0.61673271656036399</v>
      </c>
      <c r="AP763" s="2">
        <v>0.74028033018112205</v>
      </c>
    </row>
    <row r="764" spans="1:42" x14ac:dyDescent="0.3">
      <c r="A764" t="s">
        <v>280</v>
      </c>
      <c r="B764" s="3">
        <v>2015</v>
      </c>
      <c r="C764" s="3">
        <v>5.1897710000000004</v>
      </c>
      <c r="D764" s="3">
        <v>1426.57</v>
      </c>
      <c r="E764" t="s">
        <v>281</v>
      </c>
      <c r="G764" s="3">
        <v>224421.25</v>
      </c>
      <c r="H764" s="3">
        <v>333900.125</v>
      </c>
      <c r="I764" s="3">
        <v>357948.875</v>
      </c>
      <c r="J764" s="3">
        <v>408652.34375</v>
      </c>
      <c r="K764" s="3">
        <v>1809302.875</v>
      </c>
      <c r="L764" s="3">
        <v>2.45418753474951E-2</v>
      </c>
      <c r="M764" s="3">
        <v>1.05882596969605</v>
      </c>
      <c r="N764" s="3">
        <v>0.83464115858078003</v>
      </c>
      <c r="O764" s="3">
        <v>242191.140625</v>
      </c>
      <c r="P764" s="3">
        <v>371101.71875</v>
      </c>
      <c r="Q764" s="3">
        <v>1.0297368764877299</v>
      </c>
      <c r="R764" s="3">
        <v>0.52869826555252097</v>
      </c>
      <c r="S764" s="3">
        <v>1.14781022071838</v>
      </c>
      <c r="T764" s="3">
        <v>1.08439934253693</v>
      </c>
      <c r="U764" s="3">
        <v>0.94985276460647605</v>
      </c>
      <c r="W764" t="s">
        <v>50</v>
      </c>
      <c r="X764" t="s">
        <v>51</v>
      </c>
      <c r="Y764" t="s">
        <v>52</v>
      </c>
      <c r="Z764" t="s">
        <v>53</v>
      </c>
      <c r="AA764" t="s">
        <v>53</v>
      </c>
      <c r="AC764" s="2">
        <v>0.66054656114552901</v>
      </c>
      <c r="AD764" s="2">
        <v>0.386144399642944</v>
      </c>
      <c r="AE764" s="2">
        <v>0.26790222525596602</v>
      </c>
      <c r="AF764" s="2">
        <v>0.16302962601184801</v>
      </c>
      <c r="AG764" s="2">
        <v>0.50741428136825595</v>
      </c>
      <c r="AH764" s="2">
        <v>-0.32112205028533902</v>
      </c>
      <c r="AI764" s="2">
        <v>-3.3685327507555502E-3</v>
      </c>
      <c r="AJ764" s="2">
        <v>1.0642444203973001</v>
      </c>
      <c r="AK764" s="2">
        <v>0.95441288343508202</v>
      </c>
      <c r="AL764" s="2">
        <v>1.3457403713831899</v>
      </c>
      <c r="AM764" s="2">
        <v>0.500515937805176</v>
      </c>
      <c r="AN764" s="2">
        <v>0.58218860626220703</v>
      </c>
      <c r="AO764" s="2">
        <v>0.79857271909713801</v>
      </c>
      <c r="AP764" s="2">
        <v>0.99591785669326804</v>
      </c>
    </row>
    <row r="765" spans="1:42" x14ac:dyDescent="0.3">
      <c r="A765" t="s">
        <v>280</v>
      </c>
      <c r="B765" s="3">
        <v>2016</v>
      </c>
      <c r="C765" s="3">
        <v>5.2359830000000001</v>
      </c>
      <c r="D765" s="3">
        <v>1429.89</v>
      </c>
      <c r="E765" t="s">
        <v>281</v>
      </c>
      <c r="G765" s="3">
        <v>229363.5</v>
      </c>
      <c r="H765" s="3">
        <v>338760.53125</v>
      </c>
      <c r="I765" s="3">
        <v>348373.65625</v>
      </c>
      <c r="J765" s="3">
        <v>388346.34375</v>
      </c>
      <c r="K765" s="3">
        <v>1813325.125</v>
      </c>
      <c r="L765" s="3">
        <v>2.4424534291029001E-2</v>
      </c>
      <c r="M765" s="3">
        <v>1.0076276063919101</v>
      </c>
      <c r="N765" s="3">
        <v>0.84979748725891102</v>
      </c>
      <c r="O765" s="3">
        <v>245926.296875</v>
      </c>
      <c r="P765" s="3">
        <v>377579</v>
      </c>
      <c r="Q765" s="3">
        <v>1.02429831027985</v>
      </c>
      <c r="R765" s="3">
        <v>0.54454582929611195</v>
      </c>
      <c r="S765" s="3">
        <v>1.1242733001709</v>
      </c>
      <c r="T765" s="3">
        <v>1.06482374668121</v>
      </c>
      <c r="U765" s="3">
        <v>0.95522087812423695</v>
      </c>
      <c r="W765" t="s">
        <v>50</v>
      </c>
      <c r="X765" t="s">
        <v>51</v>
      </c>
      <c r="Y765" t="s">
        <v>52</v>
      </c>
      <c r="Z765" t="s">
        <v>53</v>
      </c>
      <c r="AA765" t="s">
        <v>53</v>
      </c>
      <c r="AC765" s="2">
        <v>0.67308083919398198</v>
      </c>
      <c r="AD765" s="2">
        <v>0.40873709321022</v>
      </c>
      <c r="AE765" s="2">
        <v>0.28169962763786299</v>
      </c>
      <c r="AF765" s="2">
        <v>0.18187874555587799</v>
      </c>
      <c r="AG765" s="2">
        <v>0.468258887529373</v>
      </c>
      <c r="AH765" s="2">
        <v>-0.32283043861389199</v>
      </c>
      <c r="AI765" s="2">
        <v>-1.7743924632668499E-2</v>
      </c>
      <c r="AJ765" s="2">
        <v>1.05855421935968</v>
      </c>
      <c r="AK765" s="2">
        <v>0.94018080092505196</v>
      </c>
      <c r="AL765" s="2">
        <v>1.2719642538248499</v>
      </c>
      <c r="AM765" s="2">
        <v>0.49287864565849299</v>
      </c>
      <c r="AN765" s="2">
        <v>0.58075922727584794</v>
      </c>
      <c r="AO765" s="2">
        <v>0.79468524456024203</v>
      </c>
      <c r="AP765" s="2">
        <v>0.89537441730499301</v>
      </c>
    </row>
    <row r="766" spans="1:42" x14ac:dyDescent="0.3">
      <c r="A766" t="s">
        <v>280</v>
      </c>
      <c r="B766" s="3">
        <v>2017</v>
      </c>
      <c r="C766" s="3">
        <v>5.276802</v>
      </c>
      <c r="D766" s="3">
        <v>1419.21</v>
      </c>
      <c r="E766" t="s">
        <v>281</v>
      </c>
      <c r="G766" s="3">
        <v>236390.875</v>
      </c>
      <c r="H766" s="3">
        <v>351920.6875</v>
      </c>
      <c r="I766" s="3">
        <v>367947.65625</v>
      </c>
      <c r="J766" s="3">
        <v>413173.03125</v>
      </c>
      <c r="K766" s="3">
        <v>1823343.75</v>
      </c>
      <c r="L766" s="3">
        <v>2.41196993738413E-2</v>
      </c>
      <c r="M766" s="3">
        <v>1.0405741930007899</v>
      </c>
      <c r="N766" s="3">
        <v>0.85353207588195801</v>
      </c>
      <c r="O766" s="3">
        <v>251128.984375</v>
      </c>
      <c r="P766" s="3">
        <v>387289.25</v>
      </c>
      <c r="Q766" s="3">
        <v>1.03251612186432</v>
      </c>
      <c r="R766" s="3">
        <v>0.526189684867859</v>
      </c>
      <c r="S766" s="3">
        <v>1.15721023082733</v>
      </c>
      <c r="T766" s="3">
        <v>1.0918544530868499</v>
      </c>
      <c r="U766" s="3">
        <v>0.97234147787094105</v>
      </c>
      <c r="W766" t="s">
        <v>51</v>
      </c>
      <c r="X766" t="s">
        <v>51</v>
      </c>
      <c r="Y766" t="s">
        <v>52</v>
      </c>
      <c r="Z766" t="s">
        <v>53</v>
      </c>
      <c r="AA766" t="s">
        <v>53</v>
      </c>
      <c r="AC766" s="2">
        <v>0.68414286268857505</v>
      </c>
      <c r="AD766" s="2">
        <v>0.38874971866607699</v>
      </c>
      <c r="AE766" s="2">
        <v>0.27961602807045</v>
      </c>
      <c r="AF766" s="2">
        <v>0.183385565876961</v>
      </c>
      <c r="AG766" s="2">
        <v>0.49329197406768799</v>
      </c>
      <c r="AH766" s="2">
        <v>-0.34765440225601202</v>
      </c>
      <c r="AI766" s="2">
        <v>2.61107622645795E-3</v>
      </c>
      <c r="AJ766" s="2">
        <v>1.1076728711509201</v>
      </c>
      <c r="AK766" s="2">
        <v>0.95812682227035595</v>
      </c>
      <c r="AL766" s="2">
        <v>1.26222203203129</v>
      </c>
      <c r="AM766" s="2">
        <v>0.50033622980117798</v>
      </c>
      <c r="AN766" s="2">
        <v>0.59541219472885099</v>
      </c>
      <c r="AO766" s="2">
        <v>0.83404499292373702</v>
      </c>
      <c r="AP766" s="2">
        <v>0.984638571739197</v>
      </c>
    </row>
    <row r="767" spans="1:42" x14ac:dyDescent="0.3">
      <c r="A767" t="s">
        <v>280</v>
      </c>
      <c r="B767" s="3">
        <v>2018</v>
      </c>
      <c r="C767" s="3">
        <v>5.3117520000000003</v>
      </c>
      <c r="D767" s="3">
        <v>1419.41</v>
      </c>
      <c r="E767" t="s">
        <v>281</v>
      </c>
      <c r="G767" s="3">
        <v>239898.21875</v>
      </c>
      <c r="H767" s="3">
        <v>366544.6875</v>
      </c>
      <c r="I767" s="3">
        <v>391770.4375</v>
      </c>
      <c r="J767" s="3">
        <v>455072.75</v>
      </c>
      <c r="K767" s="3">
        <v>1932740</v>
      </c>
      <c r="L767" s="3">
        <v>2.46419627219439E-2</v>
      </c>
      <c r="M767" s="3">
        <v>1.09137499332428</v>
      </c>
      <c r="N767" s="3">
        <v>0.84618657827377297</v>
      </c>
      <c r="O767" s="3">
        <v>253990.796875</v>
      </c>
      <c r="P767" s="3">
        <v>394767.75</v>
      </c>
      <c r="Q767" s="3">
        <v>1.0175184011459399</v>
      </c>
      <c r="R767" s="3">
        <v>0.51171183586120605</v>
      </c>
      <c r="S767" s="3">
        <v>1.2068932056427</v>
      </c>
      <c r="T767" s="3">
        <v>1.1225671768188501</v>
      </c>
      <c r="U767" s="3">
        <v>0.966413974761963</v>
      </c>
      <c r="W767" t="s">
        <v>50</v>
      </c>
      <c r="X767" t="s">
        <v>51</v>
      </c>
      <c r="Y767" t="s">
        <v>52</v>
      </c>
      <c r="Z767" t="s">
        <v>53</v>
      </c>
      <c r="AA767" t="s">
        <v>53</v>
      </c>
      <c r="AC767" s="2">
        <v>0.69743559610570405</v>
      </c>
      <c r="AD767" s="2">
        <v>0.35637053847312899</v>
      </c>
      <c r="AE767" s="2">
        <v>0.27829936146736101</v>
      </c>
      <c r="AF767" s="2">
        <v>0.17079399526119199</v>
      </c>
      <c r="AG767" s="2">
        <v>0.52381515502929699</v>
      </c>
      <c r="AH767" s="2">
        <v>-0.31270888447761502</v>
      </c>
      <c r="AI767" s="2">
        <v>-1.65702048689127E-2</v>
      </c>
      <c r="AJ767" s="2">
        <v>1.1585261876276101</v>
      </c>
      <c r="AK767" s="2">
        <v>0.96283389835887501</v>
      </c>
      <c r="AL767" s="2">
        <v>1.30781332373621</v>
      </c>
      <c r="AM767" s="2">
        <v>0.51616364717483498</v>
      </c>
      <c r="AN767" s="2">
        <v>0.61441844701767001</v>
      </c>
      <c r="AO767" s="2">
        <v>0.84506285190582298</v>
      </c>
      <c r="AP767" s="2">
        <v>1.03041136264801</v>
      </c>
    </row>
    <row r="768" spans="1:42" x14ac:dyDescent="0.3">
      <c r="A768" t="s">
        <v>280</v>
      </c>
      <c r="B768" s="3">
        <v>2019</v>
      </c>
      <c r="C768" s="3">
        <v>5.3477300000000003</v>
      </c>
      <c r="D768" s="3">
        <v>1418.55</v>
      </c>
      <c r="E768" t="s">
        <v>281</v>
      </c>
      <c r="G768" s="3">
        <v>250504.21875</v>
      </c>
      <c r="H768" s="3">
        <v>389644</v>
      </c>
      <c r="I768" s="3">
        <v>399168.375</v>
      </c>
      <c r="J768" s="3">
        <v>460949.53125</v>
      </c>
      <c r="K768" s="3">
        <v>2082422</v>
      </c>
      <c r="L768" s="3">
        <v>2.4774480611085899E-2</v>
      </c>
      <c r="M768" s="3">
        <v>1.0968657732009901</v>
      </c>
      <c r="N768" s="3">
        <v>0.89221340417861905</v>
      </c>
      <c r="O768" s="3">
        <v>256674.515625</v>
      </c>
      <c r="P768" s="3">
        <v>403249.375</v>
      </c>
      <c r="Q768" s="3">
        <v>1.00314593315125</v>
      </c>
      <c r="R768" s="3">
        <v>0.53869372606277499</v>
      </c>
      <c r="S768" s="3">
        <v>1.1095834970474201</v>
      </c>
      <c r="T768" s="3">
        <v>1.02398598194122</v>
      </c>
      <c r="U768" s="3">
        <v>0.886740982532501</v>
      </c>
      <c r="W768" t="s">
        <v>50</v>
      </c>
      <c r="X768" t="s">
        <v>54</v>
      </c>
      <c r="Y768" t="s">
        <v>52</v>
      </c>
      <c r="Z768" t="s">
        <v>53</v>
      </c>
      <c r="AA768" t="s">
        <v>53</v>
      </c>
      <c r="AC768" s="2">
        <v>0.69875526169626501</v>
      </c>
      <c r="AD768" s="2">
        <v>0.366449475288391</v>
      </c>
      <c r="AE768" s="2">
        <v>0.30185467004776001</v>
      </c>
      <c r="AF768" s="2">
        <v>0.17700314521789601</v>
      </c>
      <c r="AG768" s="2">
        <v>0.49588352441787698</v>
      </c>
      <c r="AH768" s="2">
        <v>-0.32129526138305697</v>
      </c>
      <c r="AI768" s="2">
        <v>-1.9895574077963801E-2</v>
      </c>
      <c r="AJ768" s="2">
        <v>1.06227562758586</v>
      </c>
      <c r="AK768" s="2">
        <v>0.86987822320863895</v>
      </c>
      <c r="AL768" s="2">
        <v>1.2075247719097899</v>
      </c>
      <c r="AM768" s="2">
        <v>0.455119609832764</v>
      </c>
      <c r="AN768" s="2">
        <v>0.58166414499282804</v>
      </c>
      <c r="AO768" s="2">
        <v>0.76675081253051802</v>
      </c>
      <c r="AP768" s="2">
        <v>0.86566793918609597</v>
      </c>
    </row>
    <row r="769" spans="1:42" x14ac:dyDescent="0.3">
      <c r="A769" t="s">
        <v>280</v>
      </c>
      <c r="B769" s="3">
        <v>2020</v>
      </c>
      <c r="C769" s="3">
        <v>5.3792739999999997</v>
      </c>
      <c r="D769" s="3">
        <v>1409.74</v>
      </c>
      <c r="E769" t="s">
        <v>281</v>
      </c>
      <c r="G769" s="3">
        <v>242479.703125</v>
      </c>
      <c r="H769" s="3">
        <v>381978.59375</v>
      </c>
      <c r="I769" s="3">
        <v>378446.625</v>
      </c>
      <c r="J769" s="3">
        <v>449600.4375</v>
      </c>
      <c r="K769" s="3">
        <v>2083200.25</v>
      </c>
      <c r="L769" s="3">
        <v>2.4843301624059701E-2</v>
      </c>
      <c r="M769" s="3">
        <v>1.07818686962128</v>
      </c>
      <c r="N769" s="3">
        <v>0.878759324550629</v>
      </c>
      <c r="O769" s="3">
        <v>245941.625</v>
      </c>
      <c r="P769" s="3">
        <v>387609.65625</v>
      </c>
      <c r="Q769" s="3">
        <v>0.98769700527191195</v>
      </c>
      <c r="R769" s="3">
        <v>0.56171298027038596</v>
      </c>
      <c r="S769" s="3">
        <v>1.05494844913483</v>
      </c>
      <c r="T769" s="3">
        <v>0.971427321434021</v>
      </c>
      <c r="U769" s="3">
        <v>0.81768918037414595</v>
      </c>
      <c r="W769" t="s">
        <v>50</v>
      </c>
      <c r="X769" t="s">
        <v>54</v>
      </c>
      <c r="Y769" t="s">
        <v>52</v>
      </c>
      <c r="Z769" t="s">
        <v>53</v>
      </c>
      <c r="AA769" t="s">
        <v>53</v>
      </c>
      <c r="AC769" s="2">
        <v>0.69969791035623796</v>
      </c>
      <c r="AD769" s="2">
        <v>0.35128054022789001</v>
      </c>
      <c r="AE769" s="2">
        <v>0.31027302145957902</v>
      </c>
      <c r="AF769" s="2">
        <v>0.18804210424423201</v>
      </c>
      <c r="AG769" s="2">
        <v>0.47234374284744302</v>
      </c>
      <c r="AH769" s="2">
        <v>-0.29278877377510099</v>
      </c>
      <c r="AI769" s="2">
        <v>-2.9150605201721198E-2</v>
      </c>
      <c r="AJ769" s="2">
        <v>1.0113348689425801</v>
      </c>
      <c r="AK769" s="2">
        <v>0.82624928112499596</v>
      </c>
      <c r="AL769" s="2">
        <v>1.1364229286442999</v>
      </c>
      <c r="AM769" s="2">
        <v>0.38731774687767001</v>
      </c>
      <c r="AN769" s="2">
        <v>0.569496750831604</v>
      </c>
      <c r="AO769" s="2">
        <v>0.71277129650116</v>
      </c>
      <c r="AP769" s="2">
        <v>0.77017468214035001</v>
      </c>
    </row>
    <row r="770" spans="1:42" x14ac:dyDescent="0.3">
      <c r="A770" t="s">
        <v>282</v>
      </c>
      <c r="B770" s="3">
        <v>2015</v>
      </c>
      <c r="C770" s="3">
        <v>27.823629</v>
      </c>
      <c r="D770" s="3"/>
      <c r="E770" t="s">
        <v>283</v>
      </c>
      <c r="G770" s="3">
        <v>86874.53125</v>
      </c>
      <c r="H770" s="3">
        <v>108484.21875</v>
      </c>
      <c r="I770" s="3">
        <v>87733.34375</v>
      </c>
      <c r="J770" s="3">
        <v>98243.265625</v>
      </c>
      <c r="K770" s="3">
        <v>294724.75</v>
      </c>
      <c r="L770" s="3"/>
      <c r="M770" s="3"/>
      <c r="N770" s="3"/>
      <c r="O770" s="3">
        <v>90666.6875</v>
      </c>
      <c r="P770" s="3">
        <v>110359.71875</v>
      </c>
      <c r="Q770" s="3"/>
      <c r="R770" s="3"/>
      <c r="S770" s="3">
        <v>0.25165578722953802</v>
      </c>
      <c r="T770" s="3">
        <v>0.26976236701011702</v>
      </c>
      <c r="U770" s="3">
        <v>0.240903586149216</v>
      </c>
      <c r="W770" t="s">
        <v>50</v>
      </c>
      <c r="X770" t="s">
        <v>51</v>
      </c>
      <c r="Y770" t="s">
        <v>52</v>
      </c>
      <c r="Z770" t="s">
        <v>53</v>
      </c>
      <c r="AC770" s="2">
        <v>0.256019791569502</v>
      </c>
      <c r="AD770" s="2">
        <v>0.80380254983902</v>
      </c>
      <c r="AE770" s="2">
        <v>0.219960987567902</v>
      </c>
      <c r="AF770" s="2">
        <v>8.0477200448513003E-2</v>
      </c>
      <c r="AG770" s="2">
        <v>1.2190081179142E-2</v>
      </c>
      <c r="AH770" s="2">
        <v>-0.131392806768417</v>
      </c>
      <c r="AI770" s="2">
        <v>1.49619495496154E-2</v>
      </c>
      <c r="AJ770" s="2">
        <v>0.25044171118264102</v>
      </c>
      <c r="AK770" s="2">
        <v>0.34255381111531202</v>
      </c>
      <c r="AL770" s="2">
        <v>0.26378183487422202</v>
      </c>
      <c r="AM770" s="2">
        <v>0.55125719308853205</v>
      </c>
      <c r="AN770" s="2">
        <v>0.51222956180572499</v>
      </c>
      <c r="AO770" s="2">
        <v>0.203588306903839</v>
      </c>
      <c r="AP770" s="2"/>
    </row>
    <row r="771" spans="1:42" x14ac:dyDescent="0.3">
      <c r="A771" t="s">
        <v>282</v>
      </c>
      <c r="B771" s="3">
        <v>2016</v>
      </c>
      <c r="C771" s="3">
        <v>27.955462000000001</v>
      </c>
      <c r="D771" s="3"/>
      <c r="E771" t="s">
        <v>283</v>
      </c>
      <c r="G771" s="3">
        <v>93263.140625</v>
      </c>
      <c r="H771" s="3">
        <v>110747.5</v>
      </c>
      <c r="I771" s="3">
        <v>88883.75</v>
      </c>
      <c r="J771" s="3">
        <v>104584.3046875</v>
      </c>
      <c r="K771" s="3">
        <v>273414.34375</v>
      </c>
      <c r="L771" s="3"/>
      <c r="M771" s="3"/>
      <c r="N771" s="3"/>
      <c r="O771" s="3">
        <v>93037.2109375</v>
      </c>
      <c r="P771" s="3">
        <v>110428.8671875</v>
      </c>
      <c r="Q771" s="3"/>
      <c r="R771" s="3"/>
      <c r="S771" s="3">
        <v>0.25094199180603</v>
      </c>
      <c r="T771" s="3">
        <v>0.27326062321662897</v>
      </c>
      <c r="U771" s="3">
        <v>0.23223778605461101</v>
      </c>
      <c r="W771" t="s">
        <v>50</v>
      </c>
      <c r="X771" t="s">
        <v>51</v>
      </c>
      <c r="Y771" t="s">
        <v>52</v>
      </c>
      <c r="Z771" t="s">
        <v>53</v>
      </c>
      <c r="AC771" s="2">
        <v>0.20889936140802801</v>
      </c>
      <c r="AD771" s="2">
        <v>0.82558882236480702</v>
      </c>
      <c r="AE771" s="2">
        <v>0.16717959940433499</v>
      </c>
      <c r="AF771" s="2">
        <v>6.61620423197746E-2</v>
      </c>
      <c r="AG771" s="2">
        <v>1.2813488021493E-2</v>
      </c>
      <c r="AH771" s="2">
        <v>-0.16129900515079501</v>
      </c>
      <c r="AI771" s="2">
        <v>8.95550772547722E-2</v>
      </c>
      <c r="AJ771" s="2">
        <v>0.24875644803229599</v>
      </c>
      <c r="AK771" s="2">
        <v>0.39231013784506003</v>
      </c>
      <c r="AL771" s="2">
        <v>0.27821384582141301</v>
      </c>
      <c r="AM771" s="2">
        <v>0.543878853321075</v>
      </c>
      <c r="AN771" s="2">
        <v>0.52630984783172596</v>
      </c>
      <c r="AO771" s="2">
        <v>0.23623698949813801</v>
      </c>
      <c r="AP771" s="2"/>
    </row>
    <row r="772" spans="1:42" x14ac:dyDescent="0.3">
      <c r="A772" t="s">
        <v>282</v>
      </c>
      <c r="B772" s="3">
        <v>2017</v>
      </c>
      <c r="C772" s="3">
        <v>28.011258000000002</v>
      </c>
      <c r="D772" s="3"/>
      <c r="E772" t="s">
        <v>283</v>
      </c>
      <c r="G772" s="3">
        <v>97694.90625</v>
      </c>
      <c r="H772" s="3">
        <v>128424.7734375</v>
      </c>
      <c r="I772" s="3">
        <v>103284.921875</v>
      </c>
      <c r="J772" s="3">
        <v>118467.140625</v>
      </c>
      <c r="K772" s="3">
        <v>347324.9375</v>
      </c>
      <c r="L772" s="3"/>
      <c r="M772" s="3"/>
      <c r="N772" s="3"/>
      <c r="O772" s="3">
        <v>95352.3828125</v>
      </c>
      <c r="P772" s="3">
        <v>126191.8828125</v>
      </c>
      <c r="Q772" s="3"/>
      <c r="R772" s="3"/>
      <c r="S772" s="3">
        <v>0.26224404573440602</v>
      </c>
      <c r="T772" s="3">
        <v>0.28506594896316501</v>
      </c>
      <c r="U772" s="3">
        <v>0.248533174395561</v>
      </c>
      <c r="W772" t="s">
        <v>51</v>
      </c>
      <c r="X772" t="s">
        <v>51</v>
      </c>
      <c r="Y772" t="s">
        <v>52</v>
      </c>
      <c r="Z772" t="s">
        <v>53</v>
      </c>
      <c r="AC772" s="2">
        <v>0.216475580169249</v>
      </c>
      <c r="AD772" s="2">
        <v>0.75125843286514304</v>
      </c>
      <c r="AE772" s="2">
        <v>0.25939568877220198</v>
      </c>
      <c r="AF772" s="2">
        <v>7.3399811983108507E-2</v>
      </c>
      <c r="AG772" s="2">
        <v>1.1260786093771499E-2</v>
      </c>
      <c r="AH772" s="2">
        <v>-0.16767768561840099</v>
      </c>
      <c r="AI772" s="2">
        <v>7.2362914681434604E-2</v>
      </c>
      <c r="AJ772" s="2">
        <v>0.25968469149336498</v>
      </c>
      <c r="AK772" s="2">
        <v>0.35762020400554001</v>
      </c>
      <c r="AL772" s="2">
        <v>0.28843958662740998</v>
      </c>
      <c r="AM772" s="2">
        <v>0.55526578426361095</v>
      </c>
      <c r="AN772" s="2">
        <v>0.50532072782516502</v>
      </c>
      <c r="AO772" s="2">
        <v>0.21235677599906899</v>
      </c>
      <c r="AP772" s="2"/>
    </row>
    <row r="773" spans="1:42" x14ac:dyDescent="0.3">
      <c r="A773" t="s">
        <v>282</v>
      </c>
      <c r="B773" s="3">
        <v>2018</v>
      </c>
      <c r="C773" s="3">
        <v>28.079688999999998</v>
      </c>
      <c r="D773" s="3"/>
      <c r="E773" t="s">
        <v>283</v>
      </c>
      <c r="G773" s="3">
        <v>101737.796875</v>
      </c>
      <c r="H773" s="3">
        <v>136386.84375</v>
      </c>
      <c r="I773" s="3">
        <v>109322.6875</v>
      </c>
      <c r="J773" s="3">
        <v>128775.9140625</v>
      </c>
      <c r="K773" s="3">
        <v>386871.3125</v>
      </c>
      <c r="L773" s="3"/>
      <c r="M773" s="3"/>
      <c r="N773" s="3"/>
      <c r="O773" s="3">
        <v>100850.7265625</v>
      </c>
      <c r="P773" s="3">
        <v>135916.515625</v>
      </c>
      <c r="Q773" s="3"/>
      <c r="R773" s="3"/>
      <c r="S773" s="3">
        <v>0.26571702957153298</v>
      </c>
      <c r="T773" s="3">
        <v>0.29020774364471402</v>
      </c>
      <c r="U773" s="3">
        <v>0.24636821448802901</v>
      </c>
      <c r="W773" t="s">
        <v>50</v>
      </c>
      <c r="X773" t="s">
        <v>51</v>
      </c>
      <c r="Y773" t="s">
        <v>52</v>
      </c>
      <c r="Z773" t="s">
        <v>53</v>
      </c>
      <c r="AC773" s="2">
        <v>0.20693565326593999</v>
      </c>
      <c r="AD773" s="2">
        <v>0.71582704782485995</v>
      </c>
      <c r="AE773" s="2">
        <v>0.26906460523605302</v>
      </c>
      <c r="AF773" s="2">
        <v>7.4210442602634402E-2</v>
      </c>
      <c r="AG773" s="2">
        <v>1.0732525028288401E-2</v>
      </c>
      <c r="AH773" s="2">
        <v>-0.17321677505970001</v>
      </c>
      <c r="AI773" s="2">
        <v>0.103382147848606</v>
      </c>
      <c r="AJ773" s="2">
        <v>0.26551850144028499</v>
      </c>
      <c r="AK773" s="2">
        <v>0.36211829106336701</v>
      </c>
      <c r="AL773" s="2">
        <v>0.26763202959056698</v>
      </c>
      <c r="AM773" s="2">
        <v>0.577778279781342</v>
      </c>
      <c r="AN773" s="2">
        <v>0.53495121002197299</v>
      </c>
      <c r="AO773" s="2">
        <v>0.21246573328971899</v>
      </c>
      <c r="AP773" s="2"/>
    </row>
    <row r="774" spans="1:42" x14ac:dyDescent="0.3">
      <c r="A774" t="s">
        <v>282</v>
      </c>
      <c r="B774" s="3">
        <v>2019</v>
      </c>
      <c r="C774" s="3">
        <v>28.414064</v>
      </c>
      <c r="D774" s="3"/>
      <c r="E774" t="s">
        <v>283</v>
      </c>
      <c r="G774" s="3">
        <v>107192.078125</v>
      </c>
      <c r="H774" s="3">
        <v>147214.125</v>
      </c>
      <c r="I774" s="3">
        <v>116766.7734375</v>
      </c>
      <c r="J774" s="3">
        <v>138573.25</v>
      </c>
      <c r="K774" s="3">
        <v>442938.625</v>
      </c>
      <c r="L774" s="3"/>
      <c r="M774" s="3"/>
      <c r="N774" s="3"/>
      <c r="O774" s="3">
        <v>109214.109375</v>
      </c>
      <c r="P774" s="3">
        <v>148418.734375</v>
      </c>
      <c r="Q774" s="3"/>
      <c r="R774" s="3"/>
      <c r="S774" s="3">
        <v>0.27076673507690402</v>
      </c>
      <c r="T774" s="3">
        <v>0.29347604513168302</v>
      </c>
      <c r="U774" s="3">
        <v>0.24729339778423301</v>
      </c>
      <c r="W774" t="s">
        <v>50</v>
      </c>
      <c r="X774" t="s">
        <v>54</v>
      </c>
      <c r="Y774" t="s">
        <v>52</v>
      </c>
      <c r="Z774" t="s">
        <v>53</v>
      </c>
      <c r="AC774" s="2">
        <v>0.203277766747406</v>
      </c>
      <c r="AD774" s="2">
        <v>0.69888925552368197</v>
      </c>
      <c r="AE774" s="2">
        <v>0.28881514072418202</v>
      </c>
      <c r="AF774" s="2">
        <v>7.4651680886745495E-2</v>
      </c>
      <c r="AG774" s="2">
        <v>1.0668370872736E-2</v>
      </c>
      <c r="AH774" s="2">
        <v>-0.171085745096207</v>
      </c>
      <c r="AI774" s="2">
        <v>9.8061285912990598E-2</v>
      </c>
      <c r="AJ774" s="2">
        <v>0.27096725291936202</v>
      </c>
      <c r="AK774" s="2">
        <v>0.354299006352993</v>
      </c>
      <c r="AL774" s="2">
        <v>0.26888933288087502</v>
      </c>
      <c r="AM774" s="2">
        <v>0.58076876401901301</v>
      </c>
      <c r="AN774" s="2">
        <v>0.55485874414444003</v>
      </c>
      <c r="AO774" s="2">
        <v>0.20509086549282099</v>
      </c>
      <c r="AP774" s="2"/>
    </row>
    <row r="775" spans="1:42" x14ac:dyDescent="0.3">
      <c r="A775" t="s">
        <v>282</v>
      </c>
      <c r="B775" s="3">
        <v>2020</v>
      </c>
      <c r="C775" s="3">
        <v>28.966574000000001</v>
      </c>
      <c r="D775" s="3"/>
      <c r="E775" t="s">
        <v>283</v>
      </c>
      <c r="G775" s="3">
        <v>115592.640625</v>
      </c>
      <c r="H775" s="3">
        <v>145500.578125</v>
      </c>
      <c r="I775" s="3">
        <v>116660.9296875</v>
      </c>
      <c r="J775" s="3">
        <v>134523.703125</v>
      </c>
      <c r="K775" s="3">
        <v>491593.0625</v>
      </c>
      <c r="L775" s="3"/>
      <c r="M775" s="3"/>
      <c r="N775" s="3"/>
      <c r="O775" s="3">
        <v>113164.46875</v>
      </c>
      <c r="P775" s="3">
        <v>139366.609375</v>
      </c>
      <c r="Q775" s="3"/>
      <c r="R775" s="3"/>
      <c r="S775" s="3">
        <v>0.26800730824470498</v>
      </c>
      <c r="T775" s="3">
        <v>0.28166240453720098</v>
      </c>
      <c r="U775" s="3">
        <v>0.24426177144050601</v>
      </c>
      <c r="W775" t="s">
        <v>50</v>
      </c>
      <c r="X775" t="s">
        <v>54</v>
      </c>
      <c r="Y775" t="s">
        <v>52</v>
      </c>
      <c r="Z775" t="s">
        <v>53</v>
      </c>
      <c r="AC775" s="2">
        <v>0.19820769930777901</v>
      </c>
      <c r="AD775" s="2">
        <v>0.77365309000015303</v>
      </c>
      <c r="AE775" s="2">
        <v>0.222324624657631</v>
      </c>
      <c r="AF775" s="2">
        <v>8.5620306432247203E-2</v>
      </c>
      <c r="AG775" s="2">
        <v>9.2191472649574297E-3</v>
      </c>
      <c r="AH775" s="2">
        <v>-0.13746953010559099</v>
      </c>
      <c r="AI775" s="2">
        <v>4.6652346849441501E-2</v>
      </c>
      <c r="AJ775" s="2">
        <v>0.26903861428873399</v>
      </c>
      <c r="AK775" s="2">
        <v>0.33443861036223899</v>
      </c>
      <c r="AL775" s="2">
        <v>0.25868845920635403</v>
      </c>
      <c r="AM775" s="2">
        <v>0.58066439628601096</v>
      </c>
      <c r="AN775" s="2">
        <v>0.56108683347702004</v>
      </c>
      <c r="AO775" s="2">
        <v>0.18769401311874401</v>
      </c>
      <c r="AP775" s="2"/>
    </row>
    <row r="776" spans="1:42" x14ac:dyDescent="0.3">
      <c r="A776" t="s">
        <v>284</v>
      </c>
      <c r="B776" s="3">
        <v>2015</v>
      </c>
      <c r="C776" s="3">
        <v>4.6140290000000004</v>
      </c>
      <c r="D776" s="3">
        <v>1730.22</v>
      </c>
      <c r="E776" t="s">
        <v>285</v>
      </c>
      <c r="G776" s="3">
        <v>147621.734375</v>
      </c>
      <c r="H776" s="3">
        <v>190527.703125</v>
      </c>
      <c r="I776" s="3">
        <v>192484.96875</v>
      </c>
      <c r="J776" s="3">
        <v>188169.125</v>
      </c>
      <c r="K776" s="3">
        <v>653454.75</v>
      </c>
      <c r="L776" s="3">
        <v>8.2082469016313605E-3</v>
      </c>
      <c r="M776" s="3">
        <v>0.85005557537078902</v>
      </c>
      <c r="N776" s="3">
        <v>0.83036559820175204</v>
      </c>
      <c r="O776" s="3">
        <v>154412.9375</v>
      </c>
      <c r="P776" s="3">
        <v>195375.046875</v>
      </c>
      <c r="Q776" s="3">
        <v>0.99343234300613403</v>
      </c>
      <c r="R776" s="3">
        <v>0.54461842775344904</v>
      </c>
      <c r="S776" s="3">
        <v>0.91498786211013805</v>
      </c>
      <c r="T776" s="3">
        <v>0.92529261112213101</v>
      </c>
      <c r="U776" s="3">
        <v>0.94651514291763295</v>
      </c>
      <c r="W776" t="s">
        <v>50</v>
      </c>
      <c r="X776" t="s">
        <v>51</v>
      </c>
      <c r="Y776" t="s">
        <v>52</v>
      </c>
      <c r="Z776" t="s">
        <v>53</v>
      </c>
      <c r="AA776" t="s">
        <v>53</v>
      </c>
      <c r="AC776" s="2">
        <v>0.79385144590968204</v>
      </c>
      <c r="AD776" s="2">
        <v>0.58286952972412098</v>
      </c>
      <c r="AE776" s="2">
        <v>0.22801813483238201</v>
      </c>
      <c r="AF776" s="2">
        <v>0.20164671540260301</v>
      </c>
      <c r="AG776" s="2">
        <v>0.31472301483154302</v>
      </c>
      <c r="AH776" s="2">
        <v>-0.34961512684822099</v>
      </c>
      <c r="AI776" s="2">
        <v>2.2357767447829201E-2</v>
      </c>
      <c r="AJ776" s="2">
        <v>0.93120625216595199</v>
      </c>
      <c r="AK776" s="2">
        <v>0.96074688272022801</v>
      </c>
      <c r="AL776" s="2">
        <v>0.86810774003053803</v>
      </c>
      <c r="AM776" s="2">
        <v>0.580153107643127</v>
      </c>
      <c r="AN776" s="2">
        <v>0.55525314807891901</v>
      </c>
      <c r="AO776" s="2">
        <v>0.89076471328735396</v>
      </c>
      <c r="AP776" s="2">
        <v>1.3201490640640301</v>
      </c>
    </row>
    <row r="777" spans="1:42" x14ac:dyDescent="0.3">
      <c r="A777" t="s">
        <v>284</v>
      </c>
      <c r="B777" s="3">
        <v>2016</v>
      </c>
      <c r="C777" s="3">
        <v>4.7147699999999997</v>
      </c>
      <c r="D777" s="3">
        <v>1718.05</v>
      </c>
      <c r="E777" t="s">
        <v>285</v>
      </c>
      <c r="G777" s="3">
        <v>158707.859375</v>
      </c>
      <c r="H777" s="3">
        <v>203041.671875</v>
      </c>
      <c r="I777" s="3">
        <v>204714.96875</v>
      </c>
      <c r="J777" s="3">
        <v>201169.5625</v>
      </c>
      <c r="K777" s="3">
        <v>683754.125</v>
      </c>
      <c r="L777" s="3">
        <v>8.3358921110630001E-3</v>
      </c>
      <c r="M777" s="3">
        <v>0.87815499305725098</v>
      </c>
      <c r="N777" s="3">
        <v>0.856911420822144</v>
      </c>
      <c r="O777" s="3">
        <v>162595.953125</v>
      </c>
      <c r="P777" s="3">
        <v>204631.8125</v>
      </c>
      <c r="Q777" s="3">
        <v>0.99588274955749501</v>
      </c>
      <c r="R777" s="3">
        <v>0.55244785547256503</v>
      </c>
      <c r="S777" s="3">
        <v>0.90573704242706299</v>
      </c>
      <c r="T777" s="3">
        <v>0.92273426055908203</v>
      </c>
      <c r="U777" s="3">
        <v>0.93899643421173096</v>
      </c>
      <c r="W777" t="s">
        <v>50</v>
      </c>
      <c r="X777" t="s">
        <v>51</v>
      </c>
      <c r="Y777" t="s">
        <v>52</v>
      </c>
      <c r="Z777" t="s">
        <v>53</v>
      </c>
      <c r="AA777" t="s">
        <v>53</v>
      </c>
      <c r="AC777" s="2">
        <v>0.78612399327966198</v>
      </c>
      <c r="AD777" s="2">
        <v>0.58729463815689098</v>
      </c>
      <c r="AE777" s="2">
        <v>0.22038032114505801</v>
      </c>
      <c r="AF777" s="2">
        <v>0.20163120329379999</v>
      </c>
      <c r="AG777" s="2">
        <v>0.29245635867118802</v>
      </c>
      <c r="AH777" s="2">
        <v>-0.32217881083488498</v>
      </c>
      <c r="AI777" s="2">
        <v>2.04162877053022E-2</v>
      </c>
      <c r="AJ777" s="2">
        <v>0.92662360304429903</v>
      </c>
      <c r="AK777" s="2">
        <v>0.98358160881448198</v>
      </c>
      <c r="AL777" s="2">
        <v>0.84490031318959702</v>
      </c>
      <c r="AM777" s="2">
        <v>0.57333719730377197</v>
      </c>
      <c r="AN777" s="2">
        <v>0.55612534284591697</v>
      </c>
      <c r="AO777" s="2">
        <v>0.90802061557769798</v>
      </c>
      <c r="AP777" s="2">
        <v>1.3127471208572401</v>
      </c>
    </row>
    <row r="778" spans="1:42" x14ac:dyDescent="0.3">
      <c r="A778" t="s">
        <v>284</v>
      </c>
      <c r="B778" s="3">
        <v>2017</v>
      </c>
      <c r="C778" s="3">
        <v>4.8127519999999997</v>
      </c>
      <c r="D778" s="3">
        <v>1715.77</v>
      </c>
      <c r="E778" t="s">
        <v>285</v>
      </c>
      <c r="G778" s="3">
        <v>165809.234375</v>
      </c>
      <c r="H778" s="3">
        <v>212756.75</v>
      </c>
      <c r="I778" s="3">
        <v>214872.03125</v>
      </c>
      <c r="J778" s="3">
        <v>209473.078125</v>
      </c>
      <c r="K778" s="3">
        <v>650738.9375</v>
      </c>
      <c r="L778" s="3">
        <v>8.0051235854625702E-3</v>
      </c>
      <c r="M778" s="3">
        <v>0.89139145612716697</v>
      </c>
      <c r="N778" s="3">
        <v>0.871881663799286</v>
      </c>
      <c r="O778" s="3">
        <v>170028.71875</v>
      </c>
      <c r="P778" s="3">
        <v>215588.234375</v>
      </c>
      <c r="Q778" s="3">
        <v>0.99228227138519298</v>
      </c>
      <c r="R778" s="3">
        <v>0.55041128396987904</v>
      </c>
      <c r="S778" s="3">
        <v>0.93904608488082897</v>
      </c>
      <c r="T778" s="3">
        <v>0.96135193109512296</v>
      </c>
      <c r="U778" s="3">
        <v>0.98612970113754295</v>
      </c>
      <c r="W778" t="s">
        <v>51</v>
      </c>
      <c r="X778" t="s">
        <v>51</v>
      </c>
      <c r="Y778" t="s">
        <v>52</v>
      </c>
      <c r="Z778" t="s">
        <v>53</v>
      </c>
      <c r="AA778" t="s">
        <v>53</v>
      </c>
      <c r="AC778" s="2">
        <v>0.78633530342170199</v>
      </c>
      <c r="AD778" s="2">
        <v>0.58399695158004805</v>
      </c>
      <c r="AE778" s="2">
        <v>0.22412198781967199</v>
      </c>
      <c r="AF778" s="2">
        <v>0.207556918263435</v>
      </c>
      <c r="AG778" s="2">
        <v>0.30556759238243097</v>
      </c>
      <c r="AH778" s="2">
        <v>-0.34114819765090898</v>
      </c>
      <c r="AI778" s="2">
        <v>1.9904753193259201E-2</v>
      </c>
      <c r="AJ778" s="2">
        <v>0.97020064710031195</v>
      </c>
      <c r="AK778" s="2">
        <v>1.04013155581248</v>
      </c>
      <c r="AL778" s="2">
        <v>0.851387292700721</v>
      </c>
      <c r="AM778" s="2">
        <v>0.59445971250534102</v>
      </c>
      <c r="AN778" s="2">
        <v>0.56154036521911599</v>
      </c>
      <c r="AO778" s="2">
        <v>1.0424790382385301</v>
      </c>
      <c r="AP778" s="2">
        <v>1.44744825363159</v>
      </c>
    </row>
    <row r="779" spans="1:42" x14ac:dyDescent="0.3">
      <c r="A779" t="s">
        <v>284</v>
      </c>
      <c r="B779" s="3">
        <v>2018</v>
      </c>
      <c r="C779" s="3">
        <v>4.9008469999999997</v>
      </c>
      <c r="D779" s="3">
        <v>1715.51</v>
      </c>
      <c r="E779" t="s">
        <v>285</v>
      </c>
      <c r="G779" s="3">
        <v>168186.15625</v>
      </c>
      <c r="H779" s="3">
        <v>216013.546875</v>
      </c>
      <c r="I779" s="3">
        <v>215945.84375</v>
      </c>
      <c r="J779" s="3">
        <v>210699.765625</v>
      </c>
      <c r="K779" s="3">
        <v>657819.25</v>
      </c>
      <c r="L779" s="3">
        <v>7.9247960820794106E-3</v>
      </c>
      <c r="M779" s="3">
        <v>0.872705638408661</v>
      </c>
      <c r="N779" s="3">
        <v>0.86125266551971402</v>
      </c>
      <c r="O779" s="3">
        <v>177280.109375</v>
      </c>
      <c r="P779" s="3">
        <v>224739.796875</v>
      </c>
      <c r="Q779" s="3">
        <v>0.99596446752548196</v>
      </c>
      <c r="R779" s="3">
        <v>0.552992343902588</v>
      </c>
      <c r="S779" s="3">
        <v>0.95852905511856101</v>
      </c>
      <c r="T779" s="3">
        <v>0.98101705312728904</v>
      </c>
      <c r="U779" s="3">
        <v>1.00544285774231</v>
      </c>
      <c r="W779" t="s">
        <v>50</v>
      </c>
      <c r="X779" t="s">
        <v>51</v>
      </c>
      <c r="Y779" t="s">
        <v>52</v>
      </c>
      <c r="Z779" t="s">
        <v>53</v>
      </c>
      <c r="AA779" t="s">
        <v>53</v>
      </c>
      <c r="AC779" s="2">
        <v>0.792543085769706</v>
      </c>
      <c r="AD779" s="2">
        <v>0.57675164937973</v>
      </c>
      <c r="AE779" s="2">
        <v>0.226993128657341</v>
      </c>
      <c r="AF779" s="2">
        <v>0.22147493064403501</v>
      </c>
      <c r="AG779" s="2">
        <v>0.312545716762543</v>
      </c>
      <c r="AH779" s="2">
        <v>-0.355848878622055</v>
      </c>
      <c r="AI779" s="2">
        <v>1.8083486706018399E-2</v>
      </c>
      <c r="AJ779" s="2">
        <v>1.0087463948370801</v>
      </c>
      <c r="AK779" s="2">
        <v>1.06009660793705</v>
      </c>
      <c r="AL779" s="2">
        <v>0.82775611120435699</v>
      </c>
      <c r="AM779" s="2">
        <v>0.60496425628662098</v>
      </c>
      <c r="AN779" s="2">
        <v>0.58332669734954801</v>
      </c>
      <c r="AO779" s="2">
        <v>1.07443535327911</v>
      </c>
      <c r="AP779" s="2">
        <v>1.41290831565857</v>
      </c>
    </row>
    <row r="780" spans="1:42" x14ac:dyDescent="0.3">
      <c r="A780" t="s">
        <v>284</v>
      </c>
      <c r="B780" s="3">
        <v>2019</v>
      </c>
      <c r="C780" s="3">
        <v>4.9894030000000003</v>
      </c>
      <c r="D780" s="3">
        <v>1742.29</v>
      </c>
      <c r="E780" t="s">
        <v>285</v>
      </c>
      <c r="G780" s="3">
        <v>179957.5</v>
      </c>
      <c r="H780" s="3">
        <v>229355.875</v>
      </c>
      <c r="I780" s="3">
        <v>229898.8125</v>
      </c>
      <c r="J780" s="3">
        <v>224138.75</v>
      </c>
      <c r="K780" s="3">
        <v>688867</v>
      </c>
      <c r="L780" s="3">
        <v>8.0656353384256398E-3</v>
      </c>
      <c r="M780" s="3">
        <v>0.88736635446548495</v>
      </c>
      <c r="N780" s="3">
        <v>0.873768091201782</v>
      </c>
      <c r="O780" s="3">
        <v>183006.75</v>
      </c>
      <c r="P780" s="3">
        <v>231104.78125</v>
      </c>
      <c r="Q780" s="3">
        <v>0.98490852117538497</v>
      </c>
      <c r="R780" s="3">
        <v>0.552218377590179</v>
      </c>
      <c r="S780" s="3">
        <v>0.89988029003143299</v>
      </c>
      <c r="T780" s="3">
        <v>0.92582863569259599</v>
      </c>
      <c r="U780" s="3">
        <v>0.949621140956879</v>
      </c>
      <c r="W780" t="s">
        <v>50</v>
      </c>
      <c r="X780" t="s">
        <v>54</v>
      </c>
      <c r="Y780" t="s">
        <v>52</v>
      </c>
      <c r="Z780" t="s">
        <v>53</v>
      </c>
      <c r="AA780" t="s">
        <v>53</v>
      </c>
      <c r="AC780" s="2">
        <v>0.79811734315832705</v>
      </c>
      <c r="AD780" s="2">
        <v>0.58074963092803999</v>
      </c>
      <c r="AE780" s="2">
        <v>0.22039191424846699</v>
      </c>
      <c r="AF780" s="2">
        <v>0.222134739160538</v>
      </c>
      <c r="AG780" s="2">
        <v>0.29767608642578097</v>
      </c>
      <c r="AH780" s="2">
        <v>-0.336147040128708</v>
      </c>
      <c r="AI780" s="2">
        <v>1.51946265250444E-2</v>
      </c>
      <c r="AJ780" s="2">
        <v>0.93558790798248603</v>
      </c>
      <c r="AK780" s="2">
        <v>1.0203579854965401</v>
      </c>
      <c r="AL780" s="2">
        <v>0.80652628591189401</v>
      </c>
      <c r="AM780" s="2">
        <v>0.59261661767959595</v>
      </c>
      <c r="AN780" s="2">
        <v>0.56104689836502097</v>
      </c>
      <c r="AO780" s="2">
        <v>1.0404759645462001</v>
      </c>
      <c r="AP780" s="2">
        <v>1.3440375328064</v>
      </c>
    </row>
    <row r="781" spans="1:42" x14ac:dyDescent="0.3">
      <c r="A781" t="s">
        <v>284</v>
      </c>
      <c r="B781" s="3">
        <v>2020</v>
      </c>
      <c r="C781" s="3">
        <v>5.0698949999999998</v>
      </c>
      <c r="D781" s="3">
        <v>1698.4</v>
      </c>
      <c r="E781" t="s">
        <v>285</v>
      </c>
      <c r="G781" s="3">
        <v>186454.09375</v>
      </c>
      <c r="H781" s="3">
        <v>232463.03125</v>
      </c>
      <c r="I781" s="3">
        <v>231248.9375</v>
      </c>
      <c r="J781" s="3">
        <v>227201.828125</v>
      </c>
      <c r="K781" s="3">
        <v>685288.3125</v>
      </c>
      <c r="L781" s="3">
        <v>7.6613677665591197E-3</v>
      </c>
      <c r="M781" s="3">
        <v>0.90576499700546298</v>
      </c>
      <c r="N781" s="3">
        <v>0.88904005289077803</v>
      </c>
      <c r="O781" s="3">
        <v>186251.4375</v>
      </c>
      <c r="P781" s="3">
        <v>232650.359375</v>
      </c>
      <c r="Q781" s="3">
        <v>0.97576522827148404</v>
      </c>
      <c r="R781" s="3">
        <v>0.54802864789962802</v>
      </c>
      <c r="S781" s="3">
        <v>0.88511848449706998</v>
      </c>
      <c r="T781" s="3">
        <v>0.91977173089981101</v>
      </c>
      <c r="U781" s="3">
        <v>0.93615549802780196</v>
      </c>
      <c r="W781" t="s">
        <v>50</v>
      </c>
      <c r="X781" t="s">
        <v>54</v>
      </c>
      <c r="Y781" t="s">
        <v>52</v>
      </c>
      <c r="Z781" t="s">
        <v>53</v>
      </c>
      <c r="AA781" t="s">
        <v>53</v>
      </c>
      <c r="AC781" s="2">
        <v>0.80029210622029201</v>
      </c>
      <c r="AD781" s="2">
        <v>0.58334189653396595</v>
      </c>
      <c r="AE781" s="2">
        <v>0.20250250399112699</v>
      </c>
      <c r="AF781" s="2">
        <v>0.23731212317943601</v>
      </c>
      <c r="AG781" s="2">
        <v>0.241445988416672</v>
      </c>
      <c r="AH781" s="2">
        <v>-0.27476739883422902</v>
      </c>
      <c r="AI781" s="2">
        <v>1.01648960262537E-2</v>
      </c>
      <c r="AJ781" s="2">
        <v>0.91670478987983695</v>
      </c>
      <c r="AK781" s="2">
        <v>1.06020611588333</v>
      </c>
      <c r="AL781" s="2">
        <v>0.80747554655438103</v>
      </c>
      <c r="AM781" s="2">
        <v>0.57222545146942105</v>
      </c>
      <c r="AN781" s="2">
        <v>0.55535131692886397</v>
      </c>
      <c r="AO781" s="2">
        <v>1.0755481719970701</v>
      </c>
      <c r="AP781" s="2">
        <v>1.4900104999542201</v>
      </c>
    </row>
    <row r="782" spans="1:42" x14ac:dyDescent="0.3">
      <c r="A782" t="s">
        <v>286</v>
      </c>
      <c r="B782" s="3">
        <v>2015</v>
      </c>
      <c r="C782" s="3">
        <v>4.184895</v>
      </c>
      <c r="D782" s="3">
        <v>2279.88</v>
      </c>
      <c r="E782" t="s">
        <v>287</v>
      </c>
      <c r="G782" s="3">
        <v>97371.15625</v>
      </c>
      <c r="H782" s="3">
        <v>175241.328125</v>
      </c>
      <c r="I782" s="3">
        <v>180524.921875</v>
      </c>
      <c r="J782" s="3">
        <v>186881.5</v>
      </c>
      <c r="K782" s="3">
        <v>944519.8125</v>
      </c>
      <c r="L782" s="3">
        <v>1.09576862305403E-2</v>
      </c>
      <c r="M782" s="3"/>
      <c r="N782" s="3"/>
      <c r="O782" s="3">
        <v>94419.7109375</v>
      </c>
      <c r="P782" s="3">
        <v>165314.578125</v>
      </c>
      <c r="Q782" s="3"/>
      <c r="R782" s="3">
        <v>0.30266872048378002</v>
      </c>
      <c r="S782" s="3">
        <v>0.49068883061409002</v>
      </c>
      <c r="T782" s="3">
        <v>0.43601113557815602</v>
      </c>
      <c r="U782" s="3">
        <v>0.42118072509765597</v>
      </c>
      <c r="W782" t="s">
        <v>50</v>
      </c>
      <c r="X782" t="s">
        <v>51</v>
      </c>
      <c r="Y782" t="s">
        <v>52</v>
      </c>
      <c r="Z782" t="s">
        <v>53</v>
      </c>
      <c r="AA782" t="s">
        <v>53</v>
      </c>
      <c r="AC782" s="2">
        <v>0.628590942378355</v>
      </c>
      <c r="AD782" s="2">
        <v>0.32183685898780801</v>
      </c>
      <c r="AE782" s="2">
        <v>0.41668206453323398</v>
      </c>
      <c r="AF782" s="2">
        <v>0.19919468462467199</v>
      </c>
      <c r="AG782" s="2">
        <v>0.444262444972992</v>
      </c>
      <c r="AH782" s="2">
        <v>-0.381976097822189</v>
      </c>
      <c r="AI782" s="2">
        <v>0</v>
      </c>
      <c r="AJ782" s="2">
        <v>0.47195639174784398</v>
      </c>
      <c r="AK782" s="2">
        <v>0.36764059513411301</v>
      </c>
      <c r="AL782" s="2">
        <v>0.52095462324164798</v>
      </c>
      <c r="AM782" s="2">
        <v>0.47071608901023898</v>
      </c>
      <c r="AN782" s="2">
        <v>0.51520079374313399</v>
      </c>
      <c r="AO782" s="2">
        <v>0.23368659615516699</v>
      </c>
      <c r="AP782" s="2">
        <v>0.66923254728317305</v>
      </c>
    </row>
    <row r="783" spans="1:42" x14ac:dyDescent="0.3">
      <c r="A783" t="s">
        <v>286</v>
      </c>
      <c r="B783" s="3">
        <v>2016</v>
      </c>
      <c r="C783" s="3">
        <v>4.3908769999999997</v>
      </c>
      <c r="D783" s="3">
        <v>2294.0300000000002</v>
      </c>
      <c r="E783" t="s">
        <v>287</v>
      </c>
      <c r="G783" s="3">
        <v>96602.0078125</v>
      </c>
      <c r="H783" s="3">
        <v>173793.109375</v>
      </c>
      <c r="I783" s="3">
        <v>173403.546875</v>
      </c>
      <c r="J783" s="3">
        <v>179415.828125</v>
      </c>
      <c r="K783" s="3">
        <v>1033861.4375</v>
      </c>
      <c r="L783" s="3">
        <v>1.0794993489980699E-2</v>
      </c>
      <c r="M783" s="3"/>
      <c r="N783" s="3"/>
      <c r="O783" s="3">
        <v>93281.890625</v>
      </c>
      <c r="P783" s="3">
        <v>167136.9375</v>
      </c>
      <c r="Q783" s="3"/>
      <c r="R783" s="3">
        <v>0.30266872048378002</v>
      </c>
      <c r="S783" s="3">
        <v>0.49881216883659402</v>
      </c>
      <c r="T783" s="3">
        <v>0.43326017260551503</v>
      </c>
      <c r="U783" s="3">
        <v>0.41874152421951299</v>
      </c>
      <c r="W783" t="s">
        <v>50</v>
      </c>
      <c r="X783" t="s">
        <v>51</v>
      </c>
      <c r="Y783" t="s">
        <v>52</v>
      </c>
      <c r="Z783" t="s">
        <v>53</v>
      </c>
      <c r="AA783" t="s">
        <v>53</v>
      </c>
      <c r="AC783" s="2">
        <v>0.581994296774347</v>
      </c>
      <c r="AD783" s="2">
        <v>0.33472529053688099</v>
      </c>
      <c r="AE783" s="2">
        <v>0.43023571372032199</v>
      </c>
      <c r="AF783" s="2">
        <v>0.203699931502342</v>
      </c>
      <c r="AG783" s="2">
        <v>0.36891832947731001</v>
      </c>
      <c r="AH783" s="2">
        <v>-0.33757928013801602</v>
      </c>
      <c r="AI783" s="2">
        <v>3.4617735761299803E-11</v>
      </c>
      <c r="AJ783" s="2">
        <v>0.47554620486703197</v>
      </c>
      <c r="AK783" s="2">
        <v>0.35122414765259502</v>
      </c>
      <c r="AL783" s="2">
        <v>0.53704339642022803</v>
      </c>
      <c r="AM783" s="2">
        <v>0.46898880600929299</v>
      </c>
      <c r="AN783" s="2">
        <v>0.51531380414962802</v>
      </c>
      <c r="AO783" s="2">
        <v>0.22264477610588099</v>
      </c>
      <c r="AP783" s="2">
        <v>0.62818390130996704</v>
      </c>
    </row>
    <row r="784" spans="1:42" x14ac:dyDescent="0.3">
      <c r="A784" t="s">
        <v>286</v>
      </c>
      <c r="B784" s="3">
        <v>2017</v>
      </c>
      <c r="C784" s="3">
        <v>4.5373960000000002</v>
      </c>
      <c r="D784" s="3">
        <v>2307.58</v>
      </c>
      <c r="E784" t="s">
        <v>287</v>
      </c>
      <c r="G784" s="3">
        <v>97029.5234375</v>
      </c>
      <c r="H784" s="3">
        <v>171863.046875</v>
      </c>
      <c r="I784" s="3">
        <v>176229.5625</v>
      </c>
      <c r="J784" s="3">
        <v>181445.703125</v>
      </c>
      <c r="K784" s="3">
        <v>1051459.75</v>
      </c>
      <c r="L784" s="3">
        <v>1.0568498633801901E-2</v>
      </c>
      <c r="M784" s="3"/>
      <c r="N784" s="3"/>
      <c r="O784" s="3">
        <v>98760.390625</v>
      </c>
      <c r="P784" s="3">
        <v>178078.265625</v>
      </c>
      <c r="Q784" s="3"/>
      <c r="R784" s="3">
        <v>0.30266872048378002</v>
      </c>
      <c r="S784" s="3">
        <v>0.53064930438995395</v>
      </c>
      <c r="T784" s="3">
        <v>0.45881390571594199</v>
      </c>
      <c r="U784" s="3">
        <v>0.44562408328056302</v>
      </c>
      <c r="W784" t="s">
        <v>51</v>
      </c>
      <c r="X784" t="s">
        <v>51</v>
      </c>
      <c r="Y784" t="s">
        <v>52</v>
      </c>
      <c r="Z784" t="s">
        <v>53</v>
      </c>
      <c r="AA784" t="s">
        <v>53</v>
      </c>
      <c r="AC784" s="2">
        <v>0.62071300140104502</v>
      </c>
      <c r="AD784" s="2">
        <v>0.34969475865364102</v>
      </c>
      <c r="AE784" s="2">
        <v>0.41242930293083202</v>
      </c>
      <c r="AF784" s="2">
        <v>0.18506312370300301</v>
      </c>
      <c r="AG784" s="2">
        <v>0.40799856185913103</v>
      </c>
      <c r="AH784" s="2">
        <v>-0.355185747146606</v>
      </c>
      <c r="AI784" s="2">
        <v>1.7997193580442801E-16</v>
      </c>
      <c r="AJ784" s="2">
        <v>0.49890379117365602</v>
      </c>
      <c r="AK784" s="2">
        <v>0.365671846820733</v>
      </c>
      <c r="AL784" s="2">
        <v>0.59063547518609005</v>
      </c>
      <c r="AM784" s="2">
        <v>0.49931135773658802</v>
      </c>
      <c r="AN784" s="2">
        <v>0.54246807098388705</v>
      </c>
      <c r="AO784" s="2">
        <v>0.222566664218903</v>
      </c>
      <c r="AP784" s="2">
        <v>0.665632724761963</v>
      </c>
    </row>
    <row r="785" spans="1:42" x14ac:dyDescent="0.3">
      <c r="A785" t="s">
        <v>286</v>
      </c>
      <c r="B785" s="3">
        <v>2018</v>
      </c>
      <c r="C785" s="3">
        <v>4.5978770000000004</v>
      </c>
      <c r="D785" s="3">
        <v>2333.8000000000002</v>
      </c>
      <c r="E785" t="s">
        <v>287</v>
      </c>
      <c r="G785" s="3">
        <v>100855.875</v>
      </c>
      <c r="H785" s="3">
        <v>167127.28125</v>
      </c>
      <c r="I785" s="3">
        <v>189837.90625</v>
      </c>
      <c r="J785" s="3">
        <v>192217.890625</v>
      </c>
      <c r="K785" s="3">
        <v>967055.5625</v>
      </c>
      <c r="L785" s="3">
        <v>9.2761637642979605E-3</v>
      </c>
      <c r="M785" s="3"/>
      <c r="N785" s="3"/>
      <c r="O785" s="3">
        <v>100324.2734375</v>
      </c>
      <c r="P785" s="3">
        <v>174663.921875</v>
      </c>
      <c r="Q785" s="3"/>
      <c r="R785" s="3">
        <v>0.30266872048378002</v>
      </c>
      <c r="S785" s="3">
        <v>0.51136767864227295</v>
      </c>
      <c r="T785" s="3">
        <v>0.48202130198478699</v>
      </c>
      <c r="U785" s="3">
        <v>0.47605305910110501</v>
      </c>
      <c r="W785" t="s">
        <v>50</v>
      </c>
      <c r="X785" t="s">
        <v>51</v>
      </c>
      <c r="Y785" t="s">
        <v>52</v>
      </c>
      <c r="Z785" t="s">
        <v>53</v>
      </c>
      <c r="AA785" t="s">
        <v>53</v>
      </c>
      <c r="AC785" s="2">
        <v>0.65180809744367596</v>
      </c>
      <c r="AD785" s="2">
        <v>0.35152998566627502</v>
      </c>
      <c r="AE785" s="2">
        <v>0.344772279262543</v>
      </c>
      <c r="AF785" s="2">
        <v>0.17316555976867701</v>
      </c>
      <c r="AG785" s="2">
        <v>0.46980652213096602</v>
      </c>
      <c r="AH785" s="2">
        <v>-0.33927434682846103</v>
      </c>
      <c r="AI785" s="2">
        <v>-1.5902704771520599E-16</v>
      </c>
      <c r="AJ785" s="2">
        <v>0.47131582811161599</v>
      </c>
      <c r="AK785" s="2">
        <v>0.43736019330964099</v>
      </c>
      <c r="AL785" s="2">
        <v>0.59267391331955199</v>
      </c>
      <c r="AM785" s="2">
        <v>0.512942314147949</v>
      </c>
      <c r="AN785" s="2">
        <v>0.54243004322052002</v>
      </c>
      <c r="AO785" s="2">
        <v>0.26690992712974598</v>
      </c>
      <c r="AP785" s="2">
        <v>0.81336534023284901</v>
      </c>
    </row>
    <row r="786" spans="1:42" x14ac:dyDescent="0.3">
      <c r="A786" t="s">
        <v>286</v>
      </c>
      <c r="B786" s="3">
        <v>2019</v>
      </c>
      <c r="C786" s="3">
        <v>4.5912410000000001</v>
      </c>
      <c r="D786" s="3">
        <v>2312.2600000000002</v>
      </c>
      <c r="E786" t="s">
        <v>287</v>
      </c>
      <c r="G786" s="3">
        <v>107697.78125</v>
      </c>
      <c r="H786" s="3">
        <v>161473.296875</v>
      </c>
      <c r="I786" s="3">
        <v>184557.421875</v>
      </c>
      <c r="J786" s="3">
        <v>189232.15625</v>
      </c>
      <c r="K786" s="3">
        <v>1026016.625</v>
      </c>
      <c r="L786" s="3">
        <v>9.1567384079098701E-3</v>
      </c>
      <c r="M786" s="3"/>
      <c r="N786" s="3"/>
      <c r="O786" s="3">
        <v>98866.171875</v>
      </c>
      <c r="P786" s="3">
        <v>168047.8125</v>
      </c>
      <c r="Q786" s="3"/>
      <c r="R786" s="3">
        <v>0.30266872048378002</v>
      </c>
      <c r="S786" s="3">
        <v>0.495727509260178</v>
      </c>
      <c r="T786" s="3">
        <v>0.477146565914154</v>
      </c>
      <c r="U786" s="3">
        <v>0.46535927057266202</v>
      </c>
      <c r="W786" t="s">
        <v>50</v>
      </c>
      <c r="X786" t="s">
        <v>54</v>
      </c>
      <c r="Y786" t="s">
        <v>52</v>
      </c>
      <c r="Z786" t="s">
        <v>53</v>
      </c>
      <c r="AA786" t="s">
        <v>53</v>
      </c>
      <c r="AC786" s="2">
        <v>0.64680011457724196</v>
      </c>
      <c r="AD786" s="2">
        <v>0.38311725854873702</v>
      </c>
      <c r="AE786" s="2">
        <v>0.28417748212814298</v>
      </c>
      <c r="AF786" s="2">
        <v>0.18601320683956099</v>
      </c>
      <c r="AG786" s="2">
        <v>0.48117226362228399</v>
      </c>
      <c r="AH786" s="2">
        <v>-0.33447527885437001</v>
      </c>
      <c r="AI786" s="2">
        <v>-4.9345189836458303E-6</v>
      </c>
      <c r="AJ786" s="2">
        <v>0.45572470217425398</v>
      </c>
      <c r="AK786" s="2">
        <v>0.43993404908806999</v>
      </c>
      <c r="AL786" s="2">
        <v>0.57811820304682604</v>
      </c>
      <c r="AM786" s="2">
        <v>0.47865942120552102</v>
      </c>
      <c r="AN786" s="2">
        <v>0.51456415653228804</v>
      </c>
      <c r="AO786" s="2">
        <v>0.27032104134559598</v>
      </c>
      <c r="AP786" s="2">
        <v>0.76277780532836903</v>
      </c>
    </row>
    <row r="787" spans="1:42" x14ac:dyDescent="0.3">
      <c r="A787" t="s">
        <v>286</v>
      </c>
      <c r="B787" s="3">
        <v>2020</v>
      </c>
      <c r="C787" s="3">
        <v>4.5224970000000004</v>
      </c>
      <c r="D787" s="3">
        <v>2251.5300000000002</v>
      </c>
      <c r="E787" t="s">
        <v>287</v>
      </c>
      <c r="G787" s="3">
        <v>103769.7734375</v>
      </c>
      <c r="H787" s="3">
        <v>154591.578125</v>
      </c>
      <c r="I787" s="3">
        <v>158657.328125</v>
      </c>
      <c r="J787" s="3">
        <v>173264.671875</v>
      </c>
      <c r="K787" s="3">
        <v>1085250.375</v>
      </c>
      <c r="L787" s="3">
        <v>8.7396111339330708E-3</v>
      </c>
      <c r="M787" s="3"/>
      <c r="N787" s="3"/>
      <c r="O787" s="3">
        <v>98851.9765625</v>
      </c>
      <c r="P787" s="3">
        <v>167774.765625</v>
      </c>
      <c r="Q787" s="3"/>
      <c r="R787" s="3">
        <v>0.30266872048378002</v>
      </c>
      <c r="S787" s="3">
        <v>0.51310926675796498</v>
      </c>
      <c r="T787" s="3">
        <v>0.47844868898391701</v>
      </c>
      <c r="U787" s="3">
        <v>0.43811237812042197</v>
      </c>
      <c r="W787" t="s">
        <v>50</v>
      </c>
      <c r="X787" t="s">
        <v>54</v>
      </c>
      <c r="Y787" t="s">
        <v>52</v>
      </c>
      <c r="Z787" t="s">
        <v>53</v>
      </c>
      <c r="AA787" t="s">
        <v>53</v>
      </c>
      <c r="AC787" s="2">
        <v>0.63760910861250297</v>
      </c>
      <c r="AD787" s="2">
        <v>0.37490519881248502</v>
      </c>
      <c r="AE787" s="2">
        <v>0.29331886768341098</v>
      </c>
      <c r="AF787" s="2">
        <v>0.224003806710243</v>
      </c>
      <c r="AG787" s="2">
        <v>0.49289390444755599</v>
      </c>
      <c r="AH787" s="2">
        <v>-0.386188894510269</v>
      </c>
      <c r="AI787" s="2">
        <v>1.06711185071617E-3</v>
      </c>
      <c r="AJ787" s="2">
        <v>0.515084589148182</v>
      </c>
      <c r="AK787" s="2">
        <v>0.40767749491087901</v>
      </c>
      <c r="AL787" s="2">
        <v>0.50980331784699995</v>
      </c>
      <c r="AM787" s="2">
        <v>0.41792613267898598</v>
      </c>
      <c r="AN787" s="2">
        <v>0.50553923845291104</v>
      </c>
      <c r="AO787" s="2">
        <v>0.248354762792587</v>
      </c>
      <c r="AP787" s="2">
        <v>0.71922957897186302</v>
      </c>
    </row>
    <row r="788" spans="1:42" x14ac:dyDescent="0.3">
      <c r="A788" t="s">
        <v>288</v>
      </c>
      <c r="B788" s="3">
        <v>2015</v>
      </c>
      <c r="C788" s="3">
        <v>217.29088300000001</v>
      </c>
      <c r="D788" s="3">
        <v>2432</v>
      </c>
      <c r="E788" t="s">
        <v>289</v>
      </c>
      <c r="G788" s="3">
        <v>1052956.5</v>
      </c>
      <c r="H788" s="3">
        <v>1185353.375</v>
      </c>
      <c r="I788" s="3">
        <v>1110515.125</v>
      </c>
      <c r="J788" s="3">
        <v>1146277</v>
      </c>
      <c r="K788" s="3">
        <v>1824498.375</v>
      </c>
      <c r="L788" s="3"/>
      <c r="M788" s="3"/>
      <c r="N788" s="3"/>
      <c r="O788" s="3">
        <v>905707.625</v>
      </c>
      <c r="P788" s="3">
        <v>1034630.5625</v>
      </c>
      <c r="Q788" s="3"/>
      <c r="R788" s="3"/>
      <c r="S788" s="3">
        <v>0.25566285848617598</v>
      </c>
      <c r="T788" s="3">
        <v>0.26659706234931901</v>
      </c>
      <c r="U788" s="3">
        <v>0.25827974081039401</v>
      </c>
      <c r="W788" t="s">
        <v>50</v>
      </c>
      <c r="X788" t="s">
        <v>51</v>
      </c>
      <c r="Y788" t="s">
        <v>52</v>
      </c>
      <c r="Z788" t="s">
        <v>53</v>
      </c>
      <c r="AC788" s="2">
        <v>0.44901664925268198</v>
      </c>
      <c r="AD788" s="2">
        <v>0.82897877693176303</v>
      </c>
      <c r="AE788" s="2">
        <v>0.11550159752368901</v>
      </c>
      <c r="AF788" s="2">
        <v>8.9609354734420804E-2</v>
      </c>
      <c r="AG788" s="2">
        <v>4.6664100140333203E-2</v>
      </c>
      <c r="AH788" s="2">
        <v>-8.0753818154334994E-2</v>
      </c>
      <c r="AI788" s="2">
        <v>1.9660755700938401E-16</v>
      </c>
      <c r="AJ788" s="2">
        <v>0.25280015448773202</v>
      </c>
      <c r="AK788" s="2">
        <v>0.35355723201270201</v>
      </c>
      <c r="AL788" s="2">
        <v>0.28214578924996497</v>
      </c>
      <c r="AM788" s="2">
        <v>0.55207949876785301</v>
      </c>
      <c r="AN788" s="2">
        <v>0.53456139564514205</v>
      </c>
      <c r="AO788" s="2">
        <v>0.206453382968903</v>
      </c>
      <c r="AP788" s="2"/>
    </row>
    <row r="789" spans="1:42" x14ac:dyDescent="0.3">
      <c r="A789" t="s">
        <v>288</v>
      </c>
      <c r="B789" s="3">
        <v>2016</v>
      </c>
      <c r="C789" s="3">
        <v>220.138869</v>
      </c>
      <c r="D789" s="3">
        <v>2424.83</v>
      </c>
      <c r="E789" t="s">
        <v>289</v>
      </c>
      <c r="G789" s="3">
        <v>1082438.375</v>
      </c>
      <c r="H789" s="3">
        <v>1222656.75</v>
      </c>
      <c r="I789" s="3">
        <v>1140238.625</v>
      </c>
      <c r="J789" s="3">
        <v>1177917.25</v>
      </c>
      <c r="K789" s="3">
        <v>1870567.125</v>
      </c>
      <c r="L789" s="3"/>
      <c r="M789" s="3"/>
      <c r="N789" s="3"/>
      <c r="O789" s="3">
        <v>982489.6875</v>
      </c>
      <c r="P789" s="3">
        <v>1123202.375</v>
      </c>
      <c r="Q789" s="3"/>
      <c r="R789" s="3"/>
      <c r="S789" s="3">
        <v>0.26343801617622398</v>
      </c>
      <c r="T789" s="3">
        <v>0.27393737435340898</v>
      </c>
      <c r="U789" s="3">
        <v>0.26517480611801197</v>
      </c>
      <c r="W789" t="s">
        <v>50</v>
      </c>
      <c r="X789" t="s">
        <v>51</v>
      </c>
      <c r="Y789" t="s">
        <v>52</v>
      </c>
      <c r="Z789" t="s">
        <v>53</v>
      </c>
      <c r="AC789" s="2">
        <v>0.38678127999073503</v>
      </c>
      <c r="AD789" s="2">
        <v>0.82851666212081898</v>
      </c>
      <c r="AE789" s="2">
        <v>0.11903922259807601</v>
      </c>
      <c r="AF789" s="2">
        <v>9.0425990521907806E-2</v>
      </c>
      <c r="AG789" s="2">
        <v>4.24391701817513E-2</v>
      </c>
      <c r="AH789" s="2">
        <v>-8.0421052873134599E-2</v>
      </c>
      <c r="AI789" s="2">
        <v>0</v>
      </c>
      <c r="AJ789" s="2">
        <v>0.25823519322537303</v>
      </c>
      <c r="AK789" s="2">
        <v>0.35498873708589601</v>
      </c>
      <c r="AL789" s="2">
        <v>0.31110828574208799</v>
      </c>
      <c r="AM789" s="2">
        <v>0.54590064287185702</v>
      </c>
      <c r="AN789" s="2">
        <v>0.526414275169373</v>
      </c>
      <c r="AO789" s="2">
        <v>0.204321473836899</v>
      </c>
      <c r="AP789" s="2"/>
    </row>
    <row r="790" spans="1:42" x14ac:dyDescent="0.3">
      <c r="A790" t="s">
        <v>288</v>
      </c>
      <c r="B790" s="3">
        <v>2017</v>
      </c>
      <c r="C790" s="3">
        <v>223.273967</v>
      </c>
      <c r="D790" s="3">
        <v>2428.2800000000002</v>
      </c>
      <c r="E790" t="s">
        <v>289</v>
      </c>
      <c r="G790" s="3">
        <v>1128514.625</v>
      </c>
      <c r="H790" s="3">
        <v>1279650.5</v>
      </c>
      <c r="I790" s="3">
        <v>1173681.125</v>
      </c>
      <c r="J790" s="3">
        <v>1223700.25</v>
      </c>
      <c r="K790" s="3">
        <v>1922800.125</v>
      </c>
      <c r="L790" s="3"/>
      <c r="M790" s="3"/>
      <c r="N790" s="3"/>
      <c r="O790" s="3">
        <v>1047746.4375</v>
      </c>
      <c r="P790" s="3">
        <v>1199093.75</v>
      </c>
      <c r="Q790" s="3"/>
      <c r="R790" s="3"/>
      <c r="S790" s="3">
        <v>0.276923358440399</v>
      </c>
      <c r="T790" s="3">
        <v>0.28724738955497697</v>
      </c>
      <c r="U790" s="3">
        <v>0.27550607919692999</v>
      </c>
      <c r="W790" t="s">
        <v>51</v>
      </c>
      <c r="X790" t="s">
        <v>51</v>
      </c>
      <c r="Y790" t="s">
        <v>52</v>
      </c>
      <c r="Z790" t="s">
        <v>53</v>
      </c>
      <c r="AC790" s="2">
        <v>0.32882268709365597</v>
      </c>
      <c r="AD790" s="2">
        <v>0.83481085300445601</v>
      </c>
      <c r="AE790" s="2">
        <v>0.12350725382566501</v>
      </c>
      <c r="AF790" s="2">
        <v>8.7404087185859694E-2</v>
      </c>
      <c r="AG790" s="2">
        <v>4.0533818304538699E-2</v>
      </c>
      <c r="AH790" s="2">
        <v>-8.6256079375743894E-2</v>
      </c>
      <c r="AI790" s="2">
        <v>0</v>
      </c>
      <c r="AJ790" s="2">
        <v>0.27042732758666699</v>
      </c>
      <c r="AK790" s="2">
        <v>0.36433571697633299</v>
      </c>
      <c r="AL790" s="2">
        <v>0.33896816229604398</v>
      </c>
      <c r="AM790" s="2">
        <v>0.55881822109222401</v>
      </c>
      <c r="AN790" s="2">
        <v>0.55098682641982999</v>
      </c>
      <c r="AO790" s="2">
        <v>0.21385490894317599</v>
      </c>
      <c r="AP790" s="2"/>
    </row>
    <row r="791" spans="1:42" x14ac:dyDescent="0.3">
      <c r="A791" t="s">
        <v>288</v>
      </c>
      <c r="B791" s="3">
        <v>2018</v>
      </c>
      <c r="C791" s="3">
        <v>226.92889199999999</v>
      </c>
      <c r="D791" s="3">
        <v>2431.65</v>
      </c>
      <c r="E791" t="s">
        <v>289</v>
      </c>
      <c r="G791" s="3">
        <v>1158277.625</v>
      </c>
      <c r="H791" s="3">
        <v>1319674.5</v>
      </c>
      <c r="I791" s="3">
        <v>1194681.5</v>
      </c>
      <c r="J791" s="3">
        <v>1256065.5</v>
      </c>
      <c r="K791" s="3">
        <v>1957911.5</v>
      </c>
      <c r="L791" s="3"/>
      <c r="M791" s="3"/>
      <c r="N791" s="3"/>
      <c r="O791" s="3">
        <v>1121138.25</v>
      </c>
      <c r="P791" s="3">
        <v>1288240.625</v>
      </c>
      <c r="Q791" s="3"/>
      <c r="R791" s="3"/>
      <c r="S791" s="3">
        <v>0.25938636064529402</v>
      </c>
      <c r="T791" s="3">
        <v>0.26926997303962702</v>
      </c>
      <c r="U791" s="3">
        <v>0.25611075758933999</v>
      </c>
      <c r="W791" t="s">
        <v>50</v>
      </c>
      <c r="X791" t="s">
        <v>51</v>
      </c>
      <c r="Y791" t="s">
        <v>52</v>
      </c>
      <c r="Z791" t="s">
        <v>53</v>
      </c>
      <c r="AC791" s="2">
        <v>0.31521138253286002</v>
      </c>
      <c r="AD791" s="2">
        <v>0.83286672830581698</v>
      </c>
      <c r="AE791" s="2">
        <v>0.12849400937557201</v>
      </c>
      <c r="AF791" s="2">
        <v>8.9280776679515797E-2</v>
      </c>
      <c r="AG791" s="2">
        <v>3.8434077054262203E-2</v>
      </c>
      <c r="AH791" s="2">
        <v>-8.9075565338134793E-2</v>
      </c>
      <c r="AI791" s="2">
        <v>0</v>
      </c>
      <c r="AJ791" s="2">
        <v>0.25338582851560498</v>
      </c>
      <c r="AK791" s="2">
        <v>0.34020048850315698</v>
      </c>
      <c r="AL791" s="2">
        <v>0.31536304664237902</v>
      </c>
      <c r="AM791" s="2">
        <v>0.57185995578765902</v>
      </c>
      <c r="AN791" s="2">
        <v>0.54756188392639205</v>
      </c>
      <c r="AO791" s="2">
        <v>0.20047247409820601</v>
      </c>
      <c r="AP791" s="2"/>
    </row>
    <row r="792" spans="1:42" x14ac:dyDescent="0.3">
      <c r="A792" t="s">
        <v>288</v>
      </c>
      <c r="B792" s="3">
        <v>2019</v>
      </c>
      <c r="C792" s="3">
        <v>230.80089899999999</v>
      </c>
      <c r="D792" s="3">
        <v>2390.25</v>
      </c>
      <c r="E792" t="s">
        <v>289</v>
      </c>
      <c r="G792" s="3">
        <v>1197573.375</v>
      </c>
      <c r="H792" s="3">
        <v>1345220.125</v>
      </c>
      <c r="I792" s="3">
        <v>1221552</v>
      </c>
      <c r="J792" s="3">
        <v>1279744.25</v>
      </c>
      <c r="K792" s="3">
        <v>2047767.625</v>
      </c>
      <c r="L792" s="3"/>
      <c r="M792" s="3"/>
      <c r="N792" s="3"/>
      <c r="O792" s="3">
        <v>1174034.125</v>
      </c>
      <c r="P792" s="3">
        <v>1319854.875</v>
      </c>
      <c r="Q792" s="3"/>
      <c r="R792" s="3"/>
      <c r="S792" s="3">
        <v>0.230654612183571</v>
      </c>
      <c r="T792" s="3">
        <v>0.23897369205951699</v>
      </c>
      <c r="U792" s="3">
        <v>0.228107124567032</v>
      </c>
      <c r="W792" t="s">
        <v>50</v>
      </c>
      <c r="X792" t="s">
        <v>54</v>
      </c>
      <c r="Y792" t="s">
        <v>52</v>
      </c>
      <c r="Z792" t="s">
        <v>53</v>
      </c>
      <c r="AC792" s="2">
        <v>0.30539190556800699</v>
      </c>
      <c r="AD792" s="2">
        <v>0.84930270910263095</v>
      </c>
      <c r="AE792" s="2">
        <v>0.115372098982334</v>
      </c>
      <c r="AF792" s="2">
        <v>8.64884778857231E-2</v>
      </c>
      <c r="AG792" s="2">
        <v>4.3263085186481497E-2</v>
      </c>
      <c r="AH792" s="2">
        <v>-9.4426393508911105E-2</v>
      </c>
      <c r="AI792" s="2">
        <v>0</v>
      </c>
      <c r="AJ792" s="2">
        <v>0.22527139592968901</v>
      </c>
      <c r="AK792" s="2">
        <v>0.30645013094177798</v>
      </c>
      <c r="AL792" s="2">
        <v>0.28351698909029799</v>
      </c>
      <c r="AM792" s="2">
        <v>0.49513876438140902</v>
      </c>
      <c r="AN792" s="2">
        <v>0.47141960263252303</v>
      </c>
      <c r="AO792" s="2">
        <v>0.180860936641693</v>
      </c>
      <c r="AP792" s="2"/>
    </row>
    <row r="793" spans="1:42" x14ac:dyDescent="0.3">
      <c r="A793" t="s">
        <v>288</v>
      </c>
      <c r="B793" s="3">
        <v>2020</v>
      </c>
      <c r="C793" s="3">
        <v>235.001746</v>
      </c>
      <c r="D793" s="3">
        <v>2328.0500000000002</v>
      </c>
      <c r="E793" t="s">
        <v>289</v>
      </c>
      <c r="G793" s="3">
        <v>1177785.125</v>
      </c>
      <c r="H793" s="3">
        <v>1317565.125</v>
      </c>
      <c r="I793" s="3">
        <v>1218623.125</v>
      </c>
      <c r="J793" s="3">
        <v>1260846.25</v>
      </c>
      <c r="K793" s="3">
        <v>2135964.5</v>
      </c>
      <c r="L793" s="3"/>
      <c r="M793" s="3"/>
      <c r="N793" s="3"/>
      <c r="O793" s="3">
        <v>1155984.125</v>
      </c>
      <c r="P793" s="3">
        <v>1291106.75</v>
      </c>
      <c r="Q793" s="3"/>
      <c r="R793" s="3"/>
      <c r="S793" s="3">
        <v>0.23270921409130099</v>
      </c>
      <c r="T793" s="3">
        <v>0.24105253815650901</v>
      </c>
      <c r="U793" s="3">
        <v>0.232980191707611</v>
      </c>
      <c r="W793" t="s">
        <v>50</v>
      </c>
      <c r="X793" t="s">
        <v>54</v>
      </c>
      <c r="Y793" t="s">
        <v>52</v>
      </c>
      <c r="Z793" t="s">
        <v>53</v>
      </c>
      <c r="AC793" s="2">
        <v>0.29349744653291898</v>
      </c>
      <c r="AD793" s="2">
        <v>0.83738517761230502</v>
      </c>
      <c r="AE793" s="2">
        <v>0.110862009227276</v>
      </c>
      <c r="AF793" s="2">
        <v>9.6737548708915697E-2</v>
      </c>
      <c r="AG793" s="2">
        <v>4.4440697878599202E-2</v>
      </c>
      <c r="AH793" s="2">
        <v>-8.9425370097160298E-2</v>
      </c>
      <c r="AI793" s="2">
        <v>0</v>
      </c>
      <c r="AJ793" s="2">
        <v>0.22679335004727499</v>
      </c>
      <c r="AK793" s="2">
        <v>0.31135348973009702</v>
      </c>
      <c r="AL793" s="2">
        <v>0.28391840294583598</v>
      </c>
      <c r="AM793" s="2">
        <v>0.487476617097855</v>
      </c>
      <c r="AN793" s="2">
        <v>0.45378443598747298</v>
      </c>
      <c r="AO793" s="2">
        <v>0.181209191679955</v>
      </c>
      <c r="AP793" s="2"/>
    </row>
    <row r="794" spans="1:42" x14ac:dyDescent="0.3">
      <c r="A794" t="s">
        <v>290</v>
      </c>
      <c r="B794" s="3">
        <v>2015</v>
      </c>
      <c r="C794" s="3">
        <v>3.960035</v>
      </c>
      <c r="D794" s="3"/>
      <c r="E794" t="s">
        <v>291</v>
      </c>
      <c r="G794" s="3">
        <v>74803.0859375</v>
      </c>
      <c r="H794" s="3">
        <v>116201.15625</v>
      </c>
      <c r="I794" s="3">
        <v>113774.3984375</v>
      </c>
      <c r="J794" s="3">
        <v>112525.1015625</v>
      </c>
      <c r="K794" s="3">
        <v>366273.25</v>
      </c>
      <c r="L794" s="3">
        <v>3.7493717391043901E-3</v>
      </c>
      <c r="M794" s="3">
        <v>0.90140479803085305</v>
      </c>
      <c r="N794" s="3">
        <v>0.898035228252411</v>
      </c>
      <c r="O794" s="3">
        <v>70686.6875</v>
      </c>
      <c r="P794" s="3">
        <v>124641.359375</v>
      </c>
      <c r="Q794" s="3">
        <v>1.19141221046448</v>
      </c>
      <c r="R794" s="3">
        <v>0.31339675188064597</v>
      </c>
      <c r="S794" s="3">
        <v>0.44290876388549799</v>
      </c>
      <c r="T794" s="3">
        <v>0.487960875034332</v>
      </c>
      <c r="U794" s="3">
        <v>0.49337843060493503</v>
      </c>
      <c r="W794" t="s">
        <v>50</v>
      </c>
      <c r="X794" t="s">
        <v>51</v>
      </c>
      <c r="Y794" t="s">
        <v>52</v>
      </c>
      <c r="Z794" t="s">
        <v>53</v>
      </c>
      <c r="AA794" t="s">
        <v>53</v>
      </c>
      <c r="AC794" s="2">
        <v>0.55238352524259104</v>
      </c>
      <c r="AD794" s="2">
        <v>0.54229760169982899</v>
      </c>
      <c r="AE794" s="2">
        <v>0.36790075898170499</v>
      </c>
      <c r="AF794" s="2">
        <v>0.122470416128635</v>
      </c>
      <c r="AG794" s="2">
        <v>0.175550207495689</v>
      </c>
      <c r="AH794" s="2">
        <v>-0.16935700178146401</v>
      </c>
      <c r="AI794" s="2">
        <v>-3.8861997425556197E-2</v>
      </c>
      <c r="AJ794" s="2">
        <v>0.45291738165784201</v>
      </c>
      <c r="AK794" s="2">
        <v>0.569366543345728</v>
      </c>
      <c r="AL794" s="2">
        <v>0.39859070235226701</v>
      </c>
      <c r="AM794" s="2">
        <v>0.57446509599685702</v>
      </c>
      <c r="AN794" s="2">
        <v>0.54439646005630504</v>
      </c>
      <c r="AO794" s="2">
        <v>0.38401749730110202</v>
      </c>
      <c r="AP794" s="2">
        <v>1.35830998420715</v>
      </c>
    </row>
    <row r="795" spans="1:42" x14ac:dyDescent="0.3">
      <c r="A795" t="s">
        <v>290</v>
      </c>
      <c r="B795" s="3">
        <v>2016</v>
      </c>
      <c r="C795" s="3">
        <v>4.0290860000000004</v>
      </c>
      <c r="D795" s="3"/>
      <c r="E795" t="s">
        <v>291</v>
      </c>
      <c r="G795" s="3">
        <v>84192.3125</v>
      </c>
      <c r="H795" s="3">
        <v>127499.296875</v>
      </c>
      <c r="I795" s="3">
        <v>126109.9375</v>
      </c>
      <c r="J795" s="3">
        <v>124425.9140625</v>
      </c>
      <c r="K795" s="3">
        <v>432892.5625</v>
      </c>
      <c r="L795" s="3">
        <v>4.3179905042052304E-3</v>
      </c>
      <c r="M795" s="3">
        <v>0.89590716361999501</v>
      </c>
      <c r="N795" s="3">
        <v>0.88756877183914196</v>
      </c>
      <c r="O795" s="3">
        <v>75996.296875</v>
      </c>
      <c r="P795" s="3">
        <v>130003.90625</v>
      </c>
      <c r="Q795" s="3">
        <v>1.15537369251251</v>
      </c>
      <c r="R795" s="3">
        <v>0.31531125307083102</v>
      </c>
      <c r="S795" s="3">
        <v>0.43033829331397999</v>
      </c>
      <c r="T795" s="3">
        <v>0.47282254695892301</v>
      </c>
      <c r="U795" s="3">
        <v>0.47922191023826599</v>
      </c>
      <c r="W795" t="s">
        <v>50</v>
      </c>
      <c r="X795" t="s">
        <v>51</v>
      </c>
      <c r="Y795" t="s">
        <v>52</v>
      </c>
      <c r="Z795" t="s">
        <v>53</v>
      </c>
      <c r="AA795" t="s">
        <v>53</v>
      </c>
      <c r="AC795" s="2">
        <v>0.55453787646033803</v>
      </c>
      <c r="AD795" s="2">
        <v>0.54138433933258101</v>
      </c>
      <c r="AE795" s="2">
        <v>0.348054379224777</v>
      </c>
      <c r="AF795" s="2">
        <v>0.13526178896427199</v>
      </c>
      <c r="AG795" s="2">
        <v>0.15808883309364299</v>
      </c>
      <c r="AH795" s="2">
        <v>-0.13895373046398199</v>
      </c>
      <c r="AI795" s="2">
        <v>-4.3835651129484197E-2</v>
      </c>
      <c r="AJ795" s="2">
        <v>0.44451707902256399</v>
      </c>
      <c r="AK795" s="2">
        <v>0.55541540021682401</v>
      </c>
      <c r="AL795" s="2">
        <v>0.37358785240750497</v>
      </c>
      <c r="AM795" s="2">
        <v>0.56912726163864102</v>
      </c>
      <c r="AN795" s="2">
        <v>0.53431671857833896</v>
      </c>
      <c r="AO795" s="2">
        <v>0.37143799662589999</v>
      </c>
      <c r="AP795" s="2">
        <v>1.22383344173431</v>
      </c>
    </row>
    <row r="796" spans="1:42" x14ac:dyDescent="0.3">
      <c r="A796" t="s">
        <v>290</v>
      </c>
      <c r="B796" s="3">
        <v>2017</v>
      </c>
      <c r="C796" s="3">
        <v>4.0987070000000001</v>
      </c>
      <c r="D796" s="3"/>
      <c r="E796" t="s">
        <v>291</v>
      </c>
      <c r="G796" s="3">
        <v>90232.5859375</v>
      </c>
      <c r="H796" s="3">
        <v>140857.953125</v>
      </c>
      <c r="I796" s="3">
        <v>139197.4375</v>
      </c>
      <c r="J796" s="3">
        <v>141952.671875</v>
      </c>
      <c r="K796" s="3">
        <v>510951.75</v>
      </c>
      <c r="L796" s="3">
        <v>4.9993954598903699E-3</v>
      </c>
      <c r="M796" s="3">
        <v>0.91949063539505005</v>
      </c>
      <c r="N796" s="3">
        <v>0.87865686416625999</v>
      </c>
      <c r="O796" s="3">
        <v>78472.4296875</v>
      </c>
      <c r="P796" s="3">
        <v>136966.109375</v>
      </c>
      <c r="Q796" s="3">
        <v>1.13239121437073</v>
      </c>
      <c r="R796" s="3">
        <v>0.32047176361084001</v>
      </c>
      <c r="S796" s="3">
        <v>0.42486676573753401</v>
      </c>
      <c r="T796" s="3">
        <v>0.46163824200630199</v>
      </c>
      <c r="U796" s="3">
        <v>0.45267808437347401</v>
      </c>
      <c r="W796" t="s">
        <v>51</v>
      </c>
      <c r="X796" t="s">
        <v>51</v>
      </c>
      <c r="Y796" t="s">
        <v>52</v>
      </c>
      <c r="Z796" t="s">
        <v>53</v>
      </c>
      <c r="AA796" t="s">
        <v>53</v>
      </c>
      <c r="AC796" s="2">
        <v>0.55009888075912405</v>
      </c>
      <c r="AD796" s="2">
        <v>0.49662199616432201</v>
      </c>
      <c r="AE796" s="2">
        <v>0.35663548111915599</v>
      </c>
      <c r="AF796" s="2">
        <v>0.13903062045574199</v>
      </c>
      <c r="AG796" s="2">
        <v>0.12621405720710799</v>
      </c>
      <c r="AH796" s="2">
        <v>-0.28294238448143</v>
      </c>
      <c r="AI796" s="2">
        <v>0.16444018483161901</v>
      </c>
      <c r="AJ796" s="2">
        <v>0.44424205069657002</v>
      </c>
      <c r="AK796" s="2">
        <v>0.527178188887794</v>
      </c>
      <c r="AL796" s="2">
        <v>0.35565761396032602</v>
      </c>
      <c r="AM796" s="2">
        <v>0.59168165922164895</v>
      </c>
      <c r="AN796" s="2">
        <v>0.54610794782638605</v>
      </c>
      <c r="AO796" s="2">
        <v>0.35826721787452698</v>
      </c>
      <c r="AP796" s="2">
        <v>1.0897239446639999</v>
      </c>
    </row>
    <row r="797" spans="1:42" x14ac:dyDescent="0.3">
      <c r="A797" t="s">
        <v>290</v>
      </c>
      <c r="B797" s="3">
        <v>2018</v>
      </c>
      <c r="C797" s="3">
        <v>4.1678600000000001</v>
      </c>
      <c r="D797" s="3"/>
      <c r="E797" t="s">
        <v>291</v>
      </c>
      <c r="G797" s="3">
        <v>88889.8515625</v>
      </c>
      <c r="H797" s="3">
        <v>141146.171875</v>
      </c>
      <c r="I797" s="3">
        <v>139163.984375</v>
      </c>
      <c r="J797" s="3">
        <v>141488.109375</v>
      </c>
      <c r="K797" s="3">
        <v>562311.8125</v>
      </c>
      <c r="L797" s="3">
        <v>5.4344418458640601E-3</v>
      </c>
      <c r="M797" s="3">
        <v>0.838622987270355</v>
      </c>
      <c r="N797" s="3">
        <v>0.80530697107315097</v>
      </c>
      <c r="O797" s="3">
        <v>81781.3359375</v>
      </c>
      <c r="P797" s="3">
        <v>141697.03125</v>
      </c>
      <c r="Q797" s="3">
        <v>1.0854090452194201</v>
      </c>
      <c r="R797" s="3">
        <v>0.32563242316245999</v>
      </c>
      <c r="S797" s="3">
        <v>0.45564156770706199</v>
      </c>
      <c r="T797" s="3">
        <v>0.48356047272682201</v>
      </c>
      <c r="U797" s="3">
        <v>0.47561737895011902</v>
      </c>
      <c r="W797" t="s">
        <v>50</v>
      </c>
      <c r="X797" t="s">
        <v>51</v>
      </c>
      <c r="Y797" t="s">
        <v>52</v>
      </c>
      <c r="Z797" t="s">
        <v>53</v>
      </c>
      <c r="AA797" t="s">
        <v>53</v>
      </c>
      <c r="AC797" s="2">
        <v>0.55742829623245704</v>
      </c>
      <c r="AD797" s="2">
        <v>0.48628056049346902</v>
      </c>
      <c r="AE797" s="2">
        <v>0.36933371424674999</v>
      </c>
      <c r="AF797" s="2">
        <v>0.141969054937363</v>
      </c>
      <c r="AG797" s="2">
        <v>0.132243692874908</v>
      </c>
      <c r="AH797" s="2">
        <v>-0.29749110341072099</v>
      </c>
      <c r="AI797" s="2">
        <v>0.16766408085823101</v>
      </c>
      <c r="AJ797" s="2">
        <v>0.48120431889701598</v>
      </c>
      <c r="AK797" s="2">
        <v>0.53105148074500397</v>
      </c>
      <c r="AL797" s="2">
        <v>0.36808257038235598</v>
      </c>
      <c r="AM797" s="2">
        <v>0.60642957687377896</v>
      </c>
      <c r="AN797" s="2">
        <v>0.56040304899215698</v>
      </c>
      <c r="AO797" s="2">
        <v>0.36382424831390398</v>
      </c>
      <c r="AP797" s="2">
        <v>0.98738181591033902</v>
      </c>
    </row>
    <row r="798" spans="1:42" x14ac:dyDescent="0.3">
      <c r="A798" t="s">
        <v>290</v>
      </c>
      <c r="B798" s="3">
        <v>2019</v>
      </c>
      <c r="C798" s="3">
        <v>4.2347000000000001</v>
      </c>
      <c r="D798" s="3"/>
      <c r="E798" t="s">
        <v>291</v>
      </c>
      <c r="G798" s="3">
        <v>92960.5703125</v>
      </c>
      <c r="H798" s="3">
        <v>145398.65625</v>
      </c>
      <c r="I798" s="3">
        <v>145549.09375</v>
      </c>
      <c r="J798" s="3">
        <v>146851.890625</v>
      </c>
      <c r="K798" s="3">
        <v>636516.5</v>
      </c>
      <c r="L798" s="3">
        <v>6.0006887651979897E-3</v>
      </c>
      <c r="M798" s="3">
        <v>0.79873651266098</v>
      </c>
      <c r="N798" s="3">
        <v>0.76100051403045699</v>
      </c>
      <c r="O798" s="3">
        <v>86690.8515625</v>
      </c>
      <c r="P798" s="3">
        <v>144316.984375</v>
      </c>
      <c r="Q798" s="3">
        <v>1.0520979166030899</v>
      </c>
      <c r="R798" s="3">
        <v>0.33457905054092402</v>
      </c>
      <c r="S798" s="3">
        <v>0.463272094726563</v>
      </c>
      <c r="T798" s="3">
        <v>0.479026019573212</v>
      </c>
      <c r="U798" s="3">
        <v>0.47477629780769398</v>
      </c>
      <c r="W798" t="s">
        <v>50</v>
      </c>
      <c r="X798" t="s">
        <v>54</v>
      </c>
      <c r="Y798" t="s">
        <v>52</v>
      </c>
      <c r="Z798" t="s">
        <v>53</v>
      </c>
      <c r="AA798" t="s">
        <v>53</v>
      </c>
      <c r="AC798" s="2">
        <v>0.58320545177763905</v>
      </c>
      <c r="AD798" s="2">
        <v>0.49072080850601202</v>
      </c>
      <c r="AE798" s="2">
        <v>0.35708147287368802</v>
      </c>
      <c r="AF798" s="2">
        <v>0.14230182766914401</v>
      </c>
      <c r="AG798" s="2">
        <v>0.13040392100810999</v>
      </c>
      <c r="AH798" s="2">
        <v>-0.28293845057487499</v>
      </c>
      <c r="AI798" s="2">
        <v>0.162430375814438</v>
      </c>
      <c r="AJ798" s="2">
        <v>0.48985488542734101</v>
      </c>
      <c r="AK798" s="2">
        <v>0.50695399696090704</v>
      </c>
      <c r="AL798" s="2">
        <v>0.37160268542582597</v>
      </c>
      <c r="AM798" s="2">
        <v>0.58407461643219005</v>
      </c>
      <c r="AN798" s="2">
        <v>0.54002213478088401</v>
      </c>
      <c r="AO798" s="2">
        <v>0.34930169582366899</v>
      </c>
      <c r="AP798" s="2">
        <v>0.87938749790191695</v>
      </c>
    </row>
    <row r="799" spans="1:42" x14ac:dyDescent="0.3">
      <c r="A799" t="s">
        <v>290</v>
      </c>
      <c r="B799" s="3">
        <v>2020</v>
      </c>
      <c r="C799" s="3">
        <v>4.2932610000000002</v>
      </c>
      <c r="D799" s="3"/>
      <c r="E799" t="s">
        <v>291</v>
      </c>
      <c r="G799" s="3">
        <v>85437.265625</v>
      </c>
      <c r="H799" s="3">
        <v>114612.796875</v>
      </c>
      <c r="I799" s="3">
        <v>120406.203125</v>
      </c>
      <c r="J799" s="3">
        <v>120236.484375</v>
      </c>
      <c r="K799" s="3">
        <v>689896.5</v>
      </c>
      <c r="L799" s="3">
        <v>6.1513921245932596E-3</v>
      </c>
      <c r="M799" s="3">
        <v>0.6770378947258</v>
      </c>
      <c r="N799" s="3">
        <v>0.61911779642105103</v>
      </c>
      <c r="O799" s="3">
        <v>81294.2109375</v>
      </c>
      <c r="P799" s="3">
        <v>112836.953125</v>
      </c>
      <c r="Q799" s="3">
        <v>0.90590745210647605</v>
      </c>
      <c r="R799" s="3">
        <v>0.314422607421875</v>
      </c>
      <c r="S799" s="3">
        <v>0.470332682132721</v>
      </c>
      <c r="T799" s="3">
        <v>0.474118411540985</v>
      </c>
      <c r="U799" s="3">
        <v>0.47478768229484603</v>
      </c>
      <c r="W799" t="s">
        <v>50</v>
      </c>
      <c r="X799" t="s">
        <v>54</v>
      </c>
      <c r="Y799" t="s">
        <v>52</v>
      </c>
      <c r="Z799" t="s">
        <v>53</v>
      </c>
      <c r="AA799" t="s">
        <v>53</v>
      </c>
      <c r="AC799" s="2">
        <v>0.59586128863940602</v>
      </c>
      <c r="AD799" s="2">
        <v>0.52233231067657504</v>
      </c>
      <c r="AE799" s="2">
        <v>0.24265122413635301</v>
      </c>
      <c r="AF799" s="2">
        <v>0.18824461102485701</v>
      </c>
      <c r="AG799" s="2">
        <v>0.124054677784443</v>
      </c>
      <c r="AH799" s="2">
        <v>-0.23221951723098799</v>
      </c>
      <c r="AI799" s="2">
        <v>0.15493668615817999</v>
      </c>
      <c r="AJ799" s="2">
        <v>0.50520419414649997</v>
      </c>
      <c r="AK799" s="2">
        <v>0.48520454859470302</v>
      </c>
      <c r="AL799" s="2">
        <v>0.37357288117215698</v>
      </c>
      <c r="AM799" s="2">
        <v>0.55006533861160301</v>
      </c>
      <c r="AN799" s="2">
        <v>0.51225483417510997</v>
      </c>
      <c r="AO799" s="2">
        <v>0.33099961280822798</v>
      </c>
      <c r="AP799" s="2">
        <v>0.75551611185073897</v>
      </c>
    </row>
    <row r="800" spans="1:42" x14ac:dyDescent="0.3">
      <c r="A800" t="s">
        <v>292</v>
      </c>
      <c r="B800" s="3">
        <v>2015</v>
      </c>
      <c r="C800" s="3">
        <v>30.457599999999999</v>
      </c>
      <c r="D800" s="3">
        <v>2133.84</v>
      </c>
      <c r="E800" t="s">
        <v>293</v>
      </c>
      <c r="G800" s="3">
        <v>311405.90625</v>
      </c>
      <c r="H800" s="3">
        <v>401468.625</v>
      </c>
      <c r="I800" s="3">
        <v>391340.28125</v>
      </c>
      <c r="J800" s="3">
        <v>388237.8125</v>
      </c>
      <c r="K800" s="3">
        <v>1341269.5</v>
      </c>
      <c r="L800" s="3">
        <v>1.5665795654058502E-2</v>
      </c>
      <c r="M800" s="3">
        <v>0.480925142765045</v>
      </c>
      <c r="N800" s="3">
        <v>0.47978174686431901</v>
      </c>
      <c r="O800" s="3">
        <v>308520.625</v>
      </c>
      <c r="P800" s="3">
        <v>420151.59375</v>
      </c>
      <c r="Q800" s="3">
        <v>1.06816065311432</v>
      </c>
      <c r="R800" s="3">
        <v>0.46051892638206499</v>
      </c>
      <c r="S800" s="3">
        <v>0.47713756561279302</v>
      </c>
      <c r="T800" s="3">
        <v>0.485007464885712</v>
      </c>
      <c r="U800" s="3">
        <v>0.488883256912231</v>
      </c>
      <c r="W800" t="s">
        <v>50</v>
      </c>
      <c r="X800" t="s">
        <v>51</v>
      </c>
      <c r="Y800" t="s">
        <v>52</v>
      </c>
      <c r="Z800" t="s">
        <v>53</v>
      </c>
      <c r="AA800" t="s">
        <v>53</v>
      </c>
      <c r="AC800" s="2">
        <v>0.574050718530004</v>
      </c>
      <c r="AD800" s="2">
        <v>0.66419500112533603</v>
      </c>
      <c r="AE800" s="2">
        <v>0.23197822272777599</v>
      </c>
      <c r="AF800" s="2">
        <v>0.13790591061115301</v>
      </c>
      <c r="AG800" s="2">
        <v>0.152323603630066</v>
      </c>
      <c r="AH800" s="2">
        <v>-0.18348933756351499</v>
      </c>
      <c r="AI800" s="2">
        <v>-2.9134009964764101E-3</v>
      </c>
      <c r="AJ800" s="2">
        <v>0.480771406162251</v>
      </c>
      <c r="AK800" s="2">
        <v>0.51221892378831302</v>
      </c>
      <c r="AL800" s="2">
        <v>0.459635966052786</v>
      </c>
      <c r="AM800" s="2">
        <v>0.56929773092269897</v>
      </c>
      <c r="AN800" s="2">
        <v>0.53379696607589699</v>
      </c>
      <c r="AO800" s="2">
        <v>0.339956164360046</v>
      </c>
      <c r="AP800" s="2">
        <v>0.87327039241790805</v>
      </c>
    </row>
    <row r="801" spans="1:42" x14ac:dyDescent="0.3">
      <c r="A801" t="s">
        <v>292</v>
      </c>
      <c r="B801" s="3">
        <v>2016</v>
      </c>
      <c r="C801" s="3">
        <v>30.866493999999999</v>
      </c>
      <c r="D801" s="3">
        <v>2139.42</v>
      </c>
      <c r="E801" t="s">
        <v>293</v>
      </c>
      <c r="G801" s="3">
        <v>318525.3125</v>
      </c>
      <c r="H801" s="3">
        <v>404049.1875</v>
      </c>
      <c r="I801" s="3">
        <v>403290.125</v>
      </c>
      <c r="J801" s="3">
        <v>398096.0625</v>
      </c>
      <c r="K801" s="3">
        <v>1442108.375</v>
      </c>
      <c r="L801" s="3">
        <v>1.6319854184985199E-2</v>
      </c>
      <c r="M801" s="3">
        <v>0.47322687506675698</v>
      </c>
      <c r="N801" s="3">
        <v>0.46436336636543302</v>
      </c>
      <c r="O801" s="3">
        <v>320800.6875</v>
      </c>
      <c r="P801" s="3">
        <v>427160.375</v>
      </c>
      <c r="Q801" s="3">
        <v>1.07538378238678</v>
      </c>
      <c r="R801" s="3">
        <v>0.45623189210891701</v>
      </c>
      <c r="S801" s="3">
        <v>0.47092276811599698</v>
      </c>
      <c r="T801" s="3">
        <v>0.475831478834152</v>
      </c>
      <c r="U801" s="3">
        <v>0.48203974962234503</v>
      </c>
      <c r="W801" t="s">
        <v>50</v>
      </c>
      <c r="X801" t="s">
        <v>51</v>
      </c>
      <c r="Y801" t="s">
        <v>52</v>
      </c>
      <c r="Z801" t="s">
        <v>53</v>
      </c>
      <c r="AA801" t="s">
        <v>53</v>
      </c>
      <c r="AC801" s="2">
        <v>0.57101289347446804</v>
      </c>
      <c r="AD801" s="2">
        <v>0.65404146909713801</v>
      </c>
      <c r="AE801" s="2">
        <v>0.21483221650123599</v>
      </c>
      <c r="AF801" s="2">
        <v>0.14608028531074499</v>
      </c>
      <c r="AG801" s="2">
        <v>0.16122408211231201</v>
      </c>
      <c r="AH801" s="2">
        <v>-0.17345045506954199</v>
      </c>
      <c r="AI801" s="2">
        <v>-2.7275381144136199E-3</v>
      </c>
      <c r="AJ801" s="2">
        <v>0.47908480562792599</v>
      </c>
      <c r="AK801" s="2">
        <v>0.49411343465296798</v>
      </c>
      <c r="AL801" s="2">
        <v>0.434379053758711</v>
      </c>
      <c r="AM801" s="2">
        <v>0.56572836637497004</v>
      </c>
      <c r="AN801" s="2">
        <v>0.52350115776062001</v>
      </c>
      <c r="AO801" s="2">
        <v>0.32242134213447599</v>
      </c>
      <c r="AP801" s="2">
        <v>0.82762098312377896</v>
      </c>
    </row>
    <row r="802" spans="1:42" x14ac:dyDescent="0.3">
      <c r="A802" t="s">
        <v>292</v>
      </c>
      <c r="B802" s="3">
        <v>2017</v>
      </c>
      <c r="C802" s="3">
        <v>31.324636999999999</v>
      </c>
      <c r="D802" s="3">
        <v>2139.83</v>
      </c>
      <c r="E802" t="s">
        <v>293</v>
      </c>
      <c r="G802" s="3">
        <v>321161.75</v>
      </c>
      <c r="H802" s="3">
        <v>410056.5</v>
      </c>
      <c r="I802" s="3">
        <v>418110.125</v>
      </c>
      <c r="J802" s="3">
        <v>411379.0625</v>
      </c>
      <c r="K802" s="3">
        <v>1557388.25</v>
      </c>
      <c r="L802" s="3">
        <v>1.7260638996958701E-2</v>
      </c>
      <c r="M802" s="3">
        <v>0.46374002099037198</v>
      </c>
      <c r="N802" s="3">
        <v>0.445154309272766</v>
      </c>
      <c r="O802" s="3">
        <v>329614.96875</v>
      </c>
      <c r="P802" s="3">
        <v>436370.96875</v>
      </c>
      <c r="Q802" s="3">
        <v>1.0667426586151101</v>
      </c>
      <c r="R802" s="3">
        <v>0.448873430490494</v>
      </c>
      <c r="S802" s="3">
        <v>0.50827956199645996</v>
      </c>
      <c r="T802" s="3">
        <v>0.50467079877853405</v>
      </c>
      <c r="U802" s="3">
        <v>0.512928247451782</v>
      </c>
      <c r="W802" t="s">
        <v>51</v>
      </c>
      <c r="X802" t="s">
        <v>51</v>
      </c>
      <c r="Y802" t="s">
        <v>52</v>
      </c>
      <c r="Z802" t="s">
        <v>53</v>
      </c>
      <c r="AA802" t="s">
        <v>53</v>
      </c>
      <c r="AC802" s="2">
        <v>0.57203443880162297</v>
      </c>
      <c r="AD802" s="2">
        <v>0.625346779823303</v>
      </c>
      <c r="AE802" s="2">
        <v>0.21608965098857899</v>
      </c>
      <c r="AF802" s="2">
        <v>0.15534861385822299</v>
      </c>
      <c r="AG802" s="2">
        <v>0.187539532780647</v>
      </c>
      <c r="AH802" s="2">
        <v>-0.182383358478546</v>
      </c>
      <c r="AI802" s="2">
        <v>-1.9412329420447399E-3</v>
      </c>
      <c r="AJ802" s="2">
        <v>0.52617529945665598</v>
      </c>
      <c r="AK802" s="2">
        <v>0.49163275778422499</v>
      </c>
      <c r="AL802" s="2">
        <v>0.43624138144010599</v>
      </c>
      <c r="AM802" s="2">
        <v>0.573403060436249</v>
      </c>
      <c r="AN802" s="2">
        <v>0.52998274564742998</v>
      </c>
      <c r="AO802" s="2">
        <v>0.328205406665802</v>
      </c>
      <c r="AP802" s="2">
        <v>0.84059482812881503</v>
      </c>
    </row>
    <row r="803" spans="1:42" x14ac:dyDescent="0.3">
      <c r="A803" t="s">
        <v>292</v>
      </c>
      <c r="B803" s="3">
        <v>2018</v>
      </c>
      <c r="C803" s="3">
        <v>31.897583999999998</v>
      </c>
      <c r="D803" s="3">
        <v>2138.79</v>
      </c>
      <c r="E803" t="s">
        <v>293</v>
      </c>
      <c r="G803" s="3">
        <v>330831.375</v>
      </c>
      <c r="H803" s="3">
        <v>427836.625</v>
      </c>
      <c r="I803" s="3">
        <v>435469.96875</v>
      </c>
      <c r="J803" s="3">
        <v>428482.625</v>
      </c>
      <c r="K803" s="3">
        <v>1679813.625</v>
      </c>
      <c r="L803" s="3">
        <v>1.7913555726409E-2</v>
      </c>
      <c r="M803" s="3">
        <v>0.46114161610603299</v>
      </c>
      <c r="N803" s="3">
        <v>0.44322568178176902</v>
      </c>
      <c r="O803" s="3">
        <v>341613.375</v>
      </c>
      <c r="P803" s="3">
        <v>453697.40625</v>
      </c>
      <c r="Q803" s="3">
        <v>1.07237017154694</v>
      </c>
      <c r="R803" s="3">
        <v>0.44447287917137102</v>
      </c>
      <c r="S803" s="3">
        <v>0.51765674352645896</v>
      </c>
      <c r="T803" s="3">
        <v>0.51116502285003695</v>
      </c>
      <c r="U803" s="3">
        <v>0.519500732421875</v>
      </c>
      <c r="W803" t="s">
        <v>50</v>
      </c>
      <c r="X803" t="s">
        <v>51</v>
      </c>
      <c r="Y803" t="s">
        <v>52</v>
      </c>
      <c r="Z803" t="s">
        <v>53</v>
      </c>
      <c r="AA803" t="s">
        <v>53</v>
      </c>
      <c r="AC803" s="2">
        <v>0.53123796502712795</v>
      </c>
      <c r="AD803" s="2">
        <v>0.61738759279251099</v>
      </c>
      <c r="AE803" s="2">
        <v>0.226392492651939</v>
      </c>
      <c r="AF803" s="2">
        <v>0.154712289571762</v>
      </c>
      <c r="AG803" s="2">
        <v>0.19045001268386799</v>
      </c>
      <c r="AH803" s="2">
        <v>-0.184581458568573</v>
      </c>
      <c r="AI803" s="2">
        <v>-4.3609114363789602E-3</v>
      </c>
      <c r="AJ803" s="2">
        <v>0.53733715027354001</v>
      </c>
      <c r="AK803" s="2">
        <v>0.48902552369235802</v>
      </c>
      <c r="AL803" s="2">
        <v>0.43912095301040899</v>
      </c>
      <c r="AM803" s="2">
        <v>0.58838832378387496</v>
      </c>
      <c r="AN803" s="2">
        <v>0.54548680782318104</v>
      </c>
      <c r="AO803" s="2">
        <v>0.32586312294006398</v>
      </c>
      <c r="AP803" s="2">
        <v>0.81622248888015803</v>
      </c>
    </row>
    <row r="804" spans="1:42" x14ac:dyDescent="0.3">
      <c r="A804" t="s">
        <v>292</v>
      </c>
      <c r="B804" s="3">
        <v>2019</v>
      </c>
      <c r="C804" s="3">
        <v>32.449303</v>
      </c>
      <c r="D804" s="3">
        <v>2111.94</v>
      </c>
      <c r="E804" t="s">
        <v>293</v>
      </c>
      <c r="G804" s="3">
        <v>349635</v>
      </c>
      <c r="H804" s="3">
        <v>451050.1875</v>
      </c>
      <c r="I804" s="3">
        <v>456226.875</v>
      </c>
      <c r="J804" s="3">
        <v>450548.28125</v>
      </c>
      <c r="K804" s="3">
        <v>1830021.875</v>
      </c>
      <c r="L804" s="3">
        <v>1.88210140913725E-2</v>
      </c>
      <c r="M804" s="3">
        <v>0.4547438621521</v>
      </c>
      <c r="N804" s="3">
        <v>0.43807718157768299</v>
      </c>
      <c r="O804" s="3">
        <v>352894.21875</v>
      </c>
      <c r="P804" s="3">
        <v>465795.03125</v>
      </c>
      <c r="Q804" s="3">
        <v>1.0559623241424601</v>
      </c>
      <c r="R804" s="3">
        <v>0.45470896363258401</v>
      </c>
      <c r="S804" s="3">
        <v>0.50957858562469505</v>
      </c>
      <c r="T804" s="3">
        <v>0.50046557188034102</v>
      </c>
      <c r="U804" s="3">
        <v>0.50677329301834095</v>
      </c>
      <c r="W804" t="s">
        <v>50</v>
      </c>
      <c r="X804" t="s">
        <v>54</v>
      </c>
      <c r="Y804" t="s">
        <v>52</v>
      </c>
      <c r="Z804" t="s">
        <v>53</v>
      </c>
      <c r="AA804" t="s">
        <v>53</v>
      </c>
      <c r="AC804" s="2">
        <v>0.57163845890986398</v>
      </c>
      <c r="AD804" s="2">
        <v>0.61883366107940696</v>
      </c>
      <c r="AE804" s="2">
        <v>0.225092843174934</v>
      </c>
      <c r="AF804" s="2">
        <v>0.15718750655651101</v>
      </c>
      <c r="AG804" s="2">
        <v>0.17959126830100999</v>
      </c>
      <c r="AH804" s="2">
        <v>-0.175605639815331</v>
      </c>
      <c r="AI804" s="2">
        <v>-5.0996812060475401E-3</v>
      </c>
      <c r="AJ804" s="2">
        <v>0.530554259846306</v>
      </c>
      <c r="AK804" s="2">
        <v>0.46904790891472598</v>
      </c>
      <c r="AL804" s="2">
        <v>0.426999267873095</v>
      </c>
      <c r="AM804" s="2">
        <v>0.57012706995010398</v>
      </c>
      <c r="AN804" s="2">
        <v>0.53560495376586903</v>
      </c>
      <c r="AO804" s="2">
        <v>0.31167367100715598</v>
      </c>
      <c r="AP804" s="2">
        <v>0.75241380929946899</v>
      </c>
    </row>
    <row r="805" spans="1:42" x14ac:dyDescent="0.3">
      <c r="A805" t="s">
        <v>292</v>
      </c>
      <c r="B805" s="3">
        <v>2020</v>
      </c>
      <c r="C805" s="3">
        <v>32.838579000000003</v>
      </c>
      <c r="D805" s="3">
        <v>2060.09</v>
      </c>
      <c r="E805" t="s">
        <v>293</v>
      </c>
      <c r="G805" s="3">
        <v>331768.75</v>
      </c>
      <c r="H805" s="3">
        <v>412573.09375</v>
      </c>
      <c r="I805" s="3">
        <v>420036.78125</v>
      </c>
      <c r="J805" s="3">
        <v>412739.34375</v>
      </c>
      <c r="K805" s="3">
        <v>1975340.125</v>
      </c>
      <c r="L805" s="3">
        <v>1.8981147557497E-2</v>
      </c>
      <c r="M805" s="3">
        <v>0.40755957365036</v>
      </c>
      <c r="N805" s="3">
        <v>0.39082235097885099</v>
      </c>
      <c r="O805" s="3">
        <v>329125.5</v>
      </c>
      <c r="P805" s="3">
        <v>417224.78125</v>
      </c>
      <c r="Q805" s="3">
        <v>0.922110736370087</v>
      </c>
      <c r="R805" s="3">
        <v>0.43093290925025901</v>
      </c>
      <c r="S805" s="3">
        <v>0.48585602641105702</v>
      </c>
      <c r="T805" s="3">
        <v>0.47950485348701499</v>
      </c>
      <c r="U805" s="3">
        <v>0.48798274993896501</v>
      </c>
      <c r="W805" t="s">
        <v>50</v>
      </c>
      <c r="X805" t="s">
        <v>54</v>
      </c>
      <c r="Y805" t="s">
        <v>52</v>
      </c>
      <c r="Z805" t="s">
        <v>53</v>
      </c>
      <c r="AA805" t="s">
        <v>53</v>
      </c>
      <c r="AC805" s="2">
        <v>0.56901137484686504</v>
      </c>
      <c r="AD805" s="2">
        <v>0.61876714229583696</v>
      </c>
      <c r="AE805" s="2">
        <v>0.195775717496872</v>
      </c>
      <c r="AF805" s="2">
        <v>0.185054332017899</v>
      </c>
      <c r="AG805" s="2">
        <v>0.163382172584534</v>
      </c>
      <c r="AH805" s="2">
        <v>-0.15940797328949</v>
      </c>
      <c r="AI805" s="2">
        <v>-3.5713650286197701E-3</v>
      </c>
      <c r="AJ805" s="2">
        <v>0.50641326291634803</v>
      </c>
      <c r="AK805" s="2">
        <v>0.45342808689567199</v>
      </c>
      <c r="AL805" s="2">
        <v>0.41711866322567398</v>
      </c>
      <c r="AM805" s="2">
        <v>0.57765531539917003</v>
      </c>
      <c r="AN805" s="2">
        <v>0.52672868967056297</v>
      </c>
      <c r="AO805" s="2">
        <v>0.29612818360328702</v>
      </c>
      <c r="AP805" s="2">
        <v>0.71704483032226596</v>
      </c>
    </row>
    <row r="806" spans="1:42" x14ac:dyDescent="0.3">
      <c r="A806" t="s">
        <v>294</v>
      </c>
      <c r="B806" s="3">
        <v>2015</v>
      </c>
      <c r="C806" s="3">
        <v>105.31299199999999</v>
      </c>
      <c r="D806" s="3">
        <v>2106.0300000000002</v>
      </c>
      <c r="E806" t="s">
        <v>295</v>
      </c>
      <c r="G806" s="3">
        <v>713113.25</v>
      </c>
      <c r="H806" s="3">
        <v>867226.5625</v>
      </c>
      <c r="I806" s="3">
        <v>828095.125</v>
      </c>
      <c r="J806" s="3">
        <v>826550.125</v>
      </c>
      <c r="K806" s="3">
        <v>2432977.75</v>
      </c>
      <c r="L806" s="3">
        <v>2.45178621262312E-2</v>
      </c>
      <c r="M806" s="3">
        <v>0.54906934499740601</v>
      </c>
      <c r="N806" s="3">
        <v>0.555780589580536</v>
      </c>
      <c r="O806" s="3">
        <v>693695</v>
      </c>
      <c r="P806" s="3">
        <v>868327</v>
      </c>
      <c r="Q806" s="3">
        <v>1.0690273046493499</v>
      </c>
      <c r="R806" s="3">
        <v>0.43835687637329102</v>
      </c>
      <c r="S806" s="3">
        <v>0.35832801461219799</v>
      </c>
      <c r="T806" s="3">
        <v>0.37006121873855602</v>
      </c>
      <c r="U806" s="3">
        <v>0.37075296044349698</v>
      </c>
      <c r="W806" t="s">
        <v>50</v>
      </c>
      <c r="X806" t="s">
        <v>51</v>
      </c>
      <c r="Y806" t="s">
        <v>52</v>
      </c>
      <c r="Z806" t="s">
        <v>53</v>
      </c>
      <c r="AA806" t="s">
        <v>53</v>
      </c>
      <c r="AC806" s="2">
        <v>0.50090403191194999</v>
      </c>
      <c r="AD806" s="2">
        <v>0.75769382715225198</v>
      </c>
      <c r="AE806" s="2">
        <v>0.18645368516445199</v>
      </c>
      <c r="AF806" s="2">
        <v>0.105064801871777</v>
      </c>
      <c r="AG806" s="2">
        <v>0.168907046318054</v>
      </c>
      <c r="AH806" s="2">
        <v>-0.21811935305595401</v>
      </c>
      <c r="AI806" s="2">
        <v>1.9829105024626901E-10</v>
      </c>
      <c r="AJ806" s="2">
        <v>0.35462260146894298</v>
      </c>
      <c r="AK806" s="2">
        <v>0.42435304115571298</v>
      </c>
      <c r="AL806" s="2">
        <v>0.38505026087368499</v>
      </c>
      <c r="AM806" s="2">
        <v>0.59722000360488903</v>
      </c>
      <c r="AN806" s="2">
        <v>0.54279690980911299</v>
      </c>
      <c r="AO806" s="2">
        <v>0.25160253047943099</v>
      </c>
      <c r="AP806" s="2">
        <v>0.93789374828338601</v>
      </c>
    </row>
    <row r="807" spans="1:42" x14ac:dyDescent="0.3">
      <c r="A807" t="s">
        <v>294</v>
      </c>
      <c r="B807" s="3">
        <v>2016</v>
      </c>
      <c r="C807" s="3">
        <v>106.735719</v>
      </c>
      <c r="D807" s="3">
        <v>2175.19</v>
      </c>
      <c r="E807" t="s">
        <v>295</v>
      </c>
      <c r="G807" s="3">
        <v>765075.75</v>
      </c>
      <c r="H807" s="3">
        <v>956128.6875</v>
      </c>
      <c r="I807" s="3">
        <v>881793</v>
      </c>
      <c r="J807" s="3">
        <v>891390.375</v>
      </c>
      <c r="K807" s="3">
        <v>2677682.75</v>
      </c>
      <c r="L807" s="3">
        <v>2.6343232020735699E-2</v>
      </c>
      <c r="M807" s="3">
        <v>0.53763067722320601</v>
      </c>
      <c r="N807" s="3">
        <v>0.55753797292709395</v>
      </c>
      <c r="O807" s="3">
        <v>745307.5</v>
      </c>
      <c r="P807" s="3">
        <v>956749.3125</v>
      </c>
      <c r="Q807" s="3">
        <v>1.04629158973694</v>
      </c>
      <c r="R807" s="3">
        <v>0.44088259339332603</v>
      </c>
      <c r="S807" s="3">
        <v>0.34904551506042503</v>
      </c>
      <c r="T807" s="3">
        <v>0.36133989691734297</v>
      </c>
      <c r="U807" s="3">
        <v>0.35744947195053101</v>
      </c>
      <c r="W807" t="s">
        <v>50</v>
      </c>
      <c r="X807" t="s">
        <v>51</v>
      </c>
      <c r="Y807" t="s">
        <v>52</v>
      </c>
      <c r="Z807" t="s">
        <v>53</v>
      </c>
      <c r="AA807" t="s">
        <v>53</v>
      </c>
      <c r="AC807" s="2">
        <v>0.48402388684050202</v>
      </c>
      <c r="AD807" s="2">
        <v>0.75281810760498102</v>
      </c>
      <c r="AE807" s="2">
        <v>0.21433140337467199</v>
      </c>
      <c r="AF807" s="2">
        <v>0.105476699769497</v>
      </c>
      <c r="AG807" s="2">
        <v>0.16142745316028601</v>
      </c>
      <c r="AH807" s="2">
        <v>-0.23405367136001601</v>
      </c>
      <c r="AI807" s="2">
        <v>1.4359960442966701E-10</v>
      </c>
      <c r="AJ807" s="2">
        <v>0.34449544168374302</v>
      </c>
      <c r="AK807" s="2">
        <v>0.41057308334478398</v>
      </c>
      <c r="AL807" s="2">
        <v>0.38152069738557798</v>
      </c>
      <c r="AM807" s="2">
        <v>0.59062135219573997</v>
      </c>
      <c r="AN807" s="2">
        <v>0.53609800338745095</v>
      </c>
      <c r="AO807" s="2">
        <v>0.24141593277454401</v>
      </c>
      <c r="AP807" s="2">
        <v>0.87534618377685602</v>
      </c>
    </row>
    <row r="808" spans="1:42" x14ac:dyDescent="0.3">
      <c r="A808" t="s">
        <v>294</v>
      </c>
      <c r="B808" s="3">
        <v>2017</v>
      </c>
      <c r="C808" s="3">
        <v>108.119693</v>
      </c>
      <c r="D808" s="3">
        <v>2132.94</v>
      </c>
      <c r="E808" t="s">
        <v>295</v>
      </c>
      <c r="G808" s="3">
        <v>796713.6875</v>
      </c>
      <c r="H808" s="3">
        <v>1004841.6875</v>
      </c>
      <c r="I808" s="3">
        <v>921333.875</v>
      </c>
      <c r="J808" s="3">
        <v>935372.875</v>
      </c>
      <c r="K808" s="3">
        <v>2798357.5</v>
      </c>
      <c r="L808" s="3">
        <v>2.73209717124701E-2</v>
      </c>
      <c r="M808" s="3">
        <v>0.55375927686691295</v>
      </c>
      <c r="N808" s="3">
        <v>0.57288593053817805</v>
      </c>
      <c r="O808" s="3">
        <v>790259.625</v>
      </c>
      <c r="P808" s="3">
        <v>1025012.0625</v>
      </c>
      <c r="Q808" s="3">
        <v>1.07917284965515</v>
      </c>
      <c r="R808" s="3">
        <v>0.44041946530342102</v>
      </c>
      <c r="S808" s="3">
        <v>0.34428665041923501</v>
      </c>
      <c r="T808" s="3">
        <v>0.35652732849121099</v>
      </c>
      <c r="U808" s="3">
        <v>0.35117626190185502</v>
      </c>
      <c r="W808" t="s">
        <v>51</v>
      </c>
      <c r="X808" t="s">
        <v>51</v>
      </c>
      <c r="Y808" t="s">
        <v>52</v>
      </c>
      <c r="Z808" t="s">
        <v>53</v>
      </c>
      <c r="AA808" t="s">
        <v>53</v>
      </c>
      <c r="AC808" s="2">
        <v>0.46844267513829702</v>
      </c>
      <c r="AD808" s="2">
        <v>0.74454271793365501</v>
      </c>
      <c r="AE808" s="2">
        <v>0.22250805795192699</v>
      </c>
      <c r="AF808" s="2">
        <v>0.10721781104803101</v>
      </c>
      <c r="AG808" s="2">
        <v>0.170095935463905</v>
      </c>
      <c r="AH808" s="2">
        <v>-0.24436450004577601</v>
      </c>
      <c r="AI808" s="2">
        <v>1.3444736990386699E-10</v>
      </c>
      <c r="AJ808" s="2">
        <v>0.34045704412438499</v>
      </c>
      <c r="AK808" s="2">
        <v>0.40338468967514102</v>
      </c>
      <c r="AL808" s="2">
        <v>0.37088028077921198</v>
      </c>
      <c r="AM808" s="2">
        <v>0.61012995243072499</v>
      </c>
      <c r="AN808" s="2">
        <v>0.55495172739028897</v>
      </c>
      <c r="AO808" s="2">
        <v>0.23903279006481201</v>
      </c>
      <c r="AP808" s="2">
        <v>0.83940166234970104</v>
      </c>
    </row>
    <row r="809" spans="1:42" x14ac:dyDescent="0.3">
      <c r="A809" t="s">
        <v>294</v>
      </c>
      <c r="B809" s="3">
        <v>2018</v>
      </c>
      <c r="C809" s="3">
        <v>109.465287</v>
      </c>
      <c r="D809" s="3">
        <v>2170.86</v>
      </c>
      <c r="E809" t="s">
        <v>295</v>
      </c>
      <c r="G809" s="3">
        <v>841616.1875</v>
      </c>
      <c r="H809" s="3">
        <v>1084604.25</v>
      </c>
      <c r="I809" s="3">
        <v>970683.0625</v>
      </c>
      <c r="J809" s="3">
        <v>990276.25</v>
      </c>
      <c r="K809" s="3">
        <v>3168181.75</v>
      </c>
      <c r="L809" s="3">
        <v>3.01151536405087E-2</v>
      </c>
      <c r="M809" s="3">
        <v>0.53640651702880904</v>
      </c>
      <c r="N809" s="3">
        <v>0.56552928686142001</v>
      </c>
      <c r="O809" s="3">
        <v>843945.25</v>
      </c>
      <c r="P809" s="3">
        <v>1105454.5</v>
      </c>
      <c r="Q809" s="3">
        <v>1.0701973438262899</v>
      </c>
      <c r="R809" s="3">
        <v>0.44126015901565602</v>
      </c>
      <c r="S809" s="3">
        <v>0.34858921170234702</v>
      </c>
      <c r="T809" s="3">
        <v>0.35731732845306402</v>
      </c>
      <c r="U809" s="3">
        <v>0.35024765133857699</v>
      </c>
      <c r="W809" t="s">
        <v>50</v>
      </c>
      <c r="X809" t="s">
        <v>51</v>
      </c>
      <c r="Y809" t="s">
        <v>52</v>
      </c>
      <c r="Z809" t="s">
        <v>53</v>
      </c>
      <c r="AA809" t="s">
        <v>53</v>
      </c>
      <c r="AC809" s="2">
        <v>0.45801405495652597</v>
      </c>
      <c r="AD809" s="2">
        <v>0.732172071933746</v>
      </c>
      <c r="AE809" s="2">
        <v>0.24537405371665999</v>
      </c>
      <c r="AF809" s="2">
        <v>0.117708101868629</v>
      </c>
      <c r="AG809" s="2">
        <v>0.168515890836716</v>
      </c>
      <c r="AH809" s="2">
        <v>-0.26377010345459001</v>
      </c>
      <c r="AI809" s="2">
        <v>1.1836712165980099E-10</v>
      </c>
      <c r="AJ809" s="2">
        <v>0.34702156955677199</v>
      </c>
      <c r="AK809" s="2">
        <v>0.387548169827091</v>
      </c>
      <c r="AL809" s="2">
        <v>0.35834036412868098</v>
      </c>
      <c r="AM809" s="2">
        <v>0.62796711921691895</v>
      </c>
      <c r="AN809" s="2">
        <v>0.55703109502792403</v>
      </c>
      <c r="AO809" s="2">
        <v>0.231260150671005</v>
      </c>
      <c r="AP809" s="2">
        <v>0.76088988780975297</v>
      </c>
    </row>
    <row r="810" spans="1:42" x14ac:dyDescent="0.3">
      <c r="A810" t="s">
        <v>294</v>
      </c>
      <c r="B810" s="3">
        <v>2019</v>
      </c>
      <c r="C810" s="3">
        <v>110.804683</v>
      </c>
      <c r="D810" s="3">
        <v>2169.85</v>
      </c>
      <c r="E810" t="s">
        <v>295</v>
      </c>
      <c r="G810" s="3">
        <v>905582</v>
      </c>
      <c r="H810" s="3">
        <v>1161754.25</v>
      </c>
      <c r="I810" s="3">
        <v>1036577.1875</v>
      </c>
      <c r="J810" s="3">
        <v>1066344.375</v>
      </c>
      <c r="K810" s="3">
        <v>3545403.5</v>
      </c>
      <c r="L810" s="3">
        <v>3.2816141843795797E-2</v>
      </c>
      <c r="M810" s="3">
        <v>0.53467595577240001</v>
      </c>
      <c r="N810" s="3">
        <v>0.560541331768036</v>
      </c>
      <c r="O810" s="3">
        <v>897339.375</v>
      </c>
      <c r="P810" s="3">
        <v>1167822.375</v>
      </c>
      <c r="Q810" s="3">
        <v>1.0688737630844101</v>
      </c>
      <c r="R810" s="3">
        <v>0.43244737386703502</v>
      </c>
      <c r="S810" s="3">
        <v>0.35650047659874001</v>
      </c>
      <c r="T810" s="3">
        <v>0.36352661252021801</v>
      </c>
      <c r="U810" s="3">
        <v>0.35337868332862898</v>
      </c>
      <c r="W810" t="s">
        <v>50</v>
      </c>
      <c r="X810" t="s">
        <v>54</v>
      </c>
      <c r="Y810" t="s">
        <v>52</v>
      </c>
      <c r="Z810" t="s">
        <v>53</v>
      </c>
      <c r="AA810" t="s">
        <v>53</v>
      </c>
      <c r="AC810" s="2">
        <v>0.44933820037586802</v>
      </c>
      <c r="AD810" s="2">
        <v>0.72745358943939198</v>
      </c>
      <c r="AE810" s="2">
        <v>0.24023412168026001</v>
      </c>
      <c r="AF810" s="2">
        <v>0.12178613990545301</v>
      </c>
      <c r="AG810" s="2">
        <v>0.16224615275859799</v>
      </c>
      <c r="AH810" s="2">
        <v>-0.251719951629639</v>
      </c>
      <c r="AI810" s="2">
        <v>1.88647708565526E-10</v>
      </c>
      <c r="AJ810" s="2">
        <v>0.35561853142559302</v>
      </c>
      <c r="AK810" s="2">
        <v>0.38836435698171801</v>
      </c>
      <c r="AL810" s="2">
        <v>0.36176852064153597</v>
      </c>
      <c r="AM810" s="2">
        <v>0.61819154024124201</v>
      </c>
      <c r="AN810" s="2">
        <v>0.56798529624938998</v>
      </c>
      <c r="AO810" s="2">
        <v>0.23302008211612699</v>
      </c>
      <c r="AP810" s="2">
        <v>0.74126386642456099</v>
      </c>
    </row>
    <row r="811" spans="1:42" x14ac:dyDescent="0.3">
      <c r="A811" t="s">
        <v>294</v>
      </c>
      <c r="B811" s="3">
        <v>2020</v>
      </c>
      <c r="C811" s="3">
        <v>112.081264</v>
      </c>
      <c r="D811" s="3">
        <v>1851.51</v>
      </c>
      <c r="E811" t="s">
        <v>295</v>
      </c>
      <c r="G811" s="3">
        <v>860605.3125</v>
      </c>
      <c r="H811" s="3">
        <v>1022755.375</v>
      </c>
      <c r="I811" s="3">
        <v>949070.6875</v>
      </c>
      <c r="J811" s="3">
        <v>959658.875</v>
      </c>
      <c r="K811" s="3">
        <v>3849649</v>
      </c>
      <c r="L811" s="3">
        <v>3.3671118319034597E-2</v>
      </c>
      <c r="M811" s="3">
        <v>0.51513737440109297</v>
      </c>
      <c r="N811" s="3">
        <v>0.52667349576950095</v>
      </c>
      <c r="O811" s="3">
        <v>849986.5625</v>
      </c>
      <c r="P811" s="3">
        <v>1029614.25</v>
      </c>
      <c r="Q811" s="3">
        <v>1.04845714569092</v>
      </c>
      <c r="R811" s="3">
        <v>0.44964712858200101</v>
      </c>
      <c r="S811" s="3">
        <v>0.379699766635895</v>
      </c>
      <c r="T811" s="3">
        <v>0.38116353750228898</v>
      </c>
      <c r="U811" s="3">
        <v>0.37695807218551602</v>
      </c>
      <c r="W811" t="s">
        <v>50</v>
      </c>
      <c r="X811" t="s">
        <v>54</v>
      </c>
      <c r="Y811" t="s">
        <v>52</v>
      </c>
      <c r="Z811" t="s">
        <v>53</v>
      </c>
      <c r="AA811" t="s">
        <v>53</v>
      </c>
      <c r="AC811" s="2">
        <v>0.437771061121702</v>
      </c>
      <c r="AD811" s="2">
        <v>0.74624681472778298</v>
      </c>
      <c r="AE811" s="2">
        <v>0.16896638274192799</v>
      </c>
      <c r="AF811" s="2">
        <v>0.15053573250770599</v>
      </c>
      <c r="AG811" s="2">
        <v>0.150389924645424</v>
      </c>
      <c r="AH811" s="2">
        <v>-0.21613883972167999</v>
      </c>
      <c r="AI811" s="2">
        <v>1.1213487083328E-10</v>
      </c>
      <c r="AJ811" s="2">
        <v>0.37920273855339398</v>
      </c>
      <c r="AK811" s="2">
        <v>0.38893255781401997</v>
      </c>
      <c r="AL811" s="2">
        <v>0.38216362227275402</v>
      </c>
      <c r="AM811" s="2">
        <v>0.63171875476837203</v>
      </c>
      <c r="AN811" s="2">
        <v>0.57495778799056996</v>
      </c>
      <c r="AO811" s="2">
        <v>0.23110772669315299</v>
      </c>
      <c r="AP811" s="2">
        <v>0.702131688594818</v>
      </c>
    </row>
    <row r="812" spans="1:42" x14ac:dyDescent="0.3">
      <c r="A812" t="s">
        <v>296</v>
      </c>
      <c r="B812" s="3">
        <v>2015</v>
      </c>
      <c r="C812" s="3">
        <v>38.266314000000001</v>
      </c>
      <c r="D812" s="3">
        <v>1829.16</v>
      </c>
      <c r="E812" t="s">
        <v>297</v>
      </c>
      <c r="G812" s="3">
        <v>934051.5</v>
      </c>
      <c r="H812" s="3">
        <v>1144633.625</v>
      </c>
      <c r="I812" s="3">
        <v>1168802.75</v>
      </c>
      <c r="J812" s="3">
        <v>1129313.625</v>
      </c>
      <c r="K812" s="3">
        <v>2911821.75</v>
      </c>
      <c r="L812" s="3">
        <v>3.4809727221727399E-2</v>
      </c>
      <c r="M812" s="3">
        <v>0.90212815999984697</v>
      </c>
      <c r="N812" s="3">
        <v>0.882130026817322</v>
      </c>
      <c r="O812" s="3">
        <v>930270.5</v>
      </c>
      <c r="P812" s="3">
        <v>1160759.5</v>
      </c>
      <c r="Q812" s="3">
        <v>0.94296413660049405</v>
      </c>
      <c r="R812" s="3">
        <v>0.56342160701751698</v>
      </c>
      <c r="S812" s="3">
        <v>0.39641061425209001</v>
      </c>
      <c r="T812" s="3">
        <v>0.41072297096252403</v>
      </c>
      <c r="U812" s="3">
        <v>0.425084888935089</v>
      </c>
      <c r="W812" t="s">
        <v>50</v>
      </c>
      <c r="X812" t="s">
        <v>51</v>
      </c>
      <c r="Y812" t="s">
        <v>52</v>
      </c>
      <c r="Z812" t="s">
        <v>53</v>
      </c>
      <c r="AA812" t="s">
        <v>53</v>
      </c>
      <c r="AC812" s="2">
        <v>0.69722834896918695</v>
      </c>
      <c r="AD812" s="2">
        <v>0.60560482740402199</v>
      </c>
      <c r="AE812" s="2">
        <v>0.18646915256977101</v>
      </c>
      <c r="AF812" s="2">
        <v>0.221491798758507</v>
      </c>
      <c r="AG812" s="2">
        <v>0.29206493496894798</v>
      </c>
      <c r="AH812" s="2">
        <v>-0.31638321280479398</v>
      </c>
      <c r="AI812" s="2">
        <v>1.07524860650301E-2</v>
      </c>
      <c r="AJ812" s="2">
        <v>0.41571384644550202</v>
      </c>
      <c r="AK812" s="2">
        <v>0.47420636979333403</v>
      </c>
      <c r="AL812" s="2">
        <v>0.34363158261791699</v>
      </c>
      <c r="AM812" s="2">
        <v>0.58957427740097101</v>
      </c>
      <c r="AN812" s="2">
        <v>0.53092128038406405</v>
      </c>
      <c r="AO812" s="2">
        <v>0.34725931286811801</v>
      </c>
      <c r="AP812" s="2">
        <v>0.80440330505371105</v>
      </c>
    </row>
    <row r="813" spans="1:42" x14ac:dyDescent="0.3">
      <c r="A813" t="s">
        <v>296</v>
      </c>
      <c r="B813" s="3">
        <v>2016</v>
      </c>
      <c r="C813" s="3">
        <v>38.263264999999997</v>
      </c>
      <c r="D813" s="3">
        <v>1831.36</v>
      </c>
      <c r="E813" t="s">
        <v>297</v>
      </c>
      <c r="G813" s="3">
        <v>955650.5625</v>
      </c>
      <c r="H813" s="3">
        <v>1163847.5</v>
      </c>
      <c r="I813" s="3">
        <v>1199187</v>
      </c>
      <c r="J813" s="3">
        <v>1159504.875</v>
      </c>
      <c r="K813" s="3">
        <v>3015224.5</v>
      </c>
      <c r="L813" s="3">
        <v>3.5339724272489603E-2</v>
      </c>
      <c r="M813" s="3">
        <v>0.90334671735763605</v>
      </c>
      <c r="N813" s="3">
        <v>0.87663722038268999</v>
      </c>
      <c r="O813" s="3">
        <v>961443.75</v>
      </c>
      <c r="P813" s="3">
        <v>1187861.375</v>
      </c>
      <c r="Q813" s="3">
        <v>0.94825387001037598</v>
      </c>
      <c r="R813" s="3">
        <v>0.58200067281723</v>
      </c>
      <c r="S813" s="3">
        <v>0.38115161657333402</v>
      </c>
      <c r="T813" s="3">
        <v>0.39465036988258401</v>
      </c>
      <c r="U813" s="3">
        <v>0.40815660357475297</v>
      </c>
      <c r="W813" t="s">
        <v>50</v>
      </c>
      <c r="X813" t="s">
        <v>51</v>
      </c>
      <c r="Y813" t="s">
        <v>52</v>
      </c>
      <c r="Z813" t="s">
        <v>53</v>
      </c>
      <c r="AA813" t="s">
        <v>53</v>
      </c>
      <c r="AC813" s="2">
        <v>0.68901007984509699</v>
      </c>
      <c r="AD813" s="2">
        <v>0.60416293144226096</v>
      </c>
      <c r="AE813" s="2">
        <v>0.17955677211284601</v>
      </c>
      <c r="AF813" s="2">
        <v>0.220025554299355</v>
      </c>
      <c r="AG813" s="2">
        <v>0.29149118065834001</v>
      </c>
      <c r="AH813" s="2">
        <v>-0.30793499946594199</v>
      </c>
      <c r="AI813" s="2">
        <v>1.26986242830753E-2</v>
      </c>
      <c r="AJ813" s="2">
        <v>0.39956265145345599</v>
      </c>
      <c r="AK813" s="2">
        <v>0.45661128882252799</v>
      </c>
      <c r="AL813" s="2">
        <v>0.330597212713789</v>
      </c>
      <c r="AM813" s="2">
        <v>0.58125287294387795</v>
      </c>
      <c r="AN813" s="2">
        <v>0.52798449993133501</v>
      </c>
      <c r="AO813" s="2">
        <v>0.33281376957893399</v>
      </c>
      <c r="AP813" s="2">
        <v>0.72456127405166604</v>
      </c>
    </row>
    <row r="814" spans="1:42" x14ac:dyDescent="0.3">
      <c r="A814" t="s">
        <v>296</v>
      </c>
      <c r="B814" s="3">
        <v>2017</v>
      </c>
      <c r="C814" s="3">
        <v>38.254958999999999</v>
      </c>
      <c r="D814" s="3">
        <v>1811.62</v>
      </c>
      <c r="E814" t="s">
        <v>297</v>
      </c>
      <c r="G814" s="3">
        <v>989096.1875</v>
      </c>
      <c r="H814" s="3">
        <v>1215205.625</v>
      </c>
      <c r="I814" s="3">
        <v>1250458.125</v>
      </c>
      <c r="J814" s="3">
        <v>1208593.25</v>
      </c>
      <c r="K814" s="3">
        <v>3135356.5</v>
      </c>
      <c r="L814" s="3">
        <v>3.6344051361083998E-2</v>
      </c>
      <c r="M814" s="3">
        <v>0.91299927234649703</v>
      </c>
      <c r="N814" s="3">
        <v>0.88404470682144198</v>
      </c>
      <c r="O814" s="3">
        <v>1012344.125</v>
      </c>
      <c r="P814" s="3">
        <v>1251887.875</v>
      </c>
      <c r="Q814" s="3">
        <v>0.97974002361297596</v>
      </c>
      <c r="R814" s="3">
        <v>0.58865797519683805</v>
      </c>
      <c r="S814" s="3">
        <v>0.41277626156806901</v>
      </c>
      <c r="T814" s="3">
        <v>0.42253050208091703</v>
      </c>
      <c r="U814" s="3">
        <v>0.43716666102409402</v>
      </c>
      <c r="W814" t="s">
        <v>51</v>
      </c>
      <c r="X814" t="s">
        <v>51</v>
      </c>
      <c r="Y814" t="s">
        <v>52</v>
      </c>
      <c r="Z814" t="s">
        <v>53</v>
      </c>
      <c r="AA814" t="s">
        <v>53</v>
      </c>
      <c r="AC814" s="2">
        <v>0.68494959094994601</v>
      </c>
      <c r="AD814" s="2">
        <v>0.59778106212616</v>
      </c>
      <c r="AE814" s="2">
        <v>0.18708482384681699</v>
      </c>
      <c r="AF814" s="2">
        <v>0.22060526907444</v>
      </c>
      <c r="AG814" s="2">
        <v>0.30636808276176503</v>
      </c>
      <c r="AH814" s="2">
        <v>-0.33373019099235501</v>
      </c>
      <c r="AI814" s="2">
        <v>2.1890943869948401E-2</v>
      </c>
      <c r="AJ814" s="2">
        <v>0.436638276078055</v>
      </c>
      <c r="AK814" s="2">
        <v>0.46519951443739899</v>
      </c>
      <c r="AL814" s="2">
        <v>0.34811666020719201</v>
      </c>
      <c r="AM814" s="2">
        <v>0.59768646955490101</v>
      </c>
      <c r="AN814" s="2">
        <v>0.54042947292327903</v>
      </c>
      <c r="AO814" s="2">
        <v>0.34280407428741499</v>
      </c>
      <c r="AP814" s="2">
        <v>0.74608856439590499</v>
      </c>
    </row>
    <row r="815" spans="1:42" x14ac:dyDescent="0.3">
      <c r="A815" t="s">
        <v>296</v>
      </c>
      <c r="B815" s="3">
        <v>2018</v>
      </c>
      <c r="C815" s="3">
        <v>38.241070999999998</v>
      </c>
      <c r="D815" s="3">
        <v>1787.33</v>
      </c>
      <c r="E815" t="s">
        <v>297</v>
      </c>
      <c r="G815" s="3">
        <v>1014666.1875</v>
      </c>
      <c r="H815" s="3">
        <v>1272084.875</v>
      </c>
      <c r="I815" s="3">
        <v>1298346.5</v>
      </c>
      <c r="J815" s="3">
        <v>1260855.125</v>
      </c>
      <c r="K815" s="3">
        <v>3240208</v>
      </c>
      <c r="L815" s="3">
        <v>3.6514326930046102E-2</v>
      </c>
      <c r="M815" s="3">
        <v>0.93831753730773904</v>
      </c>
      <c r="N815" s="3">
        <v>0.91126823425293002</v>
      </c>
      <c r="O815" s="3">
        <v>1058369.375</v>
      </c>
      <c r="P815" s="3">
        <v>1334759.125</v>
      </c>
      <c r="Q815" s="3">
        <v>1.0247385501861599</v>
      </c>
      <c r="R815" s="3">
        <v>0.59524124860763605</v>
      </c>
      <c r="S815" s="3">
        <v>0.44850271940231301</v>
      </c>
      <c r="T815" s="3">
        <v>0.45797997713089</v>
      </c>
      <c r="U815" s="3">
        <v>0.47159799933433499</v>
      </c>
      <c r="W815" t="s">
        <v>50</v>
      </c>
      <c r="X815" t="s">
        <v>51</v>
      </c>
      <c r="Y815" t="s">
        <v>52</v>
      </c>
      <c r="Z815" t="s">
        <v>53</v>
      </c>
      <c r="AA815" t="s">
        <v>53</v>
      </c>
      <c r="AC815" s="2">
        <v>0.66568185357388099</v>
      </c>
      <c r="AD815" s="2">
        <v>0.590537309646606</v>
      </c>
      <c r="AE815" s="2">
        <v>0.204162001609802</v>
      </c>
      <c r="AF815" s="2">
        <v>0.21420721709728199</v>
      </c>
      <c r="AG815" s="2">
        <v>0.33462157845497098</v>
      </c>
      <c r="AH815" s="2">
        <v>-0.37365213036537198</v>
      </c>
      <c r="AI815" s="2">
        <v>3.0124008655548099E-2</v>
      </c>
      <c r="AJ815" s="2">
        <v>0.47167819561549901</v>
      </c>
      <c r="AK815" s="2">
        <v>0.49533657054104302</v>
      </c>
      <c r="AL815" s="2">
        <v>0.38461135500108901</v>
      </c>
      <c r="AM815" s="2">
        <v>0.62054800987243697</v>
      </c>
      <c r="AN815" s="2">
        <v>0.56821894645690896</v>
      </c>
      <c r="AO815" s="2">
        <v>0.36675003170967102</v>
      </c>
      <c r="AP815" s="2">
        <v>0.77935570478439298</v>
      </c>
    </row>
    <row r="816" spans="1:42" x14ac:dyDescent="0.3">
      <c r="A816" t="s">
        <v>296</v>
      </c>
      <c r="B816" s="3">
        <v>2019</v>
      </c>
      <c r="C816" s="3">
        <v>38.225884999999998</v>
      </c>
      <c r="D816" s="3">
        <v>1796.51</v>
      </c>
      <c r="E816" t="s">
        <v>297</v>
      </c>
      <c r="G816" s="3">
        <v>1096204.875</v>
      </c>
      <c r="H816" s="3">
        <v>1367068.25</v>
      </c>
      <c r="I816" s="3">
        <v>1418779.25</v>
      </c>
      <c r="J816" s="3">
        <v>1373038</v>
      </c>
      <c r="K816" s="3">
        <v>3470956</v>
      </c>
      <c r="L816" s="3">
        <v>3.7815291434526402E-2</v>
      </c>
      <c r="M816" s="3">
        <v>0.97012901306152299</v>
      </c>
      <c r="N816" s="3">
        <v>0.92947465181350697</v>
      </c>
      <c r="O816" s="3">
        <v>1100592</v>
      </c>
      <c r="P816" s="3">
        <v>1381246.625</v>
      </c>
      <c r="Q816" s="3">
        <v>1.03156626224518</v>
      </c>
      <c r="R816" s="3">
        <v>0.58825939893722501</v>
      </c>
      <c r="S816" s="3">
        <v>0.41590365767478898</v>
      </c>
      <c r="T816" s="3">
        <v>0.42479035258293202</v>
      </c>
      <c r="U816" s="3">
        <v>0.43894174695014998</v>
      </c>
      <c r="W816" t="s">
        <v>50</v>
      </c>
      <c r="X816" t="s">
        <v>54</v>
      </c>
      <c r="Y816" t="s">
        <v>52</v>
      </c>
      <c r="Z816" t="s">
        <v>53</v>
      </c>
      <c r="AA816" t="s">
        <v>53</v>
      </c>
      <c r="AC816" s="2">
        <v>0.655312248787431</v>
      </c>
      <c r="AD816" s="2">
        <v>0.58293038606643699</v>
      </c>
      <c r="AE816" s="2">
        <v>0.19727307558059701</v>
      </c>
      <c r="AF816" s="2">
        <v>0.21544872224330899</v>
      </c>
      <c r="AG816" s="2">
        <v>0.30813959240913402</v>
      </c>
      <c r="AH816" s="2">
        <v>-0.331592977046967</v>
      </c>
      <c r="AI816" s="2">
        <v>2.78012044727802E-2</v>
      </c>
      <c r="AJ816" s="2">
        <v>0.43544957320147498</v>
      </c>
      <c r="AK816" s="2">
        <v>0.46075552268220799</v>
      </c>
      <c r="AL816" s="2">
        <v>0.36301911262408298</v>
      </c>
      <c r="AM816" s="2">
        <v>0.59530258178710904</v>
      </c>
      <c r="AN816" s="2">
        <v>0.54175168275833097</v>
      </c>
      <c r="AO816" s="2">
        <v>0.34275361895561202</v>
      </c>
      <c r="AP816" s="2">
        <v>0.74638348817825295</v>
      </c>
    </row>
    <row r="817" spans="1:42" x14ac:dyDescent="0.3">
      <c r="A817" t="s">
        <v>296</v>
      </c>
      <c r="B817" s="3">
        <v>2020</v>
      </c>
      <c r="C817" s="3">
        <v>38.171011999999997</v>
      </c>
      <c r="D817" s="3">
        <v>1779.21</v>
      </c>
      <c r="E817" t="s">
        <v>297</v>
      </c>
      <c r="G817" s="3">
        <v>1094786.875</v>
      </c>
      <c r="H817" s="3">
        <v>1337664.75</v>
      </c>
      <c r="I817" s="3">
        <v>1417148</v>
      </c>
      <c r="J817" s="3">
        <v>1358636.625</v>
      </c>
      <c r="K817" s="3">
        <v>3583101.75</v>
      </c>
      <c r="L817" s="3">
        <v>3.6959063261747402E-2</v>
      </c>
      <c r="M817" s="3">
        <v>0.942002832889557</v>
      </c>
      <c r="N817" s="3">
        <v>0.88973295688629195</v>
      </c>
      <c r="O817" s="3">
        <v>1085896.5</v>
      </c>
      <c r="P817" s="3">
        <v>1343042.375</v>
      </c>
      <c r="Q817" s="3">
        <v>0.98677521944045998</v>
      </c>
      <c r="R817" s="3">
        <v>0.586686670780182</v>
      </c>
      <c r="S817" s="3">
        <v>0.41814512014388999</v>
      </c>
      <c r="T817" s="3">
        <v>0.42755886912345897</v>
      </c>
      <c r="U817" s="3">
        <v>0.44597229361534102</v>
      </c>
      <c r="W817" t="s">
        <v>50</v>
      </c>
      <c r="X817" t="s">
        <v>54</v>
      </c>
      <c r="Y817" t="s">
        <v>52</v>
      </c>
      <c r="Z817" t="s">
        <v>53</v>
      </c>
      <c r="AA817" t="s">
        <v>53</v>
      </c>
      <c r="AC817" s="2">
        <v>0.63478832389707196</v>
      </c>
      <c r="AD817" s="2">
        <v>0.57926380634307895</v>
      </c>
      <c r="AE817" s="2">
        <v>0.17876586318016099</v>
      </c>
      <c r="AF817" s="2">
        <v>0.22653439640998799</v>
      </c>
      <c r="AG817" s="2">
        <v>0.30646285414695701</v>
      </c>
      <c r="AH817" s="2">
        <v>-0.32197928428649902</v>
      </c>
      <c r="AI817" s="2">
        <v>3.09523902833462E-2</v>
      </c>
      <c r="AJ817" s="2">
        <v>0.43664401180345203</v>
      </c>
      <c r="AK817" s="2">
        <v>0.46999197534444997</v>
      </c>
      <c r="AL817" s="2">
        <v>0.37084222358084001</v>
      </c>
      <c r="AM817" s="2">
        <v>0.60607749223709095</v>
      </c>
      <c r="AN817" s="2">
        <v>0.54205662012100198</v>
      </c>
      <c r="AO817" s="2">
        <v>0.34655886888504001</v>
      </c>
      <c r="AP817" s="2">
        <v>0.80462694168090798</v>
      </c>
    </row>
    <row r="818" spans="1:42" x14ac:dyDescent="0.3">
      <c r="A818" t="s">
        <v>298</v>
      </c>
      <c r="B818" s="3">
        <v>2015</v>
      </c>
      <c r="C818" s="3">
        <v>10.370267</v>
      </c>
      <c r="D818" s="3">
        <v>1731.76</v>
      </c>
      <c r="E818" t="s">
        <v>74</v>
      </c>
      <c r="G818" s="3">
        <v>268087.84375</v>
      </c>
      <c r="H818" s="3">
        <v>336692.875</v>
      </c>
      <c r="I818" s="3">
        <v>339205.25</v>
      </c>
      <c r="J818" s="3">
        <v>320071.21875</v>
      </c>
      <c r="K818" s="3">
        <v>2750434.75</v>
      </c>
      <c r="L818" s="3">
        <v>2.6975123211741399E-2</v>
      </c>
      <c r="M818" s="3">
        <v>0.69133007526397705</v>
      </c>
      <c r="N818" s="3">
        <v>0.70159310102462802</v>
      </c>
      <c r="O818" s="3">
        <v>271507.40625</v>
      </c>
      <c r="P818" s="3">
        <v>344363.875</v>
      </c>
      <c r="Q818" s="3">
        <v>1.00976061820984</v>
      </c>
      <c r="R818" s="3">
        <v>0.58157503604888905</v>
      </c>
      <c r="S818" s="3">
        <v>0.61860913038253795</v>
      </c>
      <c r="T818" s="3">
        <v>0.58677905797958396</v>
      </c>
      <c r="U818" s="3">
        <v>0.62185698747634899</v>
      </c>
      <c r="W818" t="s">
        <v>50</v>
      </c>
      <c r="X818" t="s">
        <v>51</v>
      </c>
      <c r="Y818" t="s">
        <v>52</v>
      </c>
      <c r="Z818" t="s">
        <v>53</v>
      </c>
      <c r="AA818" t="s">
        <v>53</v>
      </c>
      <c r="AC818" s="2">
        <v>0.79714661751222404</v>
      </c>
      <c r="AD818" s="2">
        <v>0.64264589548110995</v>
      </c>
      <c r="AE818" s="2">
        <v>0.214343041181564</v>
      </c>
      <c r="AF818" s="2">
        <v>0.194942235946655</v>
      </c>
      <c r="AG818" s="2">
        <v>0.29398790001869202</v>
      </c>
      <c r="AH818" s="2">
        <v>-0.41293293237686202</v>
      </c>
      <c r="AI818" s="2">
        <v>6.7013882100582095E-2</v>
      </c>
      <c r="AJ818" s="2">
        <v>0.63353044949395598</v>
      </c>
      <c r="AK818" s="2">
        <v>0.46239660087391299</v>
      </c>
      <c r="AL818" s="2">
        <v>0.56941961503884098</v>
      </c>
      <c r="AM818" s="2">
        <v>0.58498132228851296</v>
      </c>
      <c r="AN818" s="2">
        <v>0.50624364614486705</v>
      </c>
      <c r="AO818" s="2">
        <v>0.31161886453628501</v>
      </c>
      <c r="AP818" s="2">
        <v>0.41248983144760099</v>
      </c>
    </row>
    <row r="819" spans="1:42" x14ac:dyDescent="0.3">
      <c r="A819" t="s">
        <v>298</v>
      </c>
      <c r="B819" s="3">
        <v>2016</v>
      </c>
      <c r="C819" s="3">
        <v>10.346372000000001</v>
      </c>
      <c r="D819" s="3">
        <v>1737.48</v>
      </c>
      <c r="E819" t="s">
        <v>74</v>
      </c>
      <c r="G819" s="3">
        <v>272473.90625</v>
      </c>
      <c r="H819" s="3">
        <v>345602.0625</v>
      </c>
      <c r="I819" s="3">
        <v>349756.5625</v>
      </c>
      <c r="J819" s="3">
        <v>331151</v>
      </c>
      <c r="K819" s="3">
        <v>2953506</v>
      </c>
      <c r="L819" s="3">
        <v>2.77603846043348E-2</v>
      </c>
      <c r="M819" s="3">
        <v>0.68725901842117298</v>
      </c>
      <c r="N819" s="3">
        <v>0.69344633817672696</v>
      </c>
      <c r="O819" s="3">
        <v>277109.6875</v>
      </c>
      <c r="P819" s="3">
        <v>351914.90625</v>
      </c>
      <c r="Q819" s="3">
        <v>1.0108437538146999</v>
      </c>
      <c r="R819" s="3">
        <v>0.57742762565612804</v>
      </c>
      <c r="S819" s="3">
        <v>0.62680310010910001</v>
      </c>
      <c r="T819" s="3">
        <v>0.58985435962677002</v>
      </c>
      <c r="U819" s="3">
        <v>0.62299501895904497</v>
      </c>
      <c r="W819" t="s">
        <v>50</v>
      </c>
      <c r="X819" t="s">
        <v>51</v>
      </c>
      <c r="Y819" t="s">
        <v>52</v>
      </c>
      <c r="Z819" t="s">
        <v>53</v>
      </c>
      <c r="AA819" t="s">
        <v>53</v>
      </c>
      <c r="AC819" s="2">
        <v>0.79106850143352403</v>
      </c>
      <c r="AD819" s="2">
        <v>0.632942855358124</v>
      </c>
      <c r="AE819" s="2">
        <v>0.22083021700382199</v>
      </c>
      <c r="AF819" s="2">
        <v>0.189865753054619</v>
      </c>
      <c r="AG819" s="2">
        <v>0.28981941938400302</v>
      </c>
      <c r="AH819" s="2">
        <v>-0.40632027387619002</v>
      </c>
      <c r="AI819" s="2">
        <v>7.2862073779106099E-2</v>
      </c>
      <c r="AJ819" s="2">
        <v>0.64168873186088904</v>
      </c>
      <c r="AK819" s="2">
        <v>0.45218404960540998</v>
      </c>
      <c r="AL819" s="2">
        <v>0.57717998172013996</v>
      </c>
      <c r="AM819" s="2">
        <v>0.57694333791732799</v>
      </c>
      <c r="AN819" s="2">
        <v>0.50502514839172397</v>
      </c>
      <c r="AO819" s="2">
        <v>0.29852628707885698</v>
      </c>
      <c r="AP819" s="2">
        <v>0.40648970007896401</v>
      </c>
    </row>
    <row r="820" spans="1:42" x14ac:dyDescent="0.3">
      <c r="A820" t="s">
        <v>298</v>
      </c>
      <c r="B820" s="3">
        <v>2017</v>
      </c>
      <c r="C820" s="3">
        <v>10.330844000000001</v>
      </c>
      <c r="D820" s="3">
        <v>1727.05</v>
      </c>
      <c r="E820" t="s">
        <v>74</v>
      </c>
      <c r="G820" s="3">
        <v>273964.34375</v>
      </c>
      <c r="H820" s="3">
        <v>355313.375</v>
      </c>
      <c r="I820" s="3">
        <v>359183.8125</v>
      </c>
      <c r="J820" s="3">
        <v>338043.28125</v>
      </c>
      <c r="K820" s="3">
        <v>2890867.5</v>
      </c>
      <c r="L820" s="3">
        <v>2.7160581201314898E-2</v>
      </c>
      <c r="M820" s="3">
        <v>0.68678784370422397</v>
      </c>
      <c r="N820" s="3">
        <v>0.69517844915390004</v>
      </c>
      <c r="O820" s="3">
        <v>281056.25</v>
      </c>
      <c r="P820" s="3">
        <v>362657.6875</v>
      </c>
      <c r="Q820" s="3">
        <v>1.0182024240493801</v>
      </c>
      <c r="R820" s="3">
        <v>0.58399230241775502</v>
      </c>
      <c r="S820" s="3">
        <v>0.65683972835540805</v>
      </c>
      <c r="T820" s="3">
        <v>0.61490237712860096</v>
      </c>
      <c r="U820" s="3">
        <v>0.65335714817047097</v>
      </c>
      <c r="W820" t="s">
        <v>51</v>
      </c>
      <c r="X820" t="s">
        <v>51</v>
      </c>
      <c r="Y820" t="s">
        <v>52</v>
      </c>
      <c r="Z820" t="s">
        <v>53</v>
      </c>
      <c r="AA820" t="s">
        <v>53</v>
      </c>
      <c r="AC820" s="2">
        <v>0.77457273065446097</v>
      </c>
      <c r="AD820" s="2">
        <v>0.62227416038513195</v>
      </c>
      <c r="AE820" s="2">
        <v>0.24064682424068501</v>
      </c>
      <c r="AF820" s="2">
        <v>0.18816745281219499</v>
      </c>
      <c r="AG820" s="2">
        <v>0.307775229215622</v>
      </c>
      <c r="AH820" s="2">
        <v>-0.44493159651756298</v>
      </c>
      <c r="AI820" s="2">
        <v>8.6067944765090901E-2</v>
      </c>
      <c r="AJ820" s="2">
        <v>0.67483353188976603</v>
      </c>
      <c r="AK820" s="2">
        <v>0.473667424490475</v>
      </c>
      <c r="AL820" s="2">
        <v>0.597333790023444</v>
      </c>
      <c r="AM820" s="2">
        <v>0.59703993797302302</v>
      </c>
      <c r="AN820" s="2">
        <v>0.52355659008026101</v>
      </c>
      <c r="AO820" s="2">
        <v>0.32547652721405002</v>
      </c>
      <c r="AP820" s="2">
        <v>0.42206439375877403</v>
      </c>
    </row>
    <row r="821" spans="1:42" x14ac:dyDescent="0.3">
      <c r="A821" t="s">
        <v>298</v>
      </c>
      <c r="B821" s="3">
        <v>2018</v>
      </c>
      <c r="C821" s="3">
        <v>10.325353</v>
      </c>
      <c r="D821" s="3">
        <v>1736.84</v>
      </c>
      <c r="E821" t="s">
        <v>74</v>
      </c>
      <c r="G821" s="3">
        <v>279546.28125</v>
      </c>
      <c r="H821" s="3">
        <v>364866.3125</v>
      </c>
      <c r="I821" s="3">
        <v>367140.625</v>
      </c>
      <c r="J821" s="3">
        <v>340427.0625</v>
      </c>
      <c r="K821" s="3">
        <v>2790891.25</v>
      </c>
      <c r="L821" s="3">
        <v>2.5888212025165599E-2</v>
      </c>
      <c r="M821" s="3">
        <v>0.68646186590194702</v>
      </c>
      <c r="N821" s="3">
        <v>0.70822614431381203</v>
      </c>
      <c r="O821" s="3">
        <v>287039</v>
      </c>
      <c r="P821" s="3">
        <v>374177.46875</v>
      </c>
      <c r="Q821" s="3">
        <v>1.0189286470413199</v>
      </c>
      <c r="R821" s="3">
        <v>0.595328569412231</v>
      </c>
      <c r="S821" s="3">
        <v>0.70022815465927102</v>
      </c>
      <c r="T821" s="3">
        <v>0.65940099954605103</v>
      </c>
      <c r="U821" s="3">
        <v>0.71114474534988403</v>
      </c>
      <c r="W821" t="s">
        <v>50</v>
      </c>
      <c r="X821" t="s">
        <v>51</v>
      </c>
      <c r="Y821" t="s">
        <v>52</v>
      </c>
      <c r="Z821" t="s">
        <v>53</v>
      </c>
      <c r="AA821" t="s">
        <v>53</v>
      </c>
      <c r="AC821" s="2">
        <v>0.77797845610181804</v>
      </c>
      <c r="AD821" s="2">
        <v>0.63341259956359897</v>
      </c>
      <c r="AE821" s="2">
        <v>0.25062650442123402</v>
      </c>
      <c r="AF821" s="2">
        <v>0.18775086104869801</v>
      </c>
      <c r="AG821" s="2">
        <v>0.35193869471549999</v>
      </c>
      <c r="AH821" s="2">
        <v>-0.51870495080947898</v>
      </c>
      <c r="AI821" s="2">
        <v>9.4976231455802904E-2</v>
      </c>
      <c r="AJ821" s="2">
        <v>0.71736339152895201</v>
      </c>
      <c r="AK821" s="2">
        <v>0.52563306482838901</v>
      </c>
      <c r="AL821" s="2">
        <v>0.64241930393718705</v>
      </c>
      <c r="AM821" s="2">
        <v>0.61878174543380704</v>
      </c>
      <c r="AN821" s="2">
        <v>0.54155987501144398</v>
      </c>
      <c r="AO821" s="2">
        <v>0.37278732657432601</v>
      </c>
      <c r="AP821" s="2">
        <v>0.44745385646820102</v>
      </c>
    </row>
    <row r="822" spans="1:42" x14ac:dyDescent="0.3">
      <c r="A822" t="s">
        <v>298</v>
      </c>
      <c r="B822" s="3">
        <v>2019</v>
      </c>
      <c r="C822" s="3">
        <v>10.343213</v>
      </c>
      <c r="D822" s="3">
        <v>1741.3</v>
      </c>
      <c r="E822" t="s">
        <v>74</v>
      </c>
      <c r="G822" s="3">
        <v>299019.34375</v>
      </c>
      <c r="H822" s="3">
        <v>389313.1875</v>
      </c>
      <c r="I822" s="3">
        <v>391408.25</v>
      </c>
      <c r="J822" s="3">
        <v>364713.8125</v>
      </c>
      <c r="K822" s="3">
        <v>2829080.5</v>
      </c>
      <c r="L822" s="3">
        <v>2.5653721764683699E-2</v>
      </c>
      <c r="M822" s="3">
        <v>0.721282958984375</v>
      </c>
      <c r="N822" s="3">
        <v>0.74088817834854104</v>
      </c>
      <c r="O822" s="3">
        <v>296142.8125</v>
      </c>
      <c r="P822" s="3">
        <v>386271.40625</v>
      </c>
      <c r="Q822" s="3">
        <v>1.0285906791687001</v>
      </c>
      <c r="R822" s="3">
        <v>0.60171061754226696</v>
      </c>
      <c r="S822" s="3">
        <v>0.648001968860626</v>
      </c>
      <c r="T822" s="3">
        <v>0.61346679925918601</v>
      </c>
      <c r="U822" s="3">
        <v>0.65836817026138295</v>
      </c>
      <c r="W822" t="s">
        <v>50</v>
      </c>
      <c r="X822" t="s">
        <v>54</v>
      </c>
      <c r="Y822" t="s">
        <v>52</v>
      </c>
      <c r="Z822" t="s">
        <v>53</v>
      </c>
      <c r="AA822" t="s">
        <v>53</v>
      </c>
      <c r="AC822" s="2">
        <v>0.81338031253237397</v>
      </c>
      <c r="AD822" s="2">
        <v>0.63830316066741899</v>
      </c>
      <c r="AE822" s="2">
        <v>0.247574508190155</v>
      </c>
      <c r="AF822" s="2">
        <v>0.18157070875167799</v>
      </c>
      <c r="AG822" s="2">
        <v>0.315146654844284</v>
      </c>
      <c r="AH822" s="2">
        <v>-0.48155790567398099</v>
      </c>
      <c r="AI822" s="2">
        <v>9.8962843418121296E-2</v>
      </c>
      <c r="AJ822" s="2">
        <v>0.65754193362283997</v>
      </c>
      <c r="AK822" s="2">
        <v>0.49909942631966397</v>
      </c>
      <c r="AL822" s="2">
        <v>0.61446459933002595</v>
      </c>
      <c r="AM822" s="2">
        <v>0.58347868919372603</v>
      </c>
      <c r="AN822" s="2">
        <v>0.50982725620269798</v>
      </c>
      <c r="AO822" s="2">
        <v>0.36498519778251698</v>
      </c>
      <c r="AP822" s="2">
        <v>0.424019426107407</v>
      </c>
    </row>
    <row r="823" spans="1:42" x14ac:dyDescent="0.3">
      <c r="A823" t="s">
        <v>298</v>
      </c>
      <c r="B823" s="3">
        <v>2020</v>
      </c>
      <c r="C823" s="3">
        <v>10.370519</v>
      </c>
      <c r="D823" s="3">
        <v>1630.84</v>
      </c>
      <c r="E823" t="s">
        <v>74</v>
      </c>
      <c r="G823" s="3">
        <v>281655.1875</v>
      </c>
      <c r="H823" s="3">
        <v>369421.5625</v>
      </c>
      <c r="I823" s="3">
        <v>362190.03125</v>
      </c>
      <c r="J823" s="3">
        <v>337430.4375</v>
      </c>
      <c r="K823" s="3">
        <v>2907833.75</v>
      </c>
      <c r="L823" s="3">
        <v>2.5209551677107801E-2</v>
      </c>
      <c r="M823" s="3">
        <v>0.69708687067031905</v>
      </c>
      <c r="N823" s="3">
        <v>0.73213028907775901</v>
      </c>
      <c r="O823" s="3">
        <v>280641.5</v>
      </c>
      <c r="P823" s="3">
        <v>366322.5625</v>
      </c>
      <c r="Q823" s="3">
        <v>0.98715287446975697</v>
      </c>
      <c r="R823" s="3">
        <v>0.62270796298980702</v>
      </c>
      <c r="S823" s="3">
        <v>0.67321556806564298</v>
      </c>
      <c r="T823" s="3">
        <v>0.63397318124771096</v>
      </c>
      <c r="U823" s="3">
        <v>0.680492162704468</v>
      </c>
      <c r="W823" t="s">
        <v>50</v>
      </c>
      <c r="X823" t="s">
        <v>54</v>
      </c>
      <c r="Y823" t="s">
        <v>52</v>
      </c>
      <c r="Z823" t="s">
        <v>53</v>
      </c>
      <c r="AA823" t="s">
        <v>53</v>
      </c>
      <c r="AC823" s="2">
        <v>0.827517562246326</v>
      </c>
      <c r="AD823" s="2">
        <v>0.62838810682296797</v>
      </c>
      <c r="AE823" s="2">
        <v>0.26010209321975702</v>
      </c>
      <c r="AF823" s="2">
        <v>0.20631779730319999</v>
      </c>
      <c r="AG823" s="2">
        <v>0.27687481045723</v>
      </c>
      <c r="AH823" s="2">
        <v>-0.45282763242721602</v>
      </c>
      <c r="AI823" s="2">
        <v>8.1144832074642195E-2</v>
      </c>
      <c r="AJ823" s="2">
        <v>0.68976013551619297</v>
      </c>
      <c r="AK823" s="2">
        <v>0.50803863259138005</v>
      </c>
      <c r="AL823" s="2">
        <v>0.62282537748578903</v>
      </c>
      <c r="AM823" s="2">
        <v>0.585854232311249</v>
      </c>
      <c r="AN823" s="2">
        <v>0.51015764474868797</v>
      </c>
      <c r="AO823" s="2">
        <v>0.37789449095726002</v>
      </c>
      <c r="AP823" s="2">
        <v>0.408079564571381</v>
      </c>
    </row>
    <row r="824" spans="1:42" x14ac:dyDescent="0.3">
      <c r="A824" t="s">
        <v>299</v>
      </c>
      <c r="B824" s="3">
        <v>2015</v>
      </c>
      <c r="C824" s="3">
        <v>6.159103</v>
      </c>
      <c r="D824" s="3">
        <v>2178.73</v>
      </c>
      <c r="E824" t="s">
        <v>300</v>
      </c>
      <c r="G824" s="3">
        <v>69747.8515625</v>
      </c>
      <c r="H824" s="3">
        <v>84967.2421875</v>
      </c>
      <c r="I824" s="3">
        <v>87194.40625</v>
      </c>
      <c r="J824" s="3">
        <v>87472.625</v>
      </c>
      <c r="K824" s="3">
        <v>289025.59375</v>
      </c>
      <c r="L824" s="3">
        <v>2.8782666195184001E-3</v>
      </c>
      <c r="M824" s="3">
        <v>0.65599912405014005</v>
      </c>
      <c r="N824" s="3">
        <v>0.61474555730819702</v>
      </c>
      <c r="O824" s="3">
        <v>64094.375</v>
      </c>
      <c r="P824" s="3">
        <v>80785.8984375</v>
      </c>
      <c r="Q824" s="3">
        <v>1.0457130670547501</v>
      </c>
      <c r="R824" s="3">
        <v>0.44635820388793901</v>
      </c>
      <c r="S824" s="3">
        <v>0.392325669527054</v>
      </c>
      <c r="T824" s="3">
        <v>0.41529467701911899</v>
      </c>
      <c r="U824" s="3">
        <v>0.413973808288574</v>
      </c>
      <c r="W824" t="s">
        <v>50</v>
      </c>
      <c r="X824" t="s">
        <v>51</v>
      </c>
      <c r="Y824" t="s">
        <v>52</v>
      </c>
      <c r="Z824" t="s">
        <v>53</v>
      </c>
      <c r="AA824" t="s">
        <v>53</v>
      </c>
      <c r="AC824" s="2">
        <v>0.67085640571616101</v>
      </c>
      <c r="AD824" s="2">
        <v>0.67016768455505404</v>
      </c>
      <c r="AE824" s="2">
        <v>0.173990309238434</v>
      </c>
      <c r="AF824" s="2">
        <v>0.127200067043304</v>
      </c>
      <c r="AG824" s="2">
        <v>0.17713828384876301</v>
      </c>
      <c r="AH824" s="2">
        <v>-0.22826677560806299</v>
      </c>
      <c r="AI824" s="2">
        <v>7.9770423471927601E-2</v>
      </c>
      <c r="AJ824" s="2">
        <v>0.39388021241578097</v>
      </c>
      <c r="AK824" s="2">
        <v>0.52055778627153604</v>
      </c>
      <c r="AL824" s="2">
        <v>0.384135384544255</v>
      </c>
      <c r="AM824" s="2">
        <v>0.53744298219680797</v>
      </c>
      <c r="AN824" s="2">
        <v>0.515408635139465</v>
      </c>
      <c r="AO824" s="2">
        <v>0.33795225620269798</v>
      </c>
      <c r="AP824" s="2">
        <v>0.93060374259948697</v>
      </c>
    </row>
    <row r="825" spans="1:42" x14ac:dyDescent="0.3">
      <c r="A825" t="s">
        <v>299</v>
      </c>
      <c r="B825" s="3">
        <v>2016</v>
      </c>
      <c r="C825" s="3">
        <v>6.2491260000000004</v>
      </c>
      <c r="D825" s="3">
        <v>2153.42</v>
      </c>
      <c r="E825" t="s">
        <v>300</v>
      </c>
      <c r="G825" s="3">
        <v>71470.625</v>
      </c>
      <c r="H825" s="3">
        <v>85257.4609375</v>
      </c>
      <c r="I825" s="3">
        <v>91210.9375</v>
      </c>
      <c r="J825" s="3">
        <v>91495.1015625</v>
      </c>
      <c r="K825" s="3">
        <v>293041.0625</v>
      </c>
      <c r="L825" s="3">
        <v>2.82562570646405E-3</v>
      </c>
      <c r="M825" s="3">
        <v>0.66904354095458995</v>
      </c>
      <c r="N825" s="3">
        <v>0.60274100303649902</v>
      </c>
      <c r="O825" s="3">
        <v>66208.5390625</v>
      </c>
      <c r="P825" s="3">
        <v>81825.3828125</v>
      </c>
      <c r="Q825" s="3">
        <v>1.0495232343673699</v>
      </c>
      <c r="R825" s="3">
        <v>0.45393353700637801</v>
      </c>
      <c r="S825" s="3">
        <v>0.37198463082313499</v>
      </c>
      <c r="T825" s="3">
        <v>0.39567130804061901</v>
      </c>
      <c r="U825" s="3">
        <v>0.394442439079285</v>
      </c>
      <c r="W825" t="s">
        <v>50</v>
      </c>
      <c r="X825" t="s">
        <v>51</v>
      </c>
      <c r="Y825" t="s">
        <v>52</v>
      </c>
      <c r="Z825" t="s">
        <v>53</v>
      </c>
      <c r="AA825" t="s">
        <v>53</v>
      </c>
      <c r="AC825" s="2">
        <v>0.66217820573811603</v>
      </c>
      <c r="AD825" s="2">
        <v>0.65239125490188599</v>
      </c>
      <c r="AE825" s="2">
        <v>0.15068386495113401</v>
      </c>
      <c r="AF825" s="2">
        <v>0.128750264644623</v>
      </c>
      <c r="AG825" s="2">
        <v>0.178328767418861</v>
      </c>
      <c r="AH825" s="2">
        <v>-0.210035905241966</v>
      </c>
      <c r="AI825" s="2">
        <v>9.9881745874881703E-2</v>
      </c>
      <c r="AJ825" s="2">
        <v>0.37669446735326401</v>
      </c>
      <c r="AK825" s="2">
        <v>0.51846262246805297</v>
      </c>
      <c r="AL825" s="2">
        <v>0.34811932673905899</v>
      </c>
      <c r="AM825" s="2">
        <v>0.52102524042129505</v>
      </c>
      <c r="AN825" s="2">
        <v>0.50736826658248901</v>
      </c>
      <c r="AO825" s="2">
        <v>0.33319565653800998</v>
      </c>
      <c r="AP825" s="2">
        <v>0.90276694297790505</v>
      </c>
    </row>
    <row r="826" spans="1:42" x14ac:dyDescent="0.3">
      <c r="A826" t="s">
        <v>299</v>
      </c>
      <c r="B826" s="3">
        <v>2017</v>
      </c>
      <c r="C826" s="3">
        <v>6.33866</v>
      </c>
      <c r="D826" s="3">
        <v>2122.69</v>
      </c>
      <c r="E826" t="s">
        <v>300</v>
      </c>
      <c r="G826" s="3">
        <v>74399.1640625</v>
      </c>
      <c r="H826" s="3">
        <v>89531.4296875</v>
      </c>
      <c r="I826" s="3">
        <v>94500.6875</v>
      </c>
      <c r="J826" s="3">
        <v>95746.1484375</v>
      </c>
      <c r="K826" s="3">
        <v>302227.6875</v>
      </c>
      <c r="L826" s="3">
        <v>2.8967685066163501E-3</v>
      </c>
      <c r="M826" s="3">
        <v>0.67639315128326405</v>
      </c>
      <c r="N826" s="3">
        <v>0.60909855365753196</v>
      </c>
      <c r="O826" s="3">
        <v>69160.734375</v>
      </c>
      <c r="P826" s="3">
        <v>86604.71875</v>
      </c>
      <c r="Q826" s="3">
        <v>1.06203961372375</v>
      </c>
      <c r="R826" s="3">
        <v>0.44210100173950201</v>
      </c>
      <c r="S826" s="3">
        <v>0.38862082362174999</v>
      </c>
      <c r="T826" s="3">
        <v>0.41266503930091902</v>
      </c>
      <c r="U826" s="3">
        <v>0.40729710459709201</v>
      </c>
      <c r="W826" t="s">
        <v>51</v>
      </c>
      <c r="X826" t="s">
        <v>51</v>
      </c>
      <c r="Y826" t="s">
        <v>52</v>
      </c>
      <c r="Z826" t="s">
        <v>53</v>
      </c>
      <c r="AA826" t="s">
        <v>53</v>
      </c>
      <c r="AC826" s="2">
        <v>0.59297077075472104</v>
      </c>
      <c r="AD826" s="2">
        <v>0.64305561780929599</v>
      </c>
      <c r="AE826" s="2">
        <v>0.158045709133148</v>
      </c>
      <c r="AF826" s="2">
        <v>0.13399043679237399</v>
      </c>
      <c r="AG826" s="2">
        <v>0.175571128726006</v>
      </c>
      <c r="AH826" s="2">
        <v>-0.24513976275920901</v>
      </c>
      <c r="AI826" s="2">
        <v>0.13447688519954701</v>
      </c>
      <c r="AJ826" s="2">
        <v>0.39924234066261</v>
      </c>
      <c r="AK826" s="2">
        <v>0.53088046800231903</v>
      </c>
      <c r="AL826" s="2">
        <v>0.33764538431345897</v>
      </c>
      <c r="AM826" s="2">
        <v>0.51634138822555498</v>
      </c>
      <c r="AN826" s="2">
        <v>0.50587159395217896</v>
      </c>
      <c r="AO826" s="2">
        <v>0.34568268060684199</v>
      </c>
      <c r="AP826" s="2">
        <v>0.93706101179122903</v>
      </c>
    </row>
    <row r="827" spans="1:42" x14ac:dyDescent="0.3">
      <c r="A827" t="s">
        <v>299</v>
      </c>
      <c r="B827" s="3">
        <v>2018</v>
      </c>
      <c r="C827" s="3">
        <v>6.4273819999999997</v>
      </c>
      <c r="D827" s="3">
        <v>2062.08</v>
      </c>
      <c r="E827" t="s">
        <v>300</v>
      </c>
      <c r="G827" s="3">
        <v>74669.4140625</v>
      </c>
      <c r="H827" s="3">
        <v>92767.34375</v>
      </c>
      <c r="I827" s="3">
        <v>94311.4375</v>
      </c>
      <c r="J827" s="3">
        <v>94736.8515625</v>
      </c>
      <c r="K827" s="3">
        <v>331505.09375</v>
      </c>
      <c r="L827" s="3">
        <v>3.1149962451309E-3</v>
      </c>
      <c r="M827" s="3">
        <v>0.62888985872268699</v>
      </c>
      <c r="N827" s="3">
        <v>0.59278410673141502</v>
      </c>
      <c r="O827" s="3">
        <v>72029.0390625</v>
      </c>
      <c r="P827" s="3">
        <v>92192.25</v>
      </c>
      <c r="Q827" s="3">
        <v>1.06235539913178</v>
      </c>
      <c r="R827" s="3">
        <v>0.45021146535873402</v>
      </c>
      <c r="S827" s="3">
        <v>0.40716367959976202</v>
      </c>
      <c r="T827" s="3">
        <v>0.42651718854904203</v>
      </c>
      <c r="U827" s="3">
        <v>0.42460191249847401</v>
      </c>
      <c r="W827" t="s">
        <v>50</v>
      </c>
      <c r="X827" t="s">
        <v>51</v>
      </c>
      <c r="Y827" t="s">
        <v>52</v>
      </c>
      <c r="Z827" t="s">
        <v>53</v>
      </c>
      <c r="AA827" t="s">
        <v>53</v>
      </c>
      <c r="AC827" s="2">
        <v>0.54391320818011102</v>
      </c>
      <c r="AD827" s="2">
        <v>0.65091091394424405</v>
      </c>
      <c r="AE827" s="2">
        <v>0.191033706068993</v>
      </c>
      <c r="AF827" s="2">
        <v>0.13726615905761699</v>
      </c>
      <c r="AG827" s="2">
        <v>0.17723244428634599</v>
      </c>
      <c r="AH827" s="2">
        <v>-0.27950930595397999</v>
      </c>
      <c r="AI827" s="2">
        <v>0.12306613475084301</v>
      </c>
      <c r="AJ827" s="2">
        <v>0.41787889329282502</v>
      </c>
      <c r="AK827" s="2">
        <v>0.50636702133135103</v>
      </c>
      <c r="AL827" s="2">
        <v>0.35635246628210998</v>
      </c>
      <c r="AM827" s="2">
        <v>0.53852897882461603</v>
      </c>
      <c r="AN827" s="2">
        <v>0.503551185131073</v>
      </c>
      <c r="AO827" s="2">
        <v>0.32980236411094699</v>
      </c>
      <c r="AP827" s="2">
        <v>0.839469134807587</v>
      </c>
    </row>
    <row r="828" spans="1:42" x14ac:dyDescent="0.3">
      <c r="A828" t="s">
        <v>299</v>
      </c>
      <c r="B828" s="3">
        <v>2019</v>
      </c>
      <c r="C828" s="3">
        <v>6.5150579999999998</v>
      </c>
      <c r="D828" s="3">
        <v>2050.9299999999998</v>
      </c>
      <c r="E828" t="s">
        <v>300</v>
      </c>
      <c r="G828" s="3">
        <v>77442.171875</v>
      </c>
      <c r="H828" s="3">
        <v>95756.96875</v>
      </c>
      <c r="I828" s="3">
        <v>96677.75</v>
      </c>
      <c r="J828" s="3">
        <v>97938.09375</v>
      </c>
      <c r="K828" s="3">
        <v>364996.28125</v>
      </c>
      <c r="L828" s="3">
        <v>3.3200108446180799E-3</v>
      </c>
      <c r="M828" s="3">
        <v>0.60889816284179699</v>
      </c>
      <c r="N828" s="3">
        <v>0.57288032770156905</v>
      </c>
      <c r="O828" s="3">
        <v>73652.9296875</v>
      </c>
      <c r="P828" s="3">
        <v>92352.8984375</v>
      </c>
      <c r="Q828" s="3">
        <v>1.0250341892242401</v>
      </c>
      <c r="R828" s="3">
        <v>0.45390215516090399</v>
      </c>
      <c r="S828" s="3">
        <v>0.37886208295822099</v>
      </c>
      <c r="T828" s="3">
        <v>0.39228609204292297</v>
      </c>
      <c r="U828" s="3">
        <v>0.38723781704902699</v>
      </c>
      <c r="W828" t="s">
        <v>50</v>
      </c>
      <c r="X828" t="s">
        <v>54</v>
      </c>
      <c r="Y828" t="s">
        <v>52</v>
      </c>
      <c r="Z828" t="s">
        <v>53</v>
      </c>
      <c r="AA828" t="s">
        <v>53</v>
      </c>
      <c r="AC828" s="2">
        <v>0.58397151786541501</v>
      </c>
      <c r="AD828" s="2">
        <v>0.656593918800354</v>
      </c>
      <c r="AE828" s="2">
        <v>0.18700383603572801</v>
      </c>
      <c r="AF828" s="2">
        <v>0.13413180410862</v>
      </c>
      <c r="AG828" s="2">
        <v>0.15190833806991599</v>
      </c>
      <c r="AH828" s="2">
        <v>-0.25874862074852001</v>
      </c>
      <c r="AI828" s="2">
        <v>0.129110738635063</v>
      </c>
      <c r="AJ828" s="2">
        <v>0.385802403380406</v>
      </c>
      <c r="AK828" s="2">
        <v>0.44904822052861398</v>
      </c>
      <c r="AL828" s="2">
        <v>0.344888217865636</v>
      </c>
      <c r="AM828" s="2">
        <v>0.514332234859467</v>
      </c>
      <c r="AN828" s="2">
        <v>0.480929225683212</v>
      </c>
      <c r="AO828" s="2">
        <v>0.291975498199463</v>
      </c>
      <c r="AP828" s="2">
        <v>0.70953983068466198</v>
      </c>
    </row>
    <row r="829" spans="1:42" x14ac:dyDescent="0.3">
      <c r="A829" t="s">
        <v>299</v>
      </c>
      <c r="B829" s="3">
        <v>2020</v>
      </c>
      <c r="C829" s="3">
        <v>6.603739</v>
      </c>
      <c r="D829" s="3">
        <v>1855.46</v>
      </c>
      <c r="E829" t="s">
        <v>300</v>
      </c>
      <c r="G829" s="3">
        <v>75549.4921875</v>
      </c>
      <c r="H829" s="3">
        <v>93225.984375</v>
      </c>
      <c r="I829" s="3">
        <v>96889.3984375</v>
      </c>
      <c r="J829" s="3">
        <v>97082.0859375</v>
      </c>
      <c r="K829" s="3">
        <v>404740.9375</v>
      </c>
      <c r="L829" s="3">
        <v>3.4798381384462101E-3</v>
      </c>
      <c r="M829" s="3">
        <v>0.60955417156219505</v>
      </c>
      <c r="N829" s="3">
        <v>0.56153100728988703</v>
      </c>
      <c r="O829" s="3">
        <v>72010.03125</v>
      </c>
      <c r="P829" s="3">
        <v>89791.8828125</v>
      </c>
      <c r="Q829" s="3">
        <v>1.0511112213134799</v>
      </c>
      <c r="R829" s="3">
        <v>0.465960443019867</v>
      </c>
      <c r="S829" s="3">
        <v>0.35726711153984098</v>
      </c>
      <c r="T829" s="3">
        <v>0.36569711565971402</v>
      </c>
      <c r="U829" s="3">
        <v>0.36497133970260598</v>
      </c>
      <c r="W829" t="s">
        <v>50</v>
      </c>
      <c r="X829" t="s">
        <v>54</v>
      </c>
      <c r="Y829" t="s">
        <v>52</v>
      </c>
      <c r="Z829" t="s">
        <v>53</v>
      </c>
      <c r="AA829" t="s">
        <v>53</v>
      </c>
      <c r="AC829" s="2">
        <v>0.57883224640223496</v>
      </c>
      <c r="AD829" s="2">
        <v>0.64479333162307695</v>
      </c>
      <c r="AE829" s="2">
        <v>0.18207775056362199</v>
      </c>
      <c r="AF829" s="2">
        <v>0.133408859372139</v>
      </c>
      <c r="AG829" s="2">
        <v>0.136710494756699</v>
      </c>
      <c r="AH829" s="2">
        <v>-0.21850226819515201</v>
      </c>
      <c r="AI829" s="2">
        <v>0.121511854231358</v>
      </c>
      <c r="AJ829" s="2">
        <v>0.35961499141897102</v>
      </c>
      <c r="AK829" s="2">
        <v>0.40172717982816403</v>
      </c>
      <c r="AL829" s="2">
        <v>0.34591932526708802</v>
      </c>
      <c r="AM829" s="2">
        <v>0.49660500884056102</v>
      </c>
      <c r="AN829" s="2">
        <v>0.45052054524421697</v>
      </c>
      <c r="AO829" s="2">
        <v>0.25725546479225198</v>
      </c>
      <c r="AP829" s="2">
        <v>0.64570951461792003</v>
      </c>
    </row>
    <row r="830" spans="1:42" x14ac:dyDescent="0.3">
      <c r="A830" t="s">
        <v>301</v>
      </c>
      <c r="B830" s="3">
        <v>2015</v>
      </c>
      <c r="C830" s="3">
        <v>4.5215649999999998</v>
      </c>
      <c r="D830" s="3"/>
      <c r="E830" t="s">
        <v>153</v>
      </c>
      <c r="G830" s="3">
        <v>33102.6015625</v>
      </c>
      <c r="H830" s="3">
        <v>39808.984375</v>
      </c>
      <c r="I830" s="3">
        <v>28748.2578125</v>
      </c>
      <c r="J830" s="3">
        <v>30149.46875</v>
      </c>
      <c r="K830" s="3">
        <v>114776.0859375</v>
      </c>
      <c r="L830" s="3"/>
      <c r="M830" s="3"/>
      <c r="N830" s="3"/>
      <c r="O830" s="3">
        <v>33789.62109375</v>
      </c>
      <c r="P830" s="3">
        <v>41348.453125</v>
      </c>
      <c r="Q830" s="3"/>
      <c r="R830" s="3"/>
      <c r="S830" s="3">
        <v>0.47859680652618403</v>
      </c>
      <c r="T830" s="3">
        <v>0.48602595925331099</v>
      </c>
      <c r="U830" s="3">
        <v>0.46343770623207098</v>
      </c>
      <c r="W830" t="s">
        <v>50</v>
      </c>
      <c r="X830" t="s">
        <v>54</v>
      </c>
      <c r="Y830" t="s">
        <v>52</v>
      </c>
      <c r="Z830" t="s">
        <v>53</v>
      </c>
      <c r="AC830" s="2">
        <v>0.45079373370775</v>
      </c>
      <c r="AD830" s="2">
        <v>0.81693518161773704</v>
      </c>
      <c r="AE830" s="2">
        <v>0.222437813878059</v>
      </c>
      <c r="AF830" s="2">
        <v>0.28101456165313698</v>
      </c>
      <c r="AG830" s="2">
        <v>5.6285675615072299E-2</v>
      </c>
      <c r="AH830" s="2">
        <v>-0.29736375808715798</v>
      </c>
      <c r="AI830" s="2">
        <v>-7.9309493303299006E-2</v>
      </c>
      <c r="AJ830" s="2">
        <v>0.50134870758211103</v>
      </c>
      <c r="AK830" s="2">
        <v>0.52269613364268497</v>
      </c>
      <c r="AL830" s="2">
        <v>0.412454978852133</v>
      </c>
      <c r="AM830" s="2">
        <v>0.564419746398926</v>
      </c>
      <c r="AN830" s="2">
        <v>0.58285081386566195</v>
      </c>
      <c r="AO830" s="2">
        <v>0.35555392503738398</v>
      </c>
      <c r="AP830" s="2"/>
    </row>
    <row r="831" spans="1:42" x14ac:dyDescent="0.3">
      <c r="A831" t="s">
        <v>301</v>
      </c>
      <c r="B831" s="3">
        <v>2016</v>
      </c>
      <c r="C831" s="3">
        <v>4.6327389999999999</v>
      </c>
      <c r="D831" s="3"/>
      <c r="E831" t="s">
        <v>153</v>
      </c>
      <c r="G831" s="3">
        <v>35027.11328125</v>
      </c>
      <c r="H831" s="3">
        <v>42348.890625</v>
      </c>
      <c r="I831" s="3">
        <v>30993.537109375</v>
      </c>
      <c r="J831" s="3">
        <v>32528.998046875</v>
      </c>
      <c r="K831" s="3">
        <v>123682.28125</v>
      </c>
      <c r="L831" s="3"/>
      <c r="M831" s="3"/>
      <c r="N831" s="3"/>
      <c r="O831" s="3">
        <v>36582.57421875</v>
      </c>
      <c r="P831" s="3">
        <v>44934.5390625</v>
      </c>
      <c r="Q831" s="3"/>
      <c r="R831" s="3"/>
      <c r="S831" s="3">
        <v>0.489886224269867</v>
      </c>
      <c r="T831" s="3">
        <v>0.49705198407173201</v>
      </c>
      <c r="U831" s="3">
        <v>0.47358974814415</v>
      </c>
      <c r="W831" t="s">
        <v>50</v>
      </c>
      <c r="X831" t="s">
        <v>54</v>
      </c>
      <c r="Y831" t="s">
        <v>52</v>
      </c>
      <c r="Z831" t="s">
        <v>53</v>
      </c>
      <c r="AC831" s="2">
        <v>0.46909124127707602</v>
      </c>
      <c r="AD831" s="2">
        <v>0.81683963537216198</v>
      </c>
      <c r="AE831" s="2">
        <v>0.225084587931633</v>
      </c>
      <c r="AF831" s="2">
        <v>0.25995689630508401</v>
      </c>
      <c r="AG831" s="2">
        <v>4.9504280090331997E-2</v>
      </c>
      <c r="AH831" s="2">
        <v>-0.273040741682053</v>
      </c>
      <c r="AI831" s="2">
        <v>-7.8344665467739105E-2</v>
      </c>
      <c r="AJ831" s="2">
        <v>0.50935277967524895</v>
      </c>
      <c r="AK831" s="2">
        <v>0.53133283004836995</v>
      </c>
      <c r="AL831" s="2">
        <v>0.42871818686183699</v>
      </c>
      <c r="AM831" s="2">
        <v>0.57534915208816495</v>
      </c>
      <c r="AN831" s="2">
        <v>0.603909492492676</v>
      </c>
      <c r="AO831" s="2">
        <v>0.35043302178382901</v>
      </c>
      <c r="AP831" s="2"/>
    </row>
    <row r="832" spans="1:42" x14ac:dyDescent="0.3">
      <c r="A832" t="s">
        <v>301</v>
      </c>
      <c r="B832" s="3">
        <v>2017</v>
      </c>
      <c r="C832" s="3">
        <v>4.7427429999999999</v>
      </c>
      <c r="D832" s="3"/>
      <c r="E832" t="s">
        <v>153</v>
      </c>
      <c r="G832" s="3">
        <v>34283.71875</v>
      </c>
      <c r="H832" s="3">
        <v>42841.58984375</v>
      </c>
      <c r="I832" s="3">
        <v>31271.177734375</v>
      </c>
      <c r="J832" s="3">
        <v>33046.953125</v>
      </c>
      <c r="K832" s="3">
        <v>136428.703125</v>
      </c>
      <c r="L832" s="3"/>
      <c r="M832" s="3"/>
      <c r="N832" s="3"/>
      <c r="O832" s="3">
        <v>35207.06640625</v>
      </c>
      <c r="P832" s="3">
        <v>44183.42578125</v>
      </c>
      <c r="Q832" s="3"/>
      <c r="R832" s="3"/>
      <c r="S832" s="3">
        <v>0.51477783918380704</v>
      </c>
      <c r="T832" s="3">
        <v>0.51574653387069702</v>
      </c>
      <c r="U832" s="3">
        <v>0.488032907247543</v>
      </c>
      <c r="W832" t="s">
        <v>51</v>
      </c>
      <c r="X832" t="s">
        <v>51</v>
      </c>
      <c r="Y832" t="s">
        <v>52</v>
      </c>
      <c r="Z832" t="s">
        <v>53</v>
      </c>
      <c r="AC832" s="2">
        <v>0.45896431023779299</v>
      </c>
      <c r="AD832" s="2">
        <v>0.81872099637985196</v>
      </c>
      <c r="AE832" s="2">
        <v>0.25896093249321001</v>
      </c>
      <c r="AF832" s="2">
        <v>0.218703538179398</v>
      </c>
      <c r="AG832" s="2">
        <v>5.5752132087945903E-2</v>
      </c>
      <c r="AH832" s="2">
        <v>-0.27907001972198497</v>
      </c>
      <c r="AI832" s="2">
        <v>-7.3067590594291701E-2</v>
      </c>
      <c r="AJ832" s="2">
        <v>0.52859535754598197</v>
      </c>
      <c r="AK832" s="2">
        <v>0.51962700055793898</v>
      </c>
      <c r="AL832" s="2">
        <v>0.463051785325228</v>
      </c>
      <c r="AM832" s="2">
        <v>0.57797551155090299</v>
      </c>
      <c r="AN832" s="2">
        <v>0.63474166393279996</v>
      </c>
      <c r="AO832" s="2">
        <v>0.356208086013794</v>
      </c>
      <c r="AP832" s="2"/>
    </row>
    <row r="833" spans="1:42" x14ac:dyDescent="0.3">
      <c r="A833" t="s">
        <v>301</v>
      </c>
      <c r="B833" s="3">
        <v>2018</v>
      </c>
      <c r="C833" s="3">
        <v>4.8505919999999998</v>
      </c>
      <c r="D833" s="3"/>
      <c r="E833" t="s">
        <v>153</v>
      </c>
      <c r="G833" s="3">
        <v>36340.5703125</v>
      </c>
      <c r="H833" s="3">
        <v>44668.38671875</v>
      </c>
      <c r="I833" s="3">
        <v>32087.83984375</v>
      </c>
      <c r="J833" s="3">
        <v>34453.1171875</v>
      </c>
      <c r="K833" s="3">
        <v>134916.921875</v>
      </c>
      <c r="L833" s="3"/>
      <c r="M833" s="3"/>
      <c r="N833" s="3"/>
      <c r="O833" s="3">
        <v>36011.16796875</v>
      </c>
      <c r="P833" s="3">
        <v>45188.7421875</v>
      </c>
      <c r="Q833" s="3"/>
      <c r="R833" s="3"/>
      <c r="S833" s="3">
        <v>0.49662125110626198</v>
      </c>
      <c r="T833" s="3">
        <v>0.50725132226944003</v>
      </c>
      <c r="U833" s="3">
        <v>0.47242751717567399</v>
      </c>
      <c r="W833" t="s">
        <v>50</v>
      </c>
      <c r="X833" t="s">
        <v>54</v>
      </c>
      <c r="Y833" t="s">
        <v>52</v>
      </c>
      <c r="Z833" t="s">
        <v>53</v>
      </c>
      <c r="AC833" s="2">
        <v>0.47813447069345</v>
      </c>
      <c r="AD833" s="2">
        <v>0.81979244947433505</v>
      </c>
      <c r="AE833" s="2">
        <v>0.241714507341385</v>
      </c>
      <c r="AF833" s="2">
        <v>0.234990790486336</v>
      </c>
      <c r="AG833" s="2">
        <v>5.8010697364807101E-2</v>
      </c>
      <c r="AH833" s="2">
        <v>-0.29322135448455799</v>
      </c>
      <c r="AI833" s="2">
        <v>-6.1287038028240197E-2</v>
      </c>
      <c r="AJ833" s="2">
        <v>0.51224658266643897</v>
      </c>
      <c r="AK833" s="2">
        <v>0.55363841617599496</v>
      </c>
      <c r="AL833" s="2">
        <v>0.44211054023468099</v>
      </c>
      <c r="AM833" s="2">
        <v>0.57820749282836903</v>
      </c>
      <c r="AN833" s="2">
        <v>0.64733093976974498</v>
      </c>
      <c r="AO833" s="2">
        <v>0.38533350825309798</v>
      </c>
      <c r="AP833" s="2"/>
    </row>
    <row r="834" spans="1:42" x14ac:dyDescent="0.3">
      <c r="A834" t="s">
        <v>301</v>
      </c>
      <c r="B834" s="3">
        <v>2019</v>
      </c>
      <c r="C834" s="3">
        <v>4.9577679999999997</v>
      </c>
      <c r="D834" s="3"/>
      <c r="E834" t="s">
        <v>153</v>
      </c>
      <c r="G834" s="3">
        <v>38266.58203125</v>
      </c>
      <c r="H834" s="3">
        <v>46651.67578125</v>
      </c>
      <c r="I834" s="3">
        <v>33926.8515625</v>
      </c>
      <c r="J834" s="3">
        <v>40951.6484375</v>
      </c>
      <c r="K834" s="3">
        <v>143225.6875</v>
      </c>
      <c r="L834" s="3"/>
      <c r="M834" s="3"/>
      <c r="N834" s="3"/>
      <c r="O834" s="3">
        <v>36943.8046875</v>
      </c>
      <c r="P834" s="3">
        <v>45942.75390625</v>
      </c>
      <c r="Q834" s="3"/>
      <c r="R834" s="3"/>
      <c r="S834" s="3">
        <v>0.49567270278930697</v>
      </c>
      <c r="T834" s="3">
        <v>0.50501292943954501</v>
      </c>
      <c r="U834" s="3">
        <v>0.418383628129959</v>
      </c>
      <c r="W834" t="s">
        <v>50</v>
      </c>
      <c r="X834" t="s">
        <v>54</v>
      </c>
      <c r="Y834" t="s">
        <v>52</v>
      </c>
      <c r="Z834" t="s">
        <v>53</v>
      </c>
      <c r="AC834" s="2">
        <v>0.47912195413092101</v>
      </c>
      <c r="AD834" s="2">
        <v>0.733601033687592</v>
      </c>
      <c r="AE834" s="2">
        <v>0.20475596189498901</v>
      </c>
      <c r="AF834" s="2">
        <v>0.20083220303058599</v>
      </c>
      <c r="AG834" s="2">
        <v>9.3307539820671095E-2</v>
      </c>
      <c r="AH834" s="2">
        <v>-0.50057345628738403</v>
      </c>
      <c r="AI834" s="2">
        <v>0.26807665824890098</v>
      </c>
      <c r="AJ834" s="2">
        <v>0.51354142134055003</v>
      </c>
      <c r="AK834" s="2">
        <v>0.54763845644208098</v>
      </c>
      <c r="AL834" s="2">
        <v>0.43040170161198499</v>
      </c>
      <c r="AM834" s="2">
        <v>0.57774412631988503</v>
      </c>
      <c r="AN834" s="2">
        <v>0.64523679018020597</v>
      </c>
      <c r="AO834" s="2">
        <v>0.38668203353881803</v>
      </c>
      <c r="AP834" s="2"/>
    </row>
    <row r="835" spans="1:42" x14ac:dyDescent="0.3">
      <c r="A835" t="s">
        <v>301</v>
      </c>
      <c r="B835" s="3">
        <v>2020</v>
      </c>
      <c r="C835" s="3">
        <v>5.0696919999999999</v>
      </c>
      <c r="D835" s="3"/>
      <c r="E835" t="s">
        <v>153</v>
      </c>
      <c r="G835" s="3">
        <v>35816.7109375</v>
      </c>
      <c r="H835" s="3">
        <v>42889.21875</v>
      </c>
      <c r="I835" s="3">
        <v>31431.896484375</v>
      </c>
      <c r="J835" s="3">
        <v>38979.3828125</v>
      </c>
      <c r="K835" s="3">
        <v>155902.203125</v>
      </c>
      <c r="L835" s="3"/>
      <c r="M835" s="3"/>
      <c r="N835" s="3"/>
      <c r="O835" s="3">
        <v>33042.12890625</v>
      </c>
      <c r="P835" s="3">
        <v>40215.78125</v>
      </c>
      <c r="Q835" s="3"/>
      <c r="R835" s="3"/>
      <c r="S835" s="3">
        <v>0.48632046580314597</v>
      </c>
      <c r="T835" s="3">
        <v>0.49413815140724199</v>
      </c>
      <c r="U835" s="3">
        <v>0.39845937490463301</v>
      </c>
      <c r="W835" t="s">
        <v>50</v>
      </c>
      <c r="X835" t="s">
        <v>54</v>
      </c>
      <c r="Y835" t="s">
        <v>52</v>
      </c>
      <c r="Z835" t="s">
        <v>53</v>
      </c>
      <c r="AC835" s="2">
        <v>0.47701114301375802</v>
      </c>
      <c r="AD835" s="2">
        <v>0.67881327867507901</v>
      </c>
      <c r="AE835" s="2">
        <v>0.181442245841026</v>
      </c>
      <c r="AF835" s="2">
        <v>0.24004971981048601</v>
      </c>
      <c r="AG835" s="2">
        <v>8.5492618381977095E-2</v>
      </c>
      <c r="AH835" s="2">
        <v>-0.44352480769157399</v>
      </c>
      <c r="AI835" s="2">
        <v>0.25772696733474698</v>
      </c>
      <c r="AJ835" s="2">
        <v>0.52074621256088705</v>
      </c>
      <c r="AK835" s="2">
        <v>0.53372872982570696</v>
      </c>
      <c r="AL835" s="2">
        <v>0.38897124234954</v>
      </c>
      <c r="AM835" s="2">
        <v>0.59420430660247803</v>
      </c>
      <c r="AN835" s="2">
        <v>0.67355251312255904</v>
      </c>
      <c r="AO835" s="2">
        <v>0.376849144697189</v>
      </c>
      <c r="AP835" s="2"/>
    </row>
    <row r="836" spans="1:42" x14ac:dyDescent="0.3">
      <c r="A836" t="s">
        <v>302</v>
      </c>
      <c r="B836" s="3">
        <v>2015</v>
      </c>
      <c r="C836" s="3">
        <v>2.4273310000000001</v>
      </c>
      <c r="D836" s="3">
        <v>2600.04</v>
      </c>
      <c r="E836" t="s">
        <v>303</v>
      </c>
      <c r="G836" s="3">
        <v>94043.125</v>
      </c>
      <c r="H836" s="3">
        <v>231935.4375</v>
      </c>
      <c r="I836" s="3">
        <v>291432.375</v>
      </c>
      <c r="J836" s="3">
        <v>306889.84375</v>
      </c>
      <c r="K836" s="3">
        <v>1184012</v>
      </c>
      <c r="L836" s="3">
        <v>2.4494038894772498E-2</v>
      </c>
      <c r="M836" s="3">
        <v>0.59798312187194802</v>
      </c>
      <c r="N836" s="3">
        <v>0.43599978089332603</v>
      </c>
      <c r="O836" s="3">
        <v>103326.5546875</v>
      </c>
      <c r="P836" s="3">
        <v>217197.890625</v>
      </c>
      <c r="Q836" s="3">
        <v>1.4118183851242101</v>
      </c>
      <c r="R836" s="3">
        <v>0.17671850323677099</v>
      </c>
      <c r="S836" s="3">
        <v>0.72421211004257202</v>
      </c>
      <c r="T836" s="3">
        <v>0.55498278141021695</v>
      </c>
      <c r="U836" s="3">
        <v>0.52702939510345503</v>
      </c>
      <c r="W836" t="s">
        <v>50</v>
      </c>
      <c r="X836" t="s">
        <v>51</v>
      </c>
      <c r="Y836" t="s">
        <v>52</v>
      </c>
      <c r="Z836" t="s">
        <v>53</v>
      </c>
      <c r="AA836" t="s">
        <v>53</v>
      </c>
      <c r="AC836" s="2">
        <v>0.50402005484916701</v>
      </c>
      <c r="AD836" s="2">
        <v>0.161175146698952</v>
      </c>
      <c r="AE836" s="2">
        <v>0.44932186603546098</v>
      </c>
      <c r="AF836" s="2">
        <v>0.14526420831680301</v>
      </c>
      <c r="AG836" s="2">
        <v>0.514520943164825</v>
      </c>
      <c r="AH836" s="2">
        <v>-0.19398170709609999</v>
      </c>
      <c r="AI836" s="2">
        <v>-7.6300449669361101E-2</v>
      </c>
      <c r="AJ836" s="2">
        <v>0.71551601857745895</v>
      </c>
      <c r="AK836" s="2">
        <v>0.43956767772448602</v>
      </c>
      <c r="AL836" s="2">
        <v>0.73386073640064597</v>
      </c>
      <c r="AM836" s="2">
        <v>0.49379646778106701</v>
      </c>
      <c r="AN836" s="2">
        <v>0.54778945446014404</v>
      </c>
      <c r="AO836" s="2">
        <v>0.29176104068756098</v>
      </c>
      <c r="AP836" s="2">
        <v>0.72631877660751298</v>
      </c>
    </row>
    <row r="837" spans="1:42" x14ac:dyDescent="0.3">
      <c r="A837" t="s">
        <v>302</v>
      </c>
      <c r="B837" s="3">
        <v>2016</v>
      </c>
      <c r="C837" s="3">
        <v>2.5993719999999998</v>
      </c>
      <c r="D837" s="3">
        <v>2600</v>
      </c>
      <c r="E837" t="s">
        <v>303</v>
      </c>
      <c r="G837" s="3">
        <v>91198.5234375</v>
      </c>
      <c r="H837" s="3">
        <v>266258.34375</v>
      </c>
      <c r="I837" s="3">
        <v>282892.6875</v>
      </c>
      <c r="J837" s="3">
        <v>296257.96875</v>
      </c>
      <c r="K837" s="3">
        <v>1403148.375</v>
      </c>
      <c r="L837" s="3">
        <v>2.7950156480073901E-2</v>
      </c>
      <c r="M837" s="3">
        <v>0.51273214817047097</v>
      </c>
      <c r="N837" s="3">
        <v>0.44551825523376498</v>
      </c>
      <c r="O837" s="3">
        <v>100016.640625</v>
      </c>
      <c r="P837" s="3">
        <v>236230.9375</v>
      </c>
      <c r="Q837" s="3">
        <v>1.3166069984436</v>
      </c>
      <c r="R837" s="3">
        <v>0.17671850323677099</v>
      </c>
      <c r="S837" s="3">
        <v>0.74258893728256203</v>
      </c>
      <c r="T837" s="3">
        <v>0.53635954856872603</v>
      </c>
      <c r="U837" s="3">
        <v>0.51216238737106301</v>
      </c>
      <c r="W837" t="s">
        <v>50</v>
      </c>
      <c r="X837" t="s">
        <v>51</v>
      </c>
      <c r="Y837" t="s">
        <v>52</v>
      </c>
      <c r="Z837" t="s">
        <v>53</v>
      </c>
      <c r="AA837" t="s">
        <v>53</v>
      </c>
      <c r="AC837" s="2">
        <v>0.49746281280041599</v>
      </c>
      <c r="AD837" s="2">
        <v>0.177599906921387</v>
      </c>
      <c r="AE837" s="2">
        <v>0.59090334177017201</v>
      </c>
      <c r="AF837" s="2">
        <v>0.13023494184017201</v>
      </c>
      <c r="AG837" s="2">
        <v>0.40976184606552102</v>
      </c>
      <c r="AH837" s="2">
        <v>-0.20089843869209301</v>
      </c>
      <c r="AI837" s="2">
        <v>-0.107601560652256</v>
      </c>
      <c r="AJ837" s="2">
        <v>0.72353148561241298</v>
      </c>
      <c r="AK837" s="2">
        <v>0.42892300403589401</v>
      </c>
      <c r="AL837" s="2">
        <v>0.76857740605866898</v>
      </c>
      <c r="AM837" s="2">
        <v>0.47208315134048501</v>
      </c>
      <c r="AN837" s="2">
        <v>0.53866326808929399</v>
      </c>
      <c r="AO837" s="2">
        <v>0.28006088733673101</v>
      </c>
      <c r="AP837" s="2">
        <v>0.578502297401428</v>
      </c>
    </row>
    <row r="838" spans="1:42" x14ac:dyDescent="0.3">
      <c r="A838" t="s">
        <v>302</v>
      </c>
      <c r="B838" s="3">
        <v>2017</v>
      </c>
      <c r="C838" s="3">
        <v>2.706709</v>
      </c>
      <c r="D838" s="3">
        <v>2548.0100000000002</v>
      </c>
      <c r="E838" t="s">
        <v>303</v>
      </c>
      <c r="G838" s="3">
        <v>100774.484375</v>
      </c>
      <c r="H838" s="3">
        <v>262398.59375</v>
      </c>
      <c r="I838" s="3">
        <v>306126.5</v>
      </c>
      <c r="J838" s="3">
        <v>319577.09375</v>
      </c>
      <c r="K838" s="3">
        <v>1528619.5</v>
      </c>
      <c r="L838" s="3">
        <v>2.8867704793810799E-2</v>
      </c>
      <c r="M838" s="3">
        <v>0.53486108779907204</v>
      </c>
      <c r="N838" s="3">
        <v>0.42292317748069802</v>
      </c>
      <c r="O838" s="3">
        <v>97644.71875</v>
      </c>
      <c r="P838" s="3">
        <v>224486.78125</v>
      </c>
      <c r="Q838" s="3">
        <v>1.21957695484161</v>
      </c>
      <c r="R838" s="3">
        <v>0.17671850323677099</v>
      </c>
      <c r="S838" s="3">
        <v>0.67633914947509799</v>
      </c>
      <c r="T838" s="3">
        <v>0.52625018358230602</v>
      </c>
      <c r="U838" s="3">
        <v>0.50410097837448098</v>
      </c>
      <c r="W838" t="s">
        <v>51</v>
      </c>
      <c r="X838" t="s">
        <v>51</v>
      </c>
      <c r="Y838" t="s">
        <v>52</v>
      </c>
      <c r="Z838" t="s">
        <v>53</v>
      </c>
      <c r="AA838" t="s">
        <v>53</v>
      </c>
      <c r="AC838" s="2">
        <v>0.49903356785633901</v>
      </c>
      <c r="AD838" s="2">
        <v>0.173125490546227</v>
      </c>
      <c r="AE838" s="2">
        <v>0.50574374198913596</v>
      </c>
      <c r="AF838" s="2">
        <v>0.14221152663230899</v>
      </c>
      <c r="AG838" s="2">
        <v>0.44016873836517301</v>
      </c>
      <c r="AH838" s="2">
        <v>-0.17068447172641801</v>
      </c>
      <c r="AI838" s="2">
        <v>-9.0564988553524003E-2</v>
      </c>
      <c r="AJ838" s="2">
        <v>0.71910483302943695</v>
      </c>
      <c r="AK838" s="2">
        <v>0.432668001809561</v>
      </c>
      <c r="AL838" s="2">
        <v>0.62427704336474099</v>
      </c>
      <c r="AM838" s="2">
        <v>0.479840368032455</v>
      </c>
      <c r="AN838" s="2">
        <v>0.54808592796325695</v>
      </c>
      <c r="AO838" s="2">
        <v>0.282469421625137</v>
      </c>
      <c r="AP838" s="2">
        <v>0.57322180271148704</v>
      </c>
    </row>
    <row r="839" spans="1:42" x14ac:dyDescent="0.3">
      <c r="A839" t="s">
        <v>302</v>
      </c>
      <c r="B839" s="3">
        <v>2018</v>
      </c>
      <c r="C839" s="3">
        <v>2.761142</v>
      </c>
      <c r="D839" s="3">
        <v>2522.06</v>
      </c>
      <c r="E839" t="s">
        <v>303</v>
      </c>
      <c r="G839" s="3">
        <v>100142.546875</v>
      </c>
      <c r="H839" s="3">
        <v>246886.5</v>
      </c>
      <c r="I839" s="3">
        <v>308782.90625</v>
      </c>
      <c r="J839" s="3">
        <v>329054.9375</v>
      </c>
      <c r="K839" s="3">
        <v>1418855.25</v>
      </c>
      <c r="L839" s="3">
        <v>2.5421027094125699E-2</v>
      </c>
      <c r="M839" s="3">
        <v>0.58425426483154297</v>
      </c>
      <c r="N839" s="3">
        <v>0.42196547985076899</v>
      </c>
      <c r="O839" s="3">
        <v>99363.5859375</v>
      </c>
      <c r="P839" s="3">
        <v>234512.171875</v>
      </c>
      <c r="Q839" s="3">
        <v>1.15359342098236</v>
      </c>
      <c r="R839" s="3">
        <v>0.17671850323677099</v>
      </c>
      <c r="S839" s="3">
        <v>0.70184123516082797</v>
      </c>
      <c r="T839" s="3">
        <v>0.59373414516448997</v>
      </c>
      <c r="U839" s="3">
        <v>0.55715602636337302</v>
      </c>
      <c r="W839" t="s">
        <v>50</v>
      </c>
      <c r="X839" t="s">
        <v>51</v>
      </c>
      <c r="Y839" t="s">
        <v>52</v>
      </c>
      <c r="Z839" t="s">
        <v>53</v>
      </c>
      <c r="AA839" t="s">
        <v>53</v>
      </c>
      <c r="AC839" s="2">
        <v>0.44845333708176799</v>
      </c>
      <c r="AD839" s="2">
        <v>0.17576484382152599</v>
      </c>
      <c r="AE839" s="2">
        <v>0.44595581293106101</v>
      </c>
      <c r="AF839" s="2">
        <v>0.12856897711753801</v>
      </c>
      <c r="AG839" s="2">
        <v>0.50675320625305198</v>
      </c>
      <c r="AH839" s="2">
        <v>-0.167268961668015</v>
      </c>
      <c r="AI839" s="2">
        <v>-8.9773871004581507E-2</v>
      </c>
      <c r="AJ839" s="2">
        <v>0.69913590235809597</v>
      </c>
      <c r="AK839" s="2">
        <v>0.51995860876427602</v>
      </c>
      <c r="AL839" s="2">
        <v>0.70553967104541304</v>
      </c>
      <c r="AM839" s="2">
        <v>0.50917422771453902</v>
      </c>
      <c r="AN839" s="2">
        <v>0.57586377859115601</v>
      </c>
      <c r="AO839" s="2">
        <v>0.33870807290077198</v>
      </c>
      <c r="AP839" s="2">
        <v>0.70204710960388195</v>
      </c>
    </row>
    <row r="840" spans="1:42" x14ac:dyDescent="0.3">
      <c r="A840" t="s">
        <v>302</v>
      </c>
      <c r="B840" s="3">
        <v>2019</v>
      </c>
      <c r="C840" s="3">
        <v>2.7979210000000001</v>
      </c>
      <c r="D840" s="3">
        <v>2496.0300000000002</v>
      </c>
      <c r="E840" t="s">
        <v>303</v>
      </c>
      <c r="G840" s="3">
        <v>108489.125</v>
      </c>
      <c r="H840" s="3">
        <v>270755.625</v>
      </c>
      <c r="I840" s="3">
        <v>316049.84375</v>
      </c>
      <c r="J840" s="3">
        <v>337431.03125</v>
      </c>
      <c r="K840" s="3">
        <v>1687084.375</v>
      </c>
      <c r="L840" s="3">
        <v>2.8867783024907102E-2</v>
      </c>
      <c r="M840" s="3">
        <v>0.53791201114654497</v>
      </c>
      <c r="N840" s="3">
        <v>0.415340036153793</v>
      </c>
      <c r="O840" s="3">
        <v>105228.4765625</v>
      </c>
      <c r="P840" s="3">
        <v>242925.875</v>
      </c>
      <c r="Q840" s="3">
        <v>1.09324979782105</v>
      </c>
      <c r="R840" s="3">
        <v>0.17671850323677099</v>
      </c>
      <c r="S840" s="3">
        <v>0.68171072006225597</v>
      </c>
      <c r="T840" s="3">
        <v>0.55804890394210804</v>
      </c>
      <c r="U840" s="3">
        <v>0.522688329219818</v>
      </c>
      <c r="W840" t="s">
        <v>50</v>
      </c>
      <c r="X840" t="s">
        <v>54</v>
      </c>
      <c r="Y840" t="s">
        <v>52</v>
      </c>
      <c r="Z840" t="s">
        <v>53</v>
      </c>
      <c r="AA840" t="s">
        <v>53</v>
      </c>
      <c r="AC840" s="2">
        <v>0.444812450241582</v>
      </c>
      <c r="AD840" s="2">
        <v>0.17623578011989599</v>
      </c>
      <c r="AE840" s="2">
        <v>0.48088791966438299</v>
      </c>
      <c r="AF840" s="2">
        <v>0.14527919888496399</v>
      </c>
      <c r="AG840" s="2">
        <v>0.45387870073318498</v>
      </c>
      <c r="AH840" s="2">
        <v>-0.151499763131142</v>
      </c>
      <c r="AI840" s="2">
        <v>-0.104781873524189</v>
      </c>
      <c r="AJ840" s="2">
        <v>0.696074234340605</v>
      </c>
      <c r="AK840" s="2">
        <v>0.47537036390347798</v>
      </c>
      <c r="AL840" s="2">
        <v>0.66428663614695804</v>
      </c>
      <c r="AM840" s="2">
        <v>0.47622355818748502</v>
      </c>
      <c r="AN840" s="2">
        <v>0.57076787948608398</v>
      </c>
      <c r="AO840" s="2">
        <v>0.30688378214836098</v>
      </c>
      <c r="AP840" s="2">
        <v>0.57210946083068903</v>
      </c>
    </row>
    <row r="841" spans="1:42" x14ac:dyDescent="0.3">
      <c r="A841" t="s">
        <v>302</v>
      </c>
      <c r="B841" s="3">
        <v>2020</v>
      </c>
      <c r="C841" s="3">
        <v>2.803375</v>
      </c>
      <c r="D841" s="3">
        <v>2496</v>
      </c>
      <c r="E841" t="s">
        <v>303</v>
      </c>
      <c r="G841" s="3">
        <v>107887.6796875</v>
      </c>
      <c r="H841" s="3">
        <v>236566.96875</v>
      </c>
      <c r="I841" s="3">
        <v>257750.609375</v>
      </c>
      <c r="J841" s="3">
        <v>293251.15625</v>
      </c>
      <c r="K841" s="3">
        <v>1620844.25</v>
      </c>
      <c r="L841" s="3">
        <v>2.5977242738008499E-2</v>
      </c>
      <c r="M841" s="3">
        <v>0.49522390961647</v>
      </c>
      <c r="N841" s="3">
        <v>0.38324767351150502</v>
      </c>
      <c r="O841" s="3">
        <v>102549.96875</v>
      </c>
      <c r="P841" s="3">
        <v>227127.546875</v>
      </c>
      <c r="Q841" s="3">
        <v>1.01551330089569</v>
      </c>
      <c r="R841" s="3">
        <v>0.17671850323677099</v>
      </c>
      <c r="S841" s="3">
        <v>0.64158809185028098</v>
      </c>
      <c r="T841" s="3">
        <v>0.56027555465698198</v>
      </c>
      <c r="U841" s="3">
        <v>0.49244940280914301</v>
      </c>
      <c r="W841" t="s">
        <v>50</v>
      </c>
      <c r="X841" t="s">
        <v>54</v>
      </c>
      <c r="Y841" t="s">
        <v>52</v>
      </c>
      <c r="Z841" t="s">
        <v>53</v>
      </c>
      <c r="AA841" t="s">
        <v>53</v>
      </c>
      <c r="AC841" s="2">
        <v>0.42914658638190301</v>
      </c>
      <c r="AD841" s="2">
        <v>0.18040004372596699</v>
      </c>
      <c r="AE841" s="2">
        <v>0.43880233168602001</v>
      </c>
      <c r="AF841" s="2">
        <v>0.18750193715095501</v>
      </c>
      <c r="AG841" s="2">
        <v>0.478317379951477</v>
      </c>
      <c r="AH841" s="2">
        <v>-0.15673510730266599</v>
      </c>
      <c r="AI841" s="2">
        <v>-0.12828654050827001</v>
      </c>
      <c r="AJ841" s="2">
        <v>0.70910470164442396</v>
      </c>
      <c r="AK841" s="2">
        <v>0.49210119454956702</v>
      </c>
      <c r="AL841" s="2">
        <v>0.57662874951125298</v>
      </c>
      <c r="AM841" s="2">
        <v>0.40070426464080799</v>
      </c>
      <c r="AN841" s="2">
        <v>0.56156176328659102</v>
      </c>
      <c r="AO841" s="2">
        <v>0.309437274932861</v>
      </c>
      <c r="AP841" s="2">
        <v>0.54347753524780296</v>
      </c>
    </row>
    <row r="842" spans="1:42" x14ac:dyDescent="0.3">
      <c r="A842" t="s">
        <v>304</v>
      </c>
      <c r="B842" s="3">
        <v>2015</v>
      </c>
      <c r="C842" s="3">
        <v>19.871019</v>
      </c>
      <c r="D842" s="3">
        <v>1785.67</v>
      </c>
      <c r="E842" t="s">
        <v>305</v>
      </c>
      <c r="G842" s="3">
        <v>366612.46875</v>
      </c>
      <c r="H842" s="3">
        <v>483045.25</v>
      </c>
      <c r="I842" s="3">
        <v>479106.0625</v>
      </c>
      <c r="J842" s="3">
        <v>467751.90625</v>
      </c>
      <c r="K842" s="3">
        <v>1631178.75</v>
      </c>
      <c r="L842" s="3">
        <v>1.9002858549356499E-2</v>
      </c>
      <c r="M842" s="3">
        <v>0.71901720762252797</v>
      </c>
      <c r="N842" s="3">
        <v>0.71634787321090698</v>
      </c>
      <c r="O842" s="3">
        <v>388887.75</v>
      </c>
      <c r="P842" s="3">
        <v>512159.53125</v>
      </c>
      <c r="Q842" s="3">
        <v>0.87863808870315596</v>
      </c>
      <c r="R842" s="3">
        <v>0.45294561982154802</v>
      </c>
      <c r="S842" s="3">
        <v>0.365492403507233</v>
      </c>
      <c r="T842" s="3">
        <v>0.37128552794456499</v>
      </c>
      <c r="U842" s="3">
        <v>0.38029810786247298</v>
      </c>
      <c r="W842" t="s">
        <v>50</v>
      </c>
      <c r="X842" t="s">
        <v>51</v>
      </c>
      <c r="Y842" t="s">
        <v>52</v>
      </c>
      <c r="Z842" t="s">
        <v>53</v>
      </c>
      <c r="AA842" t="s">
        <v>53</v>
      </c>
      <c r="AC842" s="2">
        <v>0.67134887605890203</v>
      </c>
      <c r="AD842" s="2">
        <v>0.57689827680587802</v>
      </c>
      <c r="AE842" s="2">
        <v>0.24891991913318601</v>
      </c>
      <c r="AF842" s="2">
        <v>0.206877201795578</v>
      </c>
      <c r="AG842" s="2">
        <v>0.21725086867809301</v>
      </c>
      <c r="AH842" s="2">
        <v>-0.29373908042907698</v>
      </c>
      <c r="AI842" s="2">
        <v>4.3792776763439199E-2</v>
      </c>
      <c r="AJ842" s="2">
        <v>0.40465564072403798</v>
      </c>
      <c r="AK842" s="2">
        <v>0.389526292699094</v>
      </c>
      <c r="AL842" s="2">
        <v>0.25628172754245798</v>
      </c>
      <c r="AM842" s="2">
        <v>0.59639185667037997</v>
      </c>
      <c r="AN842" s="2">
        <v>0.508436739444733</v>
      </c>
      <c r="AO842" s="2">
        <v>0.254638731479645</v>
      </c>
      <c r="AP842" s="2">
        <v>0.68418449163436901</v>
      </c>
    </row>
    <row r="843" spans="1:42" x14ac:dyDescent="0.3">
      <c r="A843" t="s">
        <v>304</v>
      </c>
      <c r="B843" s="3">
        <v>2016</v>
      </c>
      <c r="C843" s="3">
        <v>19.777051</v>
      </c>
      <c r="D843" s="3">
        <v>1809.03</v>
      </c>
      <c r="E843" t="s">
        <v>305</v>
      </c>
      <c r="G843" s="3">
        <v>394862.375</v>
      </c>
      <c r="H843" s="3">
        <v>505063.53125</v>
      </c>
      <c r="I843" s="3">
        <v>499766.71875</v>
      </c>
      <c r="J843" s="3">
        <v>488929.875</v>
      </c>
      <c r="K843" s="3">
        <v>1585377.125</v>
      </c>
      <c r="L843" s="3">
        <v>1.8010351806878998E-2</v>
      </c>
      <c r="M843" s="3">
        <v>0.76121783256530795</v>
      </c>
      <c r="N843" s="3">
        <v>0.76023989915847801</v>
      </c>
      <c r="O843" s="3">
        <v>407956.96875</v>
      </c>
      <c r="P843" s="3">
        <v>527700.3125</v>
      </c>
      <c r="Q843" s="3">
        <v>0.88349640369415305</v>
      </c>
      <c r="R843" s="3">
        <v>0.49105072021484403</v>
      </c>
      <c r="S843" s="3">
        <v>0.363179922103882</v>
      </c>
      <c r="T843" s="3">
        <v>0.37075448036193898</v>
      </c>
      <c r="U843" s="3">
        <v>0.37897202372550998</v>
      </c>
      <c r="W843" t="s">
        <v>50</v>
      </c>
      <c r="X843" t="s">
        <v>51</v>
      </c>
      <c r="Y843" t="s">
        <v>52</v>
      </c>
      <c r="Z843" t="s">
        <v>53</v>
      </c>
      <c r="AA843" t="s">
        <v>53</v>
      </c>
      <c r="AC843" s="2">
        <v>0.67894685728736204</v>
      </c>
      <c r="AD843" s="2">
        <v>0.59222352504730202</v>
      </c>
      <c r="AE843" s="2">
        <v>0.22539258003234899</v>
      </c>
      <c r="AF843" s="2">
        <v>0.21538181602954901</v>
      </c>
      <c r="AG843" s="2">
        <v>0.21945361793041199</v>
      </c>
      <c r="AH843" s="2">
        <v>-0.30134651064872697</v>
      </c>
      <c r="AI843" s="2">
        <v>4.8895012587308898E-2</v>
      </c>
      <c r="AJ843" s="2">
        <v>0.39729838280906399</v>
      </c>
      <c r="AK843" s="2">
        <v>0.39789484335558001</v>
      </c>
      <c r="AL843" s="2">
        <v>0.26936629998143802</v>
      </c>
      <c r="AM843" s="2">
        <v>0.59256780147552501</v>
      </c>
      <c r="AN843" s="2">
        <v>0.50635248422622703</v>
      </c>
      <c r="AO843" s="2">
        <v>0.25933381915092502</v>
      </c>
      <c r="AP843" s="2">
        <v>0.67774963378906306</v>
      </c>
    </row>
    <row r="844" spans="1:42" x14ac:dyDescent="0.3">
      <c r="A844" t="s">
        <v>304</v>
      </c>
      <c r="B844" s="3">
        <v>2017</v>
      </c>
      <c r="C844" s="3">
        <v>19.689401</v>
      </c>
      <c r="D844" s="3">
        <v>1785.84</v>
      </c>
      <c r="E844" t="s">
        <v>305</v>
      </c>
      <c r="G844" s="3">
        <v>432899.1875</v>
      </c>
      <c r="H844" s="3">
        <v>563222</v>
      </c>
      <c r="I844" s="3">
        <v>549551.8125</v>
      </c>
      <c r="J844" s="3">
        <v>538238.5625</v>
      </c>
      <c r="K844" s="3">
        <v>1817272.125</v>
      </c>
      <c r="L844" s="3">
        <v>2.0514622330665599E-2</v>
      </c>
      <c r="M844" s="3">
        <v>0.76595693826675404</v>
      </c>
      <c r="N844" s="3">
        <v>0.77186876535415705</v>
      </c>
      <c r="O844" s="3">
        <v>449049.5625</v>
      </c>
      <c r="P844" s="3">
        <v>579107.1875</v>
      </c>
      <c r="Q844" s="3">
        <v>0.92964464426040705</v>
      </c>
      <c r="R844" s="3">
        <v>0.50217974185943604</v>
      </c>
      <c r="S844" s="3">
        <v>0.38107568025589</v>
      </c>
      <c r="T844" s="3">
        <v>0.382397800683975</v>
      </c>
      <c r="U844" s="3">
        <v>0.39043542742729198</v>
      </c>
      <c r="W844" t="s">
        <v>51</v>
      </c>
      <c r="X844" t="s">
        <v>51</v>
      </c>
      <c r="Y844" t="s">
        <v>52</v>
      </c>
      <c r="Z844" t="s">
        <v>53</v>
      </c>
      <c r="AA844" t="s">
        <v>53</v>
      </c>
      <c r="AC844" s="2">
        <v>0.66943361721087802</v>
      </c>
      <c r="AD844" s="2">
        <v>0.59445071220398005</v>
      </c>
      <c r="AE844" s="2">
        <v>0.24212840199470501</v>
      </c>
      <c r="AF844" s="2">
        <v>0.20983794331550601</v>
      </c>
      <c r="AG844" s="2">
        <v>0.21511401236057301</v>
      </c>
      <c r="AH844" s="2">
        <v>-0.30656540393829301</v>
      </c>
      <c r="AI844" s="2">
        <v>4.50343079864979E-2</v>
      </c>
      <c r="AJ844" s="2">
        <v>0.41249178078767501</v>
      </c>
      <c r="AK844" s="2">
        <v>0.38678950212423302</v>
      </c>
      <c r="AL844" s="2">
        <v>0.29207687208774002</v>
      </c>
      <c r="AM844" s="2">
        <v>0.60999536514282204</v>
      </c>
      <c r="AN844" s="2">
        <v>0.51706320047378496</v>
      </c>
      <c r="AO844" s="2">
        <v>0.25138875842094399</v>
      </c>
      <c r="AP844" s="2">
        <v>0.63624805212020896</v>
      </c>
    </row>
    <row r="845" spans="1:42" x14ac:dyDescent="0.3">
      <c r="A845" t="s">
        <v>304</v>
      </c>
      <c r="B845" s="3">
        <v>2018</v>
      </c>
      <c r="C845" s="3">
        <v>19.597871999999999</v>
      </c>
      <c r="D845" s="3">
        <v>1786.98</v>
      </c>
      <c r="E845" t="s">
        <v>305</v>
      </c>
      <c r="G845" s="3">
        <v>463569.71875</v>
      </c>
      <c r="H845" s="3">
        <v>596399.5625</v>
      </c>
      <c r="I845" s="3">
        <v>576239.6875</v>
      </c>
      <c r="J845" s="3">
        <v>558421.9375</v>
      </c>
      <c r="K845" s="3">
        <v>1851626.625</v>
      </c>
      <c r="L845" s="3">
        <v>2.03955806791782E-2</v>
      </c>
      <c r="M845" s="3">
        <v>0.78051024675369296</v>
      </c>
      <c r="N845" s="3">
        <v>0.802415370941162</v>
      </c>
      <c r="O845" s="3">
        <v>490125.75</v>
      </c>
      <c r="P845" s="3">
        <v>623385.0625</v>
      </c>
      <c r="Q845" s="3">
        <v>0.96677178144455</v>
      </c>
      <c r="R845" s="3">
        <v>0.50673395395278897</v>
      </c>
      <c r="S845" s="3">
        <v>0.42338639497757002</v>
      </c>
      <c r="T845" s="3">
        <v>0.42251288890838601</v>
      </c>
      <c r="U845" s="3">
        <v>0.43599417805671697</v>
      </c>
      <c r="W845" t="s">
        <v>50</v>
      </c>
      <c r="X845" t="s">
        <v>51</v>
      </c>
      <c r="Y845" t="s">
        <v>52</v>
      </c>
      <c r="Z845" t="s">
        <v>53</v>
      </c>
      <c r="AA845" t="s">
        <v>53</v>
      </c>
      <c r="AC845" s="2">
        <v>0.67459490120968502</v>
      </c>
      <c r="AD845" s="2">
        <v>0.61658513545990001</v>
      </c>
      <c r="AE845" s="2">
        <v>0.237866401672363</v>
      </c>
      <c r="AF845" s="2">
        <v>0.213557243347168</v>
      </c>
      <c r="AG845" s="2">
        <v>0.226022318005562</v>
      </c>
      <c r="AH845" s="2">
        <v>-0.332156002521515</v>
      </c>
      <c r="AI845" s="2">
        <v>3.8124889135360697E-2</v>
      </c>
      <c r="AJ845" s="2">
        <v>0.45136645600616598</v>
      </c>
      <c r="AK845" s="2">
        <v>0.419464504020441</v>
      </c>
      <c r="AL845" s="2">
        <v>0.342601984272975</v>
      </c>
      <c r="AM845" s="2">
        <v>0.63444989919662498</v>
      </c>
      <c r="AN845" s="2">
        <v>0.52768999338150002</v>
      </c>
      <c r="AO845" s="2">
        <v>0.27700060606002802</v>
      </c>
      <c r="AP845" s="2">
        <v>0.69623202085494995</v>
      </c>
    </row>
    <row r="846" spans="1:42" x14ac:dyDescent="0.3">
      <c r="A846" t="s">
        <v>304</v>
      </c>
      <c r="B846" s="3">
        <v>2019</v>
      </c>
      <c r="C846" s="3">
        <v>19.501542000000001</v>
      </c>
      <c r="D846" s="3">
        <v>1803.11</v>
      </c>
      <c r="E846" t="s">
        <v>305</v>
      </c>
      <c r="G846" s="3">
        <v>510892.96875</v>
      </c>
      <c r="H846" s="3">
        <v>661215.75</v>
      </c>
      <c r="I846" s="3">
        <v>634508.75</v>
      </c>
      <c r="J846" s="3">
        <v>615826.375</v>
      </c>
      <c r="K846" s="3">
        <v>1939269.875</v>
      </c>
      <c r="L846" s="3">
        <v>2.0663253962993601E-2</v>
      </c>
      <c r="M846" s="3">
        <v>0.83384615182876598</v>
      </c>
      <c r="N846" s="3">
        <v>0.86153197288513195</v>
      </c>
      <c r="O846" s="3">
        <v>509381.3125</v>
      </c>
      <c r="P846" s="3">
        <v>657550.5</v>
      </c>
      <c r="Q846" s="3">
        <v>0.97613054513931297</v>
      </c>
      <c r="R846" s="3">
        <v>0.51279044151306197</v>
      </c>
      <c r="S846" s="3">
        <v>0.393883466720581</v>
      </c>
      <c r="T846" s="3">
        <v>0.39664870500564597</v>
      </c>
      <c r="U846" s="3">
        <v>0.40868183970451399</v>
      </c>
      <c r="W846" t="s">
        <v>50</v>
      </c>
      <c r="X846" t="s">
        <v>54</v>
      </c>
      <c r="Y846" t="s">
        <v>52</v>
      </c>
      <c r="Z846" t="s">
        <v>53</v>
      </c>
      <c r="AA846" t="s">
        <v>53</v>
      </c>
      <c r="AC846" s="2">
        <v>0.67110069794066796</v>
      </c>
      <c r="AD846" s="2">
        <v>0.61236673593521096</v>
      </c>
      <c r="AE846" s="2">
        <v>0.24409930408000899</v>
      </c>
      <c r="AF846" s="2">
        <v>0.217238783836365</v>
      </c>
      <c r="AG846" s="2">
        <v>0.21096353232860601</v>
      </c>
      <c r="AH846" s="2">
        <v>-0.31944414973259</v>
      </c>
      <c r="AI846" s="2">
        <v>3.4775793552398702E-2</v>
      </c>
      <c r="AJ846" s="2">
        <v>0.41641002685391398</v>
      </c>
      <c r="AK846" s="2">
        <v>0.406046735919459</v>
      </c>
      <c r="AL846" s="2">
        <v>0.33038417360042699</v>
      </c>
      <c r="AM846" s="2">
        <v>0.59498608112335205</v>
      </c>
      <c r="AN846" s="2">
        <v>0.49127322435379001</v>
      </c>
      <c r="AO846" s="2">
        <v>0.27216035127639798</v>
      </c>
      <c r="AP846" s="2">
        <v>0.67495858669280995</v>
      </c>
    </row>
    <row r="847" spans="1:42" x14ac:dyDescent="0.3">
      <c r="A847" t="s">
        <v>304</v>
      </c>
      <c r="B847" s="3">
        <v>2020</v>
      </c>
      <c r="C847" s="3">
        <v>19.392468999999998</v>
      </c>
      <c r="D847" s="3">
        <v>1756.28</v>
      </c>
      <c r="E847" t="s">
        <v>305</v>
      </c>
      <c r="G847" s="3">
        <v>504267.71875</v>
      </c>
      <c r="H847" s="3">
        <v>649222.9375</v>
      </c>
      <c r="I847" s="3">
        <v>621892.8125</v>
      </c>
      <c r="J847" s="3">
        <v>601317.875</v>
      </c>
      <c r="K847" s="3">
        <v>1985017.75</v>
      </c>
      <c r="L847" s="3">
        <v>2.0174032077193298E-2</v>
      </c>
      <c r="M847" s="3">
        <v>0.82435965538024902</v>
      </c>
      <c r="N847" s="3">
        <v>0.85382723808288596</v>
      </c>
      <c r="O847" s="3">
        <v>497399.21875</v>
      </c>
      <c r="P847" s="3">
        <v>643808.1875</v>
      </c>
      <c r="Q847" s="3">
        <v>0.94179087877273604</v>
      </c>
      <c r="R847" s="3">
        <v>0.51847058534622203</v>
      </c>
      <c r="S847" s="3">
        <v>0.400834411382675</v>
      </c>
      <c r="T847" s="3">
        <v>0.40526887774467502</v>
      </c>
      <c r="U847" s="3">
        <v>0.41913574934005698</v>
      </c>
      <c r="W847" t="s">
        <v>50</v>
      </c>
      <c r="X847" t="s">
        <v>54</v>
      </c>
      <c r="Y847" t="s">
        <v>52</v>
      </c>
      <c r="Z847" t="s">
        <v>53</v>
      </c>
      <c r="AA847" t="s">
        <v>53</v>
      </c>
      <c r="AC847" s="2">
        <v>0.66282825325077699</v>
      </c>
      <c r="AD847" s="2">
        <v>0.60403746366500899</v>
      </c>
      <c r="AE847" s="2">
        <v>0.241062507033348</v>
      </c>
      <c r="AF847" s="2">
        <v>0.23456674814224199</v>
      </c>
      <c r="AG847" s="2">
        <v>0.19469271600246399</v>
      </c>
      <c r="AH847" s="2">
        <v>-0.30554947257041898</v>
      </c>
      <c r="AI847" s="2">
        <v>3.1190030276775398E-2</v>
      </c>
      <c r="AJ847" s="2">
        <v>0.42529861411849901</v>
      </c>
      <c r="AK847" s="2">
        <v>0.42069552317303599</v>
      </c>
      <c r="AL847" s="2">
        <v>0.33783613002428903</v>
      </c>
      <c r="AM847" s="2">
        <v>0.60651576519012496</v>
      </c>
      <c r="AN847" s="2">
        <v>0.48953336477279702</v>
      </c>
      <c r="AO847" s="2">
        <v>0.28200563788414001</v>
      </c>
      <c r="AP847" s="2">
        <v>0.71435469388961803</v>
      </c>
    </row>
    <row r="848" spans="1:42" x14ac:dyDescent="0.3">
      <c r="A848" t="s">
        <v>306</v>
      </c>
      <c r="B848" s="3">
        <v>2015</v>
      </c>
      <c r="C848" s="3">
        <v>145.307616</v>
      </c>
      <c r="D848" s="3">
        <v>2086.29</v>
      </c>
      <c r="E848" t="s">
        <v>307</v>
      </c>
      <c r="G848" s="3">
        <v>3094376.75</v>
      </c>
      <c r="H848" s="3">
        <v>3756543</v>
      </c>
      <c r="I848" s="3">
        <v>4057007.25</v>
      </c>
      <c r="J848" s="3">
        <v>3942998.5</v>
      </c>
      <c r="K848" s="3">
        <v>19071680</v>
      </c>
      <c r="L848" s="3">
        <v>0.27399718761444097</v>
      </c>
      <c r="M848" s="3">
        <v>0.50998646020889304</v>
      </c>
      <c r="N848" s="3">
        <v>0.46874070167541498</v>
      </c>
      <c r="O848" s="3">
        <v>3411946.75</v>
      </c>
      <c r="P848" s="3">
        <v>4480138</v>
      </c>
      <c r="Q848" s="3">
        <v>0.92304164171218905</v>
      </c>
      <c r="R848" s="3">
        <v>0.57598525285720803</v>
      </c>
      <c r="S848" s="3">
        <v>0.31040436029434199</v>
      </c>
      <c r="T848" s="3">
        <v>0.33608075976371798</v>
      </c>
      <c r="U848" s="3">
        <v>0.34579834342002902</v>
      </c>
      <c r="W848" t="s">
        <v>50</v>
      </c>
      <c r="X848" t="s">
        <v>51</v>
      </c>
      <c r="Y848" t="s">
        <v>52</v>
      </c>
      <c r="Z848" t="s">
        <v>53</v>
      </c>
      <c r="AA848" t="s">
        <v>53</v>
      </c>
      <c r="AC848" s="2">
        <v>0.74888533379271105</v>
      </c>
      <c r="AD848" s="2">
        <v>0.51694017648696899</v>
      </c>
      <c r="AE848" s="2">
        <v>0.167934715747833</v>
      </c>
      <c r="AF848" s="2">
        <v>0.26783734560012801</v>
      </c>
      <c r="AG848" s="2">
        <v>0.17220894992351499</v>
      </c>
      <c r="AH848" s="2">
        <v>-8.0809392035007505E-2</v>
      </c>
      <c r="AI848" s="2">
        <v>-4.4111855328082997E-2</v>
      </c>
      <c r="AJ848" s="2">
        <v>0.34900728980881601</v>
      </c>
      <c r="AK848" s="2">
        <v>0.45606957338961901</v>
      </c>
      <c r="AL848" s="2">
        <v>0.235898644378529</v>
      </c>
      <c r="AM848" s="2">
        <v>0.50647723674774203</v>
      </c>
      <c r="AN848" s="2">
        <v>0.573647320270538</v>
      </c>
      <c r="AO848" s="2">
        <v>0.36043119430541998</v>
      </c>
      <c r="AP848" s="2">
        <v>0.28190729022026101</v>
      </c>
    </row>
    <row r="849" spans="1:42" x14ac:dyDescent="0.3">
      <c r="A849" t="s">
        <v>306</v>
      </c>
      <c r="B849" s="3">
        <v>2016</v>
      </c>
      <c r="C849" s="3">
        <v>145.77867699999999</v>
      </c>
      <c r="D849" s="3">
        <v>2081</v>
      </c>
      <c r="E849" t="s">
        <v>307</v>
      </c>
      <c r="G849" s="3">
        <v>3102393.75</v>
      </c>
      <c r="H849" s="3">
        <v>3774002.25</v>
      </c>
      <c r="I849" s="3">
        <v>3980630.75</v>
      </c>
      <c r="J849" s="3">
        <v>3929763.25</v>
      </c>
      <c r="K849" s="3">
        <v>19464856</v>
      </c>
      <c r="L849" s="3">
        <v>0.27218526601791398</v>
      </c>
      <c r="M849" s="3">
        <v>0.50513625144958496</v>
      </c>
      <c r="N849" s="3">
        <v>0.46901425719261203</v>
      </c>
      <c r="O849" s="3">
        <v>3361151</v>
      </c>
      <c r="P849" s="3">
        <v>4422598</v>
      </c>
      <c r="Q849" s="3">
        <v>0.92314106225967396</v>
      </c>
      <c r="R849" s="3">
        <v>0.57809078693389904</v>
      </c>
      <c r="S849" s="3">
        <v>0.295136988162994</v>
      </c>
      <c r="T849" s="3">
        <v>0.32074975967407199</v>
      </c>
      <c r="U849" s="3">
        <v>0.32490158081054699</v>
      </c>
      <c r="W849" t="s">
        <v>50</v>
      </c>
      <c r="X849" t="s">
        <v>51</v>
      </c>
      <c r="Y849" t="s">
        <v>52</v>
      </c>
      <c r="Z849" t="s">
        <v>53</v>
      </c>
      <c r="AA849" t="s">
        <v>53</v>
      </c>
      <c r="AC849" s="2">
        <v>0.74904919786188295</v>
      </c>
      <c r="AD849" s="2">
        <v>0.52328366041183505</v>
      </c>
      <c r="AE849" s="2">
        <v>0.17090307176113101</v>
      </c>
      <c r="AF849" s="2">
        <v>0.266177028417587</v>
      </c>
      <c r="AG849" s="2">
        <v>0.153758764266968</v>
      </c>
      <c r="AH849" s="2">
        <v>-9.2143148183822604E-2</v>
      </c>
      <c r="AI849" s="2">
        <v>-2.19793953001499E-2</v>
      </c>
      <c r="AJ849" s="2">
        <v>0.32969604667575902</v>
      </c>
      <c r="AK849" s="2">
        <v>0.43906406508246898</v>
      </c>
      <c r="AL849" s="2">
        <v>0.22719651717050701</v>
      </c>
      <c r="AM849" s="2">
        <v>0.499440997838974</v>
      </c>
      <c r="AN849" s="2">
        <v>0.57288199663162198</v>
      </c>
      <c r="AO849" s="2">
        <v>0.348169595003128</v>
      </c>
      <c r="AP849" s="2">
        <v>0.25617450475692799</v>
      </c>
    </row>
    <row r="850" spans="1:42" x14ac:dyDescent="0.3">
      <c r="A850" t="s">
        <v>306</v>
      </c>
      <c r="B850" s="3">
        <v>2017</v>
      </c>
      <c r="C850" s="3">
        <v>146.18679900000001</v>
      </c>
      <c r="D850" s="3">
        <v>2075.7800000000002</v>
      </c>
      <c r="E850" t="s">
        <v>307</v>
      </c>
      <c r="G850" s="3">
        <v>3272792.75</v>
      </c>
      <c r="H850" s="3">
        <v>4013767.75</v>
      </c>
      <c r="I850" s="3">
        <v>4238637.5</v>
      </c>
      <c r="J850" s="3">
        <v>4231552</v>
      </c>
      <c r="K850" s="3">
        <v>20078006</v>
      </c>
      <c r="L850" s="3">
        <v>0.27026054263114901</v>
      </c>
      <c r="M850" s="3">
        <v>0.53663510084152199</v>
      </c>
      <c r="N850" s="3">
        <v>0.49019169807434099</v>
      </c>
      <c r="O850" s="3">
        <v>3474964.75</v>
      </c>
      <c r="P850" s="3">
        <v>4604952</v>
      </c>
      <c r="Q850" s="3">
        <v>0.93746030330658003</v>
      </c>
      <c r="R850" s="3">
        <v>0.57206505537033103</v>
      </c>
      <c r="S850" s="3">
        <v>0.34193027019500699</v>
      </c>
      <c r="T850" s="3">
        <v>0.37139278650283802</v>
      </c>
      <c r="U850" s="3">
        <v>0.37201464176178001</v>
      </c>
      <c r="W850" t="s">
        <v>51</v>
      </c>
      <c r="X850" t="s">
        <v>51</v>
      </c>
      <c r="Y850" t="s">
        <v>52</v>
      </c>
      <c r="Z850" t="s">
        <v>53</v>
      </c>
      <c r="AA850" t="s">
        <v>53</v>
      </c>
      <c r="AC850" s="2">
        <v>0.73710638076811297</v>
      </c>
      <c r="AD850" s="2">
        <v>0.51261353492736805</v>
      </c>
      <c r="AE850" s="2">
        <v>0.175107136368752</v>
      </c>
      <c r="AF850" s="2">
        <v>0.26081255078315702</v>
      </c>
      <c r="AG850" s="2">
        <v>0.17518873512744901</v>
      </c>
      <c r="AH850" s="2">
        <v>-0.10102788358926799</v>
      </c>
      <c r="AI850" s="2">
        <v>-2.2694060578942299E-2</v>
      </c>
      <c r="AJ850" s="2">
        <v>0.38206968208840902</v>
      </c>
      <c r="AK850" s="2">
        <v>0.501524923646676</v>
      </c>
      <c r="AL850" s="2">
        <v>0.26303835340884402</v>
      </c>
      <c r="AM850" s="2">
        <v>0.51152926683425903</v>
      </c>
      <c r="AN850" s="2">
        <v>0.60810321569442805</v>
      </c>
      <c r="AO850" s="2">
        <v>0.40650340914726302</v>
      </c>
      <c r="AP850" s="2">
        <v>0.31099131703376798</v>
      </c>
    </row>
    <row r="851" spans="1:42" x14ac:dyDescent="0.3">
      <c r="A851" t="s">
        <v>306</v>
      </c>
      <c r="B851" s="3">
        <v>2018</v>
      </c>
      <c r="C851" s="3">
        <v>146.43014600000001</v>
      </c>
      <c r="D851" s="3">
        <v>2067.65</v>
      </c>
      <c r="E851" t="s">
        <v>307</v>
      </c>
      <c r="G851" s="3">
        <v>3332020.75</v>
      </c>
      <c r="H851" s="3">
        <v>4155081.75</v>
      </c>
      <c r="I851" s="3">
        <v>4617045.5</v>
      </c>
      <c r="J851" s="3">
        <v>4502850</v>
      </c>
      <c r="K851" s="3">
        <v>24056112</v>
      </c>
      <c r="L851" s="3">
        <v>0.29889643192291299</v>
      </c>
      <c r="M851" s="3">
        <v>0.53065133094787598</v>
      </c>
      <c r="N851" s="3">
        <v>0.47135391831397999</v>
      </c>
      <c r="O851" s="3">
        <v>3593365</v>
      </c>
      <c r="P851" s="3">
        <v>4704066.5</v>
      </c>
      <c r="Q851" s="3">
        <v>0.95895159244537398</v>
      </c>
      <c r="R851" s="3">
        <v>0.53789490461349498</v>
      </c>
      <c r="S851" s="3">
        <v>0.338607758283615</v>
      </c>
      <c r="T851" s="3">
        <v>0.358958750963211</v>
      </c>
      <c r="U851" s="3">
        <v>0.36806219816207902</v>
      </c>
      <c r="W851" t="s">
        <v>50</v>
      </c>
      <c r="X851" t="s">
        <v>51</v>
      </c>
      <c r="Y851" t="s">
        <v>52</v>
      </c>
      <c r="Z851" t="s">
        <v>53</v>
      </c>
      <c r="AA851" t="s">
        <v>53</v>
      </c>
      <c r="AC851" s="2">
        <v>0.73451867330763299</v>
      </c>
      <c r="AD851" s="2">
        <v>0.50633269548416104</v>
      </c>
      <c r="AE851" s="2">
        <v>0.18278667330741899</v>
      </c>
      <c r="AF851" s="2">
        <v>0.23364770412445099</v>
      </c>
      <c r="AG851" s="2">
        <v>0.19246171414852101</v>
      </c>
      <c r="AH851" s="2">
        <v>-8.7809316813945798E-2</v>
      </c>
      <c r="AI851" s="2">
        <v>-2.7419470250606499E-2</v>
      </c>
      <c r="AJ851" s="2">
        <v>0.36647047895176799</v>
      </c>
      <c r="AK851" s="2">
        <v>0.44134615320821002</v>
      </c>
      <c r="AL851" s="2">
        <v>0.27822710394103101</v>
      </c>
      <c r="AM851" s="2">
        <v>0.52098006010055498</v>
      </c>
      <c r="AN851" s="2">
        <v>0.60756385326385498</v>
      </c>
      <c r="AO851" s="2">
        <v>0.33617922663688699</v>
      </c>
      <c r="AP851" s="2">
        <v>0.30296638607978799</v>
      </c>
    </row>
    <row r="852" spans="1:42" x14ac:dyDescent="0.3">
      <c r="A852" t="s">
        <v>306</v>
      </c>
      <c r="B852" s="3">
        <v>2019</v>
      </c>
      <c r="C852" s="3">
        <v>146.53306699999999</v>
      </c>
      <c r="D852" s="3">
        <v>2062.4</v>
      </c>
      <c r="E852" t="s">
        <v>307</v>
      </c>
      <c r="G852" s="3">
        <v>3663909.5</v>
      </c>
      <c r="H852" s="3">
        <v>4592594.5</v>
      </c>
      <c r="I852" s="3">
        <v>4972391</v>
      </c>
      <c r="J852" s="3">
        <v>4901255</v>
      </c>
      <c r="K852" s="3">
        <v>28225418</v>
      </c>
      <c r="L852" s="3">
        <v>0.33099812269210799</v>
      </c>
      <c r="M852" s="3">
        <v>0.54103922843933105</v>
      </c>
      <c r="N852" s="3">
        <v>0.48784330487251298</v>
      </c>
      <c r="O852" s="3">
        <v>3714745</v>
      </c>
      <c r="P852" s="3">
        <v>4851026</v>
      </c>
      <c r="Q852" s="3">
        <v>0.97948175668716397</v>
      </c>
      <c r="R852" s="3">
        <v>0.52914595603942904</v>
      </c>
      <c r="S852" s="3">
        <v>0.32208973169326799</v>
      </c>
      <c r="T852" s="3">
        <v>0.34050318598747298</v>
      </c>
      <c r="U852" s="3">
        <v>0.345445185899735</v>
      </c>
      <c r="W852" t="s">
        <v>50</v>
      </c>
      <c r="X852" t="s">
        <v>54</v>
      </c>
      <c r="Y852" t="s">
        <v>52</v>
      </c>
      <c r="Z852" t="s">
        <v>53</v>
      </c>
      <c r="AA852" t="s">
        <v>53</v>
      </c>
      <c r="AC852" s="2">
        <v>0.73042599942375197</v>
      </c>
      <c r="AD852" s="2">
        <v>0.49544477462768599</v>
      </c>
      <c r="AE852" s="2">
        <v>0.18947903811931599</v>
      </c>
      <c r="AF852" s="2">
        <v>0.25210037827491799</v>
      </c>
      <c r="AG852" s="2">
        <v>0.176797464489937</v>
      </c>
      <c r="AH852" s="2">
        <v>-8.4150277078151703E-2</v>
      </c>
      <c r="AI852" s="2">
        <v>-2.9671385884285001E-2</v>
      </c>
      <c r="AJ852" s="2">
        <v>0.359884110436269</v>
      </c>
      <c r="AK852" s="2">
        <v>0.41314920252185799</v>
      </c>
      <c r="AL852" s="2">
        <v>0.247813624797836</v>
      </c>
      <c r="AM852" s="2">
        <v>0.49244719743728599</v>
      </c>
      <c r="AN852" s="2">
        <v>0.599262475967407</v>
      </c>
      <c r="AO852" s="2">
        <v>0.29447489976882901</v>
      </c>
      <c r="AP852" s="2">
        <v>0.27394512295723</v>
      </c>
    </row>
    <row r="853" spans="1:42" x14ac:dyDescent="0.3">
      <c r="A853" t="s">
        <v>306</v>
      </c>
      <c r="B853" s="3">
        <v>2020</v>
      </c>
      <c r="C853" s="3">
        <v>146.37129899999999</v>
      </c>
      <c r="D853" s="3">
        <v>1966.89</v>
      </c>
      <c r="E853" t="s">
        <v>307</v>
      </c>
      <c r="G853" s="3">
        <v>3650145.75</v>
      </c>
      <c r="H853" s="3">
        <v>4613501.5</v>
      </c>
      <c r="I853" s="3">
        <v>4860280</v>
      </c>
      <c r="J853" s="3">
        <v>4890684</v>
      </c>
      <c r="K853" s="3">
        <v>33134708</v>
      </c>
      <c r="L853" s="3">
        <v>0.36004623770713801</v>
      </c>
      <c r="M853" s="3">
        <v>0.52572298049926802</v>
      </c>
      <c r="N853" s="3">
        <v>0.47575262188911399</v>
      </c>
      <c r="O853" s="3">
        <v>3571295.5</v>
      </c>
      <c r="P853" s="3">
        <v>4657886</v>
      </c>
      <c r="Q853" s="3">
        <v>0.98137259483337402</v>
      </c>
      <c r="R853" s="3">
        <v>0.52914595603942904</v>
      </c>
      <c r="S853" s="3">
        <v>0.29233139753341703</v>
      </c>
      <c r="T853" s="3">
        <v>0.307199567556381</v>
      </c>
      <c r="U853" s="3">
        <v>0.30528980493545499</v>
      </c>
      <c r="W853" t="s">
        <v>50</v>
      </c>
      <c r="X853" t="s">
        <v>54</v>
      </c>
      <c r="Y853" t="s">
        <v>52</v>
      </c>
      <c r="Z853" t="s">
        <v>53</v>
      </c>
      <c r="AA853" t="s">
        <v>53</v>
      </c>
      <c r="AC853" s="2">
        <v>0.72078165369048197</v>
      </c>
      <c r="AD853" s="2">
        <v>0.49442973732948298</v>
      </c>
      <c r="AE853" s="2">
        <v>0.19697766005992901</v>
      </c>
      <c r="AF853" s="2">
        <v>0.25191691517829901</v>
      </c>
      <c r="AG853" s="2">
        <v>0.16192314028739899</v>
      </c>
      <c r="AH853" s="2">
        <v>-7.3313608765602098E-2</v>
      </c>
      <c r="AI853" s="2">
        <v>-3.1933851540088702E-2</v>
      </c>
      <c r="AJ853" s="2">
        <v>0.32679147202287201</v>
      </c>
      <c r="AK853" s="2">
        <v>0.36353487930628398</v>
      </c>
      <c r="AL853" s="2">
        <v>0.22469764688827501</v>
      </c>
      <c r="AM853" s="2">
        <v>0.426528930664063</v>
      </c>
      <c r="AN853" s="2">
        <v>0.59763598442077603</v>
      </c>
      <c r="AO853" s="2">
        <v>0.23866464197635701</v>
      </c>
      <c r="AP853" s="2">
        <v>0.231864809989929</v>
      </c>
    </row>
    <row r="854" spans="1:42" x14ac:dyDescent="0.3">
      <c r="A854" t="s">
        <v>308</v>
      </c>
      <c r="B854" s="3">
        <v>2015</v>
      </c>
      <c r="C854" s="3">
        <v>11.640022</v>
      </c>
      <c r="D854" s="3">
        <v>1618.43</v>
      </c>
      <c r="E854" t="s">
        <v>309</v>
      </c>
      <c r="G854" s="3">
        <v>24129.81640625</v>
      </c>
      <c r="H854" s="3">
        <v>28049.943359375</v>
      </c>
      <c r="I854" s="3">
        <v>23622.82421875</v>
      </c>
      <c r="J854" s="3">
        <v>25189.30078125</v>
      </c>
      <c r="K854" s="3">
        <v>39240.12890625</v>
      </c>
      <c r="L854" s="3">
        <v>4.7664748854003798E-4</v>
      </c>
      <c r="M854" s="3">
        <v>0.37152174115181003</v>
      </c>
      <c r="N854" s="3">
        <v>0.399128407239914</v>
      </c>
      <c r="O854" s="3">
        <v>25222.158203125</v>
      </c>
      <c r="P854" s="3">
        <v>29592.138671875</v>
      </c>
      <c r="Q854" s="3">
        <v>0.93955159187316895</v>
      </c>
      <c r="R854" s="3">
        <v>0.74101006984710704</v>
      </c>
      <c r="S854" s="3">
        <v>0.33436810970306402</v>
      </c>
      <c r="T854" s="3">
        <v>0.36147946119308499</v>
      </c>
      <c r="U854" s="3">
        <v>0.33899971842765803</v>
      </c>
      <c r="W854" t="s">
        <v>50</v>
      </c>
      <c r="X854" t="s">
        <v>51</v>
      </c>
      <c r="Y854" t="s">
        <v>52</v>
      </c>
      <c r="Z854" t="s">
        <v>53</v>
      </c>
      <c r="AA854" t="s">
        <v>79</v>
      </c>
      <c r="AC854" s="2">
        <v>0.43080402787093097</v>
      </c>
      <c r="AD854" s="2">
        <v>0.85030311346054099</v>
      </c>
      <c r="AE854" s="2">
        <v>0.15562663972377799</v>
      </c>
      <c r="AF854" s="2">
        <v>0.10763593763113</v>
      </c>
      <c r="AG854" s="2">
        <v>4.1746478527784403E-2</v>
      </c>
      <c r="AH854" s="2">
        <v>-0.17594674229621901</v>
      </c>
      <c r="AI854" s="2">
        <v>2.0634558051824601E-2</v>
      </c>
      <c r="AJ854" s="2">
        <v>0.32150020216174402</v>
      </c>
      <c r="AK854" s="2">
        <v>0.52835984033830097</v>
      </c>
      <c r="AL854" s="2">
        <v>0.43602197377707103</v>
      </c>
      <c r="AM854" s="2">
        <v>0.56451511383056596</v>
      </c>
      <c r="AN854" s="2">
        <v>0.53478145599365201</v>
      </c>
      <c r="AO854" s="2">
        <v>0.33649554848670998</v>
      </c>
      <c r="AP854" s="2">
        <v>0.61990189552307096</v>
      </c>
    </row>
    <row r="855" spans="1:42" x14ac:dyDescent="0.3">
      <c r="A855" t="s">
        <v>308</v>
      </c>
      <c r="B855" s="3">
        <v>2016</v>
      </c>
      <c r="C855" s="3">
        <v>11.919183</v>
      </c>
      <c r="D855" s="3">
        <v>1635.42</v>
      </c>
      <c r="E855" t="s">
        <v>309</v>
      </c>
      <c r="G855" s="3">
        <v>24766.451171875</v>
      </c>
      <c r="H855" s="3">
        <v>29048.712890625</v>
      </c>
      <c r="I855" s="3">
        <v>24482.791015625</v>
      </c>
      <c r="J855" s="3">
        <v>26385.0234375</v>
      </c>
      <c r="K855" s="3">
        <v>47305.62109375</v>
      </c>
      <c r="L855" s="3">
        <v>5.4390117293223695E-4</v>
      </c>
      <c r="M855" s="3">
        <v>0.35122567415237399</v>
      </c>
      <c r="N855" s="3">
        <v>0.373850136995316</v>
      </c>
      <c r="O855" s="3">
        <v>26477.083984375</v>
      </c>
      <c r="P855" s="3">
        <v>31280.95703125</v>
      </c>
      <c r="Q855" s="3">
        <v>0.91592890024185203</v>
      </c>
      <c r="R855" s="3">
        <v>0.74101006984710704</v>
      </c>
      <c r="S855" s="3">
        <v>0.32476079463958701</v>
      </c>
      <c r="T855" s="3">
        <v>0.35498389601707497</v>
      </c>
      <c r="U855" s="3">
        <v>0.32939127087593101</v>
      </c>
      <c r="W855" t="s">
        <v>50</v>
      </c>
      <c r="X855" t="s">
        <v>51</v>
      </c>
      <c r="Y855" t="s">
        <v>52</v>
      </c>
      <c r="Z855" t="s">
        <v>53</v>
      </c>
      <c r="AA855" t="s">
        <v>79</v>
      </c>
      <c r="AC855" s="2">
        <v>0.43251569771598197</v>
      </c>
      <c r="AD855" s="2">
        <v>0.81354916095733598</v>
      </c>
      <c r="AE855" s="2">
        <v>0.16229893267154699</v>
      </c>
      <c r="AF855" s="2">
        <v>0.12510648369789101</v>
      </c>
      <c r="AG855" s="2">
        <v>4.1982911527156802E-2</v>
      </c>
      <c r="AH855" s="2">
        <v>-0.17892488837242099</v>
      </c>
      <c r="AI855" s="2">
        <v>3.59873659908772E-2</v>
      </c>
      <c r="AJ855" s="2">
        <v>0.31363250952498001</v>
      </c>
      <c r="AK855" s="2">
        <v>0.52977905013606996</v>
      </c>
      <c r="AL855" s="2">
        <v>0.39712649896630797</v>
      </c>
      <c r="AM855" s="2">
        <v>0.55345541238784801</v>
      </c>
      <c r="AN855" s="2">
        <v>0.53944128751754805</v>
      </c>
      <c r="AO855" s="2">
        <v>0.329667419195175</v>
      </c>
      <c r="AP855" s="2">
        <v>0.53566801548004195</v>
      </c>
    </row>
    <row r="856" spans="1:42" x14ac:dyDescent="0.3">
      <c r="A856" t="s">
        <v>308</v>
      </c>
      <c r="B856" s="3">
        <v>2017</v>
      </c>
      <c r="C856" s="3">
        <v>12.202059999999999</v>
      </c>
      <c r="D856" s="3">
        <v>1655.37</v>
      </c>
      <c r="E856" t="s">
        <v>309</v>
      </c>
      <c r="G856" s="3">
        <v>24882.783203125</v>
      </c>
      <c r="H856" s="3">
        <v>29061.2734375</v>
      </c>
      <c r="I856" s="3">
        <v>25804.666015625</v>
      </c>
      <c r="J856" s="3">
        <v>27269.369140625</v>
      </c>
      <c r="K856" s="3">
        <v>50487.9609375</v>
      </c>
      <c r="L856" s="3">
        <v>5.6074536405503804E-4</v>
      </c>
      <c r="M856" s="3">
        <v>0.34082081913948098</v>
      </c>
      <c r="N856" s="3">
        <v>0.34978401660919201</v>
      </c>
      <c r="O856" s="3">
        <v>26645.634765625</v>
      </c>
      <c r="P856" s="3">
        <v>31124.162109375</v>
      </c>
      <c r="Q856" s="3">
        <v>0.88665032386779796</v>
      </c>
      <c r="R856" s="3">
        <v>0.74101006984710704</v>
      </c>
      <c r="S856" s="3">
        <v>0.33013737201690702</v>
      </c>
      <c r="T856" s="3">
        <v>0.35856121778488198</v>
      </c>
      <c r="U856" s="3">
        <v>0.33930203318595897</v>
      </c>
      <c r="W856" t="s">
        <v>51</v>
      </c>
      <c r="X856" t="s">
        <v>51</v>
      </c>
      <c r="Y856" t="s">
        <v>52</v>
      </c>
      <c r="Z856" t="s">
        <v>53</v>
      </c>
      <c r="AA856" t="s">
        <v>79</v>
      </c>
      <c r="AC856" s="2">
        <v>0.42627441279726103</v>
      </c>
      <c r="AD856" s="2">
        <v>0.778703093528748</v>
      </c>
      <c r="AE856" s="2">
        <v>0.153230175375938</v>
      </c>
      <c r="AF856" s="2">
        <v>0.133778005838394</v>
      </c>
      <c r="AG856" s="2">
        <v>5.99565431475639E-2</v>
      </c>
      <c r="AH856" s="2">
        <v>-0.18943494558334401</v>
      </c>
      <c r="AI856" s="2">
        <v>6.3767157495021806E-2</v>
      </c>
      <c r="AJ856" s="2">
        <v>0.32144359599568101</v>
      </c>
      <c r="AK856" s="2">
        <v>0.52782421783641498</v>
      </c>
      <c r="AL856" s="2">
        <v>0.38074266587551298</v>
      </c>
      <c r="AM856" s="2">
        <v>0.57655316591262795</v>
      </c>
      <c r="AN856" s="2">
        <v>0.52273952960967995</v>
      </c>
      <c r="AO856" s="2">
        <v>0.33330580592155501</v>
      </c>
      <c r="AP856" s="2">
        <v>0.53317797183990501</v>
      </c>
    </row>
    <row r="857" spans="1:42" x14ac:dyDescent="0.3">
      <c r="A857" t="s">
        <v>308</v>
      </c>
      <c r="B857" s="3">
        <v>2018</v>
      </c>
      <c r="C857" s="3">
        <v>12.487996000000001</v>
      </c>
      <c r="D857" s="3">
        <v>1717.57</v>
      </c>
      <c r="E857" t="s">
        <v>309</v>
      </c>
      <c r="G857" s="3">
        <v>27836.978515625</v>
      </c>
      <c r="H857" s="3">
        <v>32160.2578125</v>
      </c>
      <c r="I857" s="3">
        <v>28315.083984375</v>
      </c>
      <c r="J857" s="3">
        <v>30437.82421875</v>
      </c>
      <c r="K857" s="3">
        <v>55857.01953125</v>
      </c>
      <c r="L857" s="3">
        <v>5.9768813662231001E-4</v>
      </c>
      <c r="M857" s="3">
        <v>0.34478101134300199</v>
      </c>
      <c r="N857" s="3">
        <v>0.35066702961921697</v>
      </c>
      <c r="O857" s="3">
        <v>29010.39453125</v>
      </c>
      <c r="P857" s="3">
        <v>33594.92578125</v>
      </c>
      <c r="Q857" s="3">
        <v>0.87519800662994396</v>
      </c>
      <c r="R857" s="3">
        <v>0.74101006984710704</v>
      </c>
      <c r="S857" s="3">
        <v>0.31593343615531899</v>
      </c>
      <c r="T857" s="3">
        <v>0.340375006198883</v>
      </c>
      <c r="U857" s="3">
        <v>0.31663721799850503</v>
      </c>
      <c r="W857" t="s">
        <v>50</v>
      </c>
      <c r="X857" t="s">
        <v>51</v>
      </c>
      <c r="Y857" t="s">
        <v>52</v>
      </c>
      <c r="Z857" t="s">
        <v>53</v>
      </c>
      <c r="AA857" t="s">
        <v>79</v>
      </c>
      <c r="AC857" s="2">
        <v>0.39641745053964</v>
      </c>
      <c r="AD857" s="2">
        <v>0.78617143630981501</v>
      </c>
      <c r="AE857" s="2">
        <v>0.142036408185959</v>
      </c>
      <c r="AF857" s="2">
        <v>0.12838070094585399</v>
      </c>
      <c r="AG857" s="2">
        <v>5.4635595530271502E-2</v>
      </c>
      <c r="AH857" s="2">
        <v>-0.16467051208019301</v>
      </c>
      <c r="AI857" s="2">
        <v>5.3446337580680903E-2</v>
      </c>
      <c r="AJ857" s="2">
        <v>0.30812304494252402</v>
      </c>
      <c r="AK857" s="2">
        <v>0.49775066646827199</v>
      </c>
      <c r="AL857" s="2">
        <v>0.363762377555093</v>
      </c>
      <c r="AM857" s="2">
        <v>0.60385328531265303</v>
      </c>
      <c r="AN857" s="2">
        <v>0.56424278020858798</v>
      </c>
      <c r="AO857" s="2">
        <v>0.32440581917762801</v>
      </c>
      <c r="AP857" s="2">
        <v>0.49379813671112099</v>
      </c>
    </row>
    <row r="858" spans="1:42" x14ac:dyDescent="0.3">
      <c r="A858" t="s">
        <v>308</v>
      </c>
      <c r="B858" s="3">
        <v>2019</v>
      </c>
      <c r="C858" s="3">
        <v>12.776103000000001</v>
      </c>
      <c r="D858" s="3">
        <v>1668.36</v>
      </c>
      <c r="E858" t="s">
        <v>309</v>
      </c>
      <c r="G858" s="3">
        <v>29656.14453125</v>
      </c>
      <c r="H858" s="3">
        <v>35260.32421875</v>
      </c>
      <c r="I858" s="3">
        <v>30843.255859375</v>
      </c>
      <c r="J858" s="3">
        <v>33120.62890625</v>
      </c>
      <c r="K858" s="3">
        <v>61006.95703125</v>
      </c>
      <c r="L858" s="3">
        <v>6.4086035126820196E-4</v>
      </c>
      <c r="M858" s="3">
        <v>0.35866305232048001</v>
      </c>
      <c r="N858" s="3">
        <v>0.367430180311203</v>
      </c>
      <c r="O858" s="3">
        <v>30324.89453125</v>
      </c>
      <c r="P858" s="3">
        <v>36877.375</v>
      </c>
      <c r="Q858" s="3">
        <v>0.92841762304305997</v>
      </c>
      <c r="R858" s="3">
        <v>0.74101006984710704</v>
      </c>
      <c r="S858" s="3">
        <v>0.30463492870330799</v>
      </c>
      <c r="T858" s="3">
        <v>0.33555766940116899</v>
      </c>
      <c r="U858" s="3">
        <v>0.312484711408615</v>
      </c>
      <c r="W858" t="s">
        <v>50</v>
      </c>
      <c r="X858" t="s">
        <v>54</v>
      </c>
      <c r="Y858" t="s">
        <v>52</v>
      </c>
      <c r="Z858" t="s">
        <v>53</v>
      </c>
      <c r="AA858" t="s">
        <v>53</v>
      </c>
      <c r="AC858" s="2">
        <v>0.41699841922164399</v>
      </c>
      <c r="AD858" s="2">
        <v>0.75576120615005504</v>
      </c>
      <c r="AE858" s="2">
        <v>0.16920508444309201</v>
      </c>
      <c r="AF858" s="2">
        <v>0.13963678479194599</v>
      </c>
      <c r="AG858" s="2">
        <v>6.3271984457969693E-2</v>
      </c>
      <c r="AH858" s="2">
        <v>-0.181135773658752</v>
      </c>
      <c r="AI858" s="2">
        <v>5.3260724991560003E-2</v>
      </c>
      <c r="AJ858" s="2">
        <v>0.29553258328598903</v>
      </c>
      <c r="AK858" s="2">
        <v>0.49919435005461699</v>
      </c>
      <c r="AL858" s="2">
        <v>0.353899888273144</v>
      </c>
      <c r="AM858" s="2">
        <v>0.554374039173126</v>
      </c>
      <c r="AN858" s="2">
        <v>0.53258663415908802</v>
      </c>
      <c r="AO858" s="2">
        <v>0.314264476299286</v>
      </c>
      <c r="AP858" s="2">
        <v>0.475732892751694</v>
      </c>
    </row>
    <row r="859" spans="1:42" x14ac:dyDescent="0.3">
      <c r="A859" t="s">
        <v>308</v>
      </c>
      <c r="B859" s="3">
        <v>2020</v>
      </c>
      <c r="C859" s="3">
        <v>13.065837</v>
      </c>
      <c r="D859" s="3">
        <v>1604.53</v>
      </c>
      <c r="E859" t="s">
        <v>309</v>
      </c>
      <c r="G859" s="3">
        <v>30491.021484375</v>
      </c>
      <c r="H859" s="3">
        <v>35358.7734375</v>
      </c>
      <c r="I859" s="3">
        <v>30341.39453125</v>
      </c>
      <c r="J859" s="3">
        <v>32906.3515625</v>
      </c>
      <c r="K859" s="3">
        <v>64393.1796875</v>
      </c>
      <c r="L859" s="3">
        <v>6.36290817055851E-4</v>
      </c>
      <c r="M859" s="3">
        <v>0.329341590404511</v>
      </c>
      <c r="N859" s="3">
        <v>0.33949038386344899</v>
      </c>
      <c r="O859" s="3">
        <v>30741.21484375</v>
      </c>
      <c r="P859" s="3">
        <v>36130.94140625</v>
      </c>
      <c r="Q859" s="3">
        <v>0.82266616821289096</v>
      </c>
      <c r="R859" s="3">
        <v>0.74101006984710704</v>
      </c>
      <c r="S859" s="3">
        <v>0.30964994430541998</v>
      </c>
      <c r="T859" s="3">
        <v>0.33532059192657498</v>
      </c>
      <c r="U859" s="3">
        <v>0.309183329343796</v>
      </c>
      <c r="W859" t="s">
        <v>50</v>
      </c>
      <c r="X859" t="s">
        <v>54</v>
      </c>
      <c r="Y859" t="s">
        <v>52</v>
      </c>
      <c r="Z859" t="s">
        <v>53</v>
      </c>
      <c r="AA859" t="s">
        <v>53</v>
      </c>
      <c r="AC859" s="2">
        <v>0.414395454408717</v>
      </c>
      <c r="AD859" s="2">
        <v>0.78726589679717995</v>
      </c>
      <c r="AE859" s="2">
        <v>0.14792746305465701</v>
      </c>
      <c r="AF859" s="2">
        <v>0.13933396339416501</v>
      </c>
      <c r="AG859" s="2">
        <v>5.7289350777864498E-2</v>
      </c>
      <c r="AH859" s="2">
        <v>-0.173292800784111</v>
      </c>
      <c r="AI859" s="2">
        <v>4.1476123034954099E-2</v>
      </c>
      <c r="AJ859" s="2">
        <v>0.30012350143311201</v>
      </c>
      <c r="AK859" s="2">
        <v>0.49611854436068198</v>
      </c>
      <c r="AL859" s="2">
        <v>0.363476305397604</v>
      </c>
      <c r="AM859" s="2">
        <v>0.53663933277130105</v>
      </c>
      <c r="AN859" s="2">
        <v>0.54644674062728904</v>
      </c>
      <c r="AO859" s="2">
        <v>0.313747107982636</v>
      </c>
      <c r="AP859" s="2">
        <v>0.49175405502319303</v>
      </c>
    </row>
    <row r="860" spans="1:42" x14ac:dyDescent="0.3">
      <c r="A860" t="s">
        <v>310</v>
      </c>
      <c r="B860" s="3">
        <v>2015</v>
      </c>
      <c r="C860" s="3">
        <v>29.974938000000002</v>
      </c>
      <c r="D860" s="3">
        <v>1994.57</v>
      </c>
      <c r="E860" t="s">
        <v>311</v>
      </c>
      <c r="G860" s="3">
        <v>1256490.125</v>
      </c>
      <c r="H860" s="3">
        <v>1886745.75</v>
      </c>
      <c r="I860" s="3">
        <v>1807642.625</v>
      </c>
      <c r="J860" s="3">
        <v>1845032.25</v>
      </c>
      <c r="K860" s="3">
        <v>6309794</v>
      </c>
      <c r="L860" s="3">
        <v>0.14327871799469</v>
      </c>
      <c r="M860" s="3">
        <v>0.76402908563613903</v>
      </c>
      <c r="N860" s="3">
        <v>0.75375723838806197</v>
      </c>
      <c r="O860" s="3">
        <v>1036994</v>
      </c>
      <c r="P860" s="3">
        <v>1620702.25</v>
      </c>
      <c r="Q860" s="3">
        <v>1.2393229007720901</v>
      </c>
      <c r="R860" s="3">
        <v>0.27961787581443798</v>
      </c>
      <c r="S860" s="3">
        <v>0.37378746271133401</v>
      </c>
      <c r="T860" s="3">
        <v>0.37036323547363298</v>
      </c>
      <c r="U860" s="3">
        <v>0.36285784840583801</v>
      </c>
      <c r="W860" t="s">
        <v>50</v>
      </c>
      <c r="X860" t="s">
        <v>51</v>
      </c>
      <c r="Y860" t="s">
        <v>52</v>
      </c>
      <c r="Z860" t="s">
        <v>53</v>
      </c>
      <c r="AA860" t="s">
        <v>53</v>
      </c>
      <c r="AC860" s="2">
        <v>0.65458294696029196</v>
      </c>
      <c r="AD860" s="2">
        <v>0.41020569205284102</v>
      </c>
      <c r="AE860" s="2">
        <v>0.34159600734710699</v>
      </c>
      <c r="AF860" s="2">
        <v>0.27080684900283802</v>
      </c>
      <c r="AG860" s="2">
        <v>0.231190875172615</v>
      </c>
      <c r="AH860" s="2">
        <v>-0.16686703264713301</v>
      </c>
      <c r="AI860" s="2">
        <v>-8.6932346224784907E-2</v>
      </c>
      <c r="AJ860" s="2">
        <v>0.36117998571757798</v>
      </c>
      <c r="AK860" s="2">
        <v>0.36353665131164897</v>
      </c>
      <c r="AL860" s="2">
        <v>0.39288465463074401</v>
      </c>
      <c r="AM860" s="2">
        <v>0.47752147912979098</v>
      </c>
      <c r="AN860" s="2">
        <v>0.56771731376648005</v>
      </c>
      <c r="AO860" s="2">
        <v>0.234392449259758</v>
      </c>
      <c r="AP860" s="2">
        <v>0.44972154498100297</v>
      </c>
    </row>
    <row r="861" spans="1:42" x14ac:dyDescent="0.3">
      <c r="A861" t="s">
        <v>310</v>
      </c>
      <c r="B861" s="3">
        <v>2016</v>
      </c>
      <c r="C861" s="3">
        <v>30.717808000000002</v>
      </c>
      <c r="D861" s="3">
        <v>2014.14</v>
      </c>
      <c r="E861" t="s">
        <v>311</v>
      </c>
      <c r="G861" s="3">
        <v>1116354.375</v>
      </c>
      <c r="H861" s="3">
        <v>1685679.75</v>
      </c>
      <c r="I861" s="3">
        <v>1692668.625</v>
      </c>
      <c r="J861" s="3">
        <v>1729265.625</v>
      </c>
      <c r="K861" s="3">
        <v>6895701.5</v>
      </c>
      <c r="L861" s="3">
        <v>0.14084529876709001</v>
      </c>
      <c r="M861" s="3">
        <v>0.69269007444381703</v>
      </c>
      <c r="N861" s="3">
        <v>0.652821063995361</v>
      </c>
      <c r="O861" s="3">
        <v>977564.3125</v>
      </c>
      <c r="P861" s="3">
        <v>1499393.875</v>
      </c>
      <c r="Q861" s="3">
        <v>1.1876596212387101</v>
      </c>
      <c r="R861" s="3">
        <v>0.27961787581443798</v>
      </c>
      <c r="S861" s="3">
        <v>0.40979129076004001</v>
      </c>
      <c r="T861" s="3">
        <v>0.39346146583557101</v>
      </c>
      <c r="U861" s="3">
        <v>0.385134547948837</v>
      </c>
      <c r="W861" t="s">
        <v>50</v>
      </c>
      <c r="X861" t="s">
        <v>51</v>
      </c>
      <c r="Y861" t="s">
        <v>52</v>
      </c>
      <c r="Z861" t="s">
        <v>53</v>
      </c>
      <c r="AA861" t="s">
        <v>53</v>
      </c>
      <c r="AC861" s="2">
        <v>0.65570242965914505</v>
      </c>
      <c r="AD861" s="2">
        <v>0.41401657462120101</v>
      </c>
      <c r="AE861" s="2">
        <v>0.32922956347465498</v>
      </c>
      <c r="AF861" s="2">
        <v>0.23154900968074801</v>
      </c>
      <c r="AG861" s="2">
        <v>0.228590607643127</v>
      </c>
      <c r="AH861" s="2">
        <v>-0.14229695498943301</v>
      </c>
      <c r="AI861" s="2">
        <v>-6.1088811606168802E-2</v>
      </c>
      <c r="AJ861" s="2">
        <v>0.406321543091334</v>
      </c>
      <c r="AK861" s="2">
        <v>0.36144133972325199</v>
      </c>
      <c r="AL861" s="2">
        <v>0.41599531716768501</v>
      </c>
      <c r="AM861" s="2">
        <v>0.464474678039551</v>
      </c>
      <c r="AN861" s="2">
        <v>0.56963235139846802</v>
      </c>
      <c r="AO861" s="2">
        <v>0.22501407563686401</v>
      </c>
      <c r="AP861" s="2">
        <v>0.44091817736625699</v>
      </c>
    </row>
    <row r="862" spans="1:42" x14ac:dyDescent="0.3">
      <c r="A862" t="s">
        <v>310</v>
      </c>
      <c r="B862" s="3">
        <v>2017</v>
      </c>
      <c r="C862" s="3">
        <v>30.782402000000001</v>
      </c>
      <c r="D862" s="3">
        <v>2021.15</v>
      </c>
      <c r="E862" t="s">
        <v>311</v>
      </c>
      <c r="G862" s="3">
        <v>1114896</v>
      </c>
      <c r="H862" s="3">
        <v>1678175.375</v>
      </c>
      <c r="I862" s="3">
        <v>1772418.25</v>
      </c>
      <c r="J862" s="3">
        <v>1769214.875</v>
      </c>
      <c r="K862" s="3">
        <v>7090967.5</v>
      </c>
      <c r="L862" s="3">
        <v>0.13341413438320199</v>
      </c>
      <c r="M862" s="3">
        <v>0.71757698059081998</v>
      </c>
      <c r="N862" s="3">
        <v>0.65548014640808105</v>
      </c>
      <c r="O862" s="3">
        <v>1018751.625</v>
      </c>
      <c r="P862" s="3">
        <v>1528635.375</v>
      </c>
      <c r="Q862" s="3">
        <v>1.1559039354324301</v>
      </c>
      <c r="R862" s="3">
        <v>0.27961787581443798</v>
      </c>
      <c r="S862" s="3">
        <v>0.42253825068473799</v>
      </c>
      <c r="T862" s="3">
        <v>0.403400659561157</v>
      </c>
      <c r="U862" s="3">
        <v>0.40413108468055697</v>
      </c>
      <c r="W862" t="s">
        <v>51</v>
      </c>
      <c r="X862" t="s">
        <v>51</v>
      </c>
      <c r="Y862" t="s">
        <v>52</v>
      </c>
      <c r="Z862" t="s">
        <v>53</v>
      </c>
      <c r="AA862" t="s">
        <v>53</v>
      </c>
      <c r="AC862" s="2">
        <v>0.64149054037319297</v>
      </c>
      <c r="AD862" s="2">
        <v>0.41745433211326599</v>
      </c>
      <c r="AE862" s="2">
        <v>0.31837818026542702</v>
      </c>
      <c r="AF862" s="2">
        <v>0.21270996332168601</v>
      </c>
      <c r="AG862" s="2">
        <v>0.252971202135086</v>
      </c>
      <c r="AH862" s="2">
        <v>-0.13256442546844499</v>
      </c>
      <c r="AI862" s="2">
        <v>-6.8949259817600306E-2</v>
      </c>
      <c r="AJ862" s="2">
        <v>0.41001783320540502</v>
      </c>
      <c r="AK862" s="2">
        <v>0.36552164605516901</v>
      </c>
      <c r="AL862" s="2">
        <v>0.44711025709323898</v>
      </c>
      <c r="AM862" s="2">
        <v>0.49565377831459001</v>
      </c>
      <c r="AN862" s="2">
        <v>0.57355630397796598</v>
      </c>
      <c r="AO862" s="2">
        <v>0.22771580517292001</v>
      </c>
      <c r="AP862" s="2">
        <v>0.48167863488197299</v>
      </c>
    </row>
    <row r="863" spans="1:42" x14ac:dyDescent="0.3">
      <c r="A863" t="s">
        <v>310</v>
      </c>
      <c r="B863" s="3">
        <v>2018</v>
      </c>
      <c r="C863" s="3">
        <v>30.365120999999998</v>
      </c>
      <c r="D863" s="3">
        <v>2013.53</v>
      </c>
      <c r="E863" t="s">
        <v>311</v>
      </c>
      <c r="G863" s="3">
        <v>1123762.25</v>
      </c>
      <c r="H863" s="3">
        <v>1621205.875</v>
      </c>
      <c r="I863" s="3">
        <v>1851567.5</v>
      </c>
      <c r="J863" s="3">
        <v>1859786.625</v>
      </c>
      <c r="K863" s="3">
        <v>5958386</v>
      </c>
      <c r="L863" s="3">
        <v>0.103935606777668</v>
      </c>
      <c r="M863" s="3">
        <v>0.85485875606536899</v>
      </c>
      <c r="N863" s="3">
        <v>0.71732419729232799</v>
      </c>
      <c r="O863" s="3">
        <v>1071434</v>
      </c>
      <c r="P863" s="3">
        <v>1536881.625</v>
      </c>
      <c r="Q863" s="3">
        <v>1.1480140686035201</v>
      </c>
      <c r="R863" s="3">
        <v>0.27961787581443798</v>
      </c>
      <c r="S863" s="3">
        <v>0.46282300353050199</v>
      </c>
      <c r="T863" s="3">
        <v>0.457225441932678</v>
      </c>
      <c r="U863" s="3">
        <v>0.45520478487014798</v>
      </c>
      <c r="W863" t="s">
        <v>50</v>
      </c>
      <c r="X863" t="s">
        <v>51</v>
      </c>
      <c r="Y863" t="s">
        <v>52</v>
      </c>
      <c r="Z863" t="s">
        <v>53</v>
      </c>
      <c r="AA863" t="s">
        <v>53</v>
      </c>
      <c r="AC863" s="2">
        <v>0.66813080919635404</v>
      </c>
      <c r="AD863" s="2">
        <v>0.38597825169563299</v>
      </c>
      <c r="AE863" s="2">
        <v>0.26747351884841902</v>
      </c>
      <c r="AF863" s="2">
        <v>0.21826432645320901</v>
      </c>
      <c r="AG863" s="2">
        <v>0.31252151727676403</v>
      </c>
      <c r="AH863" s="2">
        <v>-0.120454393327236</v>
      </c>
      <c r="AI863" s="2">
        <v>-6.37831911444664E-2</v>
      </c>
      <c r="AJ863" s="2">
        <v>0.44620771987549901</v>
      </c>
      <c r="AK863" s="2">
        <v>0.444580134685789</v>
      </c>
      <c r="AL863" s="2">
        <v>0.49220544191426202</v>
      </c>
      <c r="AM863" s="2">
        <v>0.50675183534622203</v>
      </c>
      <c r="AN863" s="2">
        <v>0.60356807708740201</v>
      </c>
      <c r="AO863" s="2">
        <v>0.28360423445701599</v>
      </c>
      <c r="AP863" s="2">
        <v>0.69379991292953502</v>
      </c>
    </row>
    <row r="864" spans="1:42" x14ac:dyDescent="0.3">
      <c r="A864" t="s">
        <v>310</v>
      </c>
      <c r="B864" s="3">
        <v>2019</v>
      </c>
      <c r="C864" s="3">
        <v>30.472811</v>
      </c>
      <c r="D864" s="3">
        <v>1990.4</v>
      </c>
      <c r="E864" t="s">
        <v>311</v>
      </c>
      <c r="G864" s="3">
        <v>1145455.875</v>
      </c>
      <c r="H864" s="3">
        <v>1672148.75</v>
      </c>
      <c r="I864" s="3">
        <v>1817161.875</v>
      </c>
      <c r="J864" s="3">
        <v>1844770.625</v>
      </c>
      <c r="K864" s="3">
        <v>6124377</v>
      </c>
      <c r="L864" s="3">
        <v>9.9678993225097698E-2</v>
      </c>
      <c r="M864" s="3">
        <v>0.83840143680572499</v>
      </c>
      <c r="N864" s="3">
        <v>0.73128271102905296</v>
      </c>
      <c r="O864" s="3">
        <v>1101660.25</v>
      </c>
      <c r="P864" s="3">
        <v>1641836.125</v>
      </c>
      <c r="Q864" s="3">
        <v>1.1045621633529701</v>
      </c>
      <c r="R864" s="3">
        <v>0.27961787581443798</v>
      </c>
      <c r="S864" s="3">
        <v>0.46651208400726302</v>
      </c>
      <c r="T864" s="3">
        <v>0.46146947145461997</v>
      </c>
      <c r="U864" s="3">
        <v>0.45456308126449602</v>
      </c>
      <c r="W864" t="s">
        <v>50</v>
      </c>
      <c r="X864" t="s">
        <v>54</v>
      </c>
      <c r="Y864" t="s">
        <v>52</v>
      </c>
      <c r="Z864" t="s">
        <v>53</v>
      </c>
      <c r="AA864" t="s">
        <v>53</v>
      </c>
      <c r="AC864" s="2">
        <v>0.66905415155271797</v>
      </c>
      <c r="AD864" s="2">
        <v>0.40740925073623702</v>
      </c>
      <c r="AE864" s="2">
        <v>0.285505890846252</v>
      </c>
      <c r="AF864" s="2">
        <v>0.213511258363724</v>
      </c>
      <c r="AG864" s="2">
        <v>0.27840837836265597</v>
      </c>
      <c r="AH864" s="2">
        <v>-0.13648200035095201</v>
      </c>
      <c r="AI864" s="2">
        <v>-4.8352777957916301E-2</v>
      </c>
      <c r="AJ864" s="2">
        <v>0.44986855190129699</v>
      </c>
      <c r="AK864" s="2">
        <v>0.45050277528184601</v>
      </c>
      <c r="AL864" s="2">
        <v>0.49827024472403803</v>
      </c>
      <c r="AM864" s="2">
        <v>0.49026516079902699</v>
      </c>
      <c r="AN864" s="2">
        <v>0.57325899600982699</v>
      </c>
      <c r="AO864" s="2">
        <v>0.29311200976371798</v>
      </c>
      <c r="AP864" s="2">
        <v>0.689306199550629</v>
      </c>
    </row>
    <row r="865" spans="1:42" x14ac:dyDescent="0.3">
      <c r="A865" t="s">
        <v>310</v>
      </c>
      <c r="B865" s="3">
        <v>2020</v>
      </c>
      <c r="C865" s="3">
        <v>30.991206999999999</v>
      </c>
      <c r="D865" s="3">
        <v>1909.79</v>
      </c>
      <c r="E865" t="s">
        <v>311</v>
      </c>
      <c r="G865" s="3">
        <v>1092871.75</v>
      </c>
      <c r="H865" s="3">
        <v>1564706.375</v>
      </c>
      <c r="I865" s="3">
        <v>1566123.25</v>
      </c>
      <c r="J865" s="3">
        <v>1699744.125</v>
      </c>
      <c r="K865" s="3">
        <v>6863015</v>
      </c>
      <c r="L865" s="3">
        <v>0.102195702493191</v>
      </c>
      <c r="M865" s="3">
        <v>0.751004338264465</v>
      </c>
      <c r="N865" s="3">
        <v>0.66321611404419001</v>
      </c>
      <c r="O865" s="3">
        <v>1058702.375</v>
      </c>
      <c r="P865" s="3">
        <v>1545301.625</v>
      </c>
      <c r="Q865" s="3">
        <v>1.0410083532333401</v>
      </c>
      <c r="R865" s="3">
        <v>0.27961787581443798</v>
      </c>
      <c r="S865" s="3">
        <v>0.48521357774734503</v>
      </c>
      <c r="T865" s="3">
        <v>0.46884641051292397</v>
      </c>
      <c r="U865" s="3">
        <v>0.43198925256729098</v>
      </c>
      <c r="W865" t="s">
        <v>50</v>
      </c>
      <c r="X865" t="s">
        <v>54</v>
      </c>
      <c r="Y865" t="s">
        <v>52</v>
      </c>
      <c r="Z865" t="s">
        <v>53</v>
      </c>
      <c r="AA865" t="s">
        <v>53</v>
      </c>
      <c r="AC865" s="2">
        <v>0.66411405146862001</v>
      </c>
      <c r="AD865" s="2">
        <v>0.38047611713409402</v>
      </c>
      <c r="AE865" s="2">
        <v>0.27759158611297602</v>
      </c>
      <c r="AF865" s="2">
        <v>0.26248636841773998</v>
      </c>
      <c r="AG865" s="2">
        <v>0.25139352679252602</v>
      </c>
      <c r="AH865" s="2">
        <v>-0.117069683969021</v>
      </c>
      <c r="AI865" s="2">
        <v>-5.4877869784832001E-2</v>
      </c>
      <c r="AJ865" s="2">
        <v>0.50252230849495505</v>
      </c>
      <c r="AK865" s="2">
        <v>0.43093637119512401</v>
      </c>
      <c r="AL865" s="2">
        <v>0.46012444437386402</v>
      </c>
      <c r="AM865" s="2">
        <v>0.37692505121231101</v>
      </c>
      <c r="AN865" s="2">
        <v>0.60356408357620195</v>
      </c>
      <c r="AO865" s="2">
        <v>0.28154230117797902</v>
      </c>
      <c r="AP865" s="2">
        <v>0.61462712287902799</v>
      </c>
    </row>
    <row r="866" spans="1:42" x14ac:dyDescent="0.3">
      <c r="A866" t="s">
        <v>312</v>
      </c>
      <c r="B866" s="3">
        <v>2015</v>
      </c>
      <c r="C866" s="3">
        <v>40.024431</v>
      </c>
      <c r="D866" s="3">
        <v>2649.87</v>
      </c>
      <c r="E866" t="s">
        <v>313</v>
      </c>
      <c r="G866" s="3">
        <v>280815</v>
      </c>
      <c r="H866" s="3">
        <v>311046.71875</v>
      </c>
      <c r="I866" s="3">
        <v>294547.375</v>
      </c>
      <c r="J866" s="3">
        <v>303396.84375</v>
      </c>
      <c r="K866" s="3">
        <v>599008.3125</v>
      </c>
      <c r="L866" s="3">
        <v>7.8271282836794905E-3</v>
      </c>
      <c r="M866" s="3">
        <v>0.79621654748916604</v>
      </c>
      <c r="N866" s="3">
        <v>0.78751391172409102</v>
      </c>
      <c r="O866" s="3">
        <v>126423.15625</v>
      </c>
      <c r="P866" s="3">
        <v>143672.015625</v>
      </c>
      <c r="Q866" s="3">
        <v>1.0572752952575699</v>
      </c>
      <c r="R866" s="3">
        <v>0.63453376293182395</v>
      </c>
      <c r="S866" s="3">
        <v>0.27902102470397999</v>
      </c>
      <c r="T866" s="3">
        <v>0.28495764732360801</v>
      </c>
      <c r="U866" s="3">
        <v>0.276646047830582</v>
      </c>
      <c r="W866" t="s">
        <v>50</v>
      </c>
      <c r="X866" t="s">
        <v>51</v>
      </c>
      <c r="Y866" t="s">
        <v>52</v>
      </c>
      <c r="Z866" t="s">
        <v>53</v>
      </c>
      <c r="AA866" t="s">
        <v>53</v>
      </c>
      <c r="AC866" s="2">
        <v>0.327835107413535</v>
      </c>
      <c r="AD866" s="2">
        <v>0.78072863817214999</v>
      </c>
      <c r="AE866" s="2">
        <v>9.9644131958484705E-2</v>
      </c>
      <c r="AF866" s="2">
        <v>0.144841328263283</v>
      </c>
      <c r="AG866" s="2">
        <v>3.6375377327203799E-2</v>
      </c>
      <c r="AH866" s="2">
        <v>-6.15909621119499E-2</v>
      </c>
      <c r="AI866" s="2">
        <v>1.4433693422688499E-6</v>
      </c>
      <c r="AJ866" s="2">
        <v>0.308632462115211</v>
      </c>
      <c r="AK866" s="2">
        <v>0.34010155424663602</v>
      </c>
      <c r="AL866" s="2">
        <v>0.11940835520698399</v>
      </c>
      <c r="AM866" s="2">
        <v>0.494599789381027</v>
      </c>
      <c r="AN866" s="2">
        <v>0.54371994733810403</v>
      </c>
      <c r="AO866" s="2">
        <v>0.21290984749794001</v>
      </c>
      <c r="AP866" s="2">
        <v>0.52360314130783103</v>
      </c>
    </row>
    <row r="867" spans="1:42" x14ac:dyDescent="0.3">
      <c r="A867" t="s">
        <v>312</v>
      </c>
      <c r="B867" s="3">
        <v>2016</v>
      </c>
      <c r="C867" s="3">
        <v>41.259892000000001</v>
      </c>
      <c r="D867" s="3">
        <v>2660.64</v>
      </c>
      <c r="E867" t="s">
        <v>313</v>
      </c>
      <c r="G867" s="3">
        <v>425685.21875</v>
      </c>
      <c r="H867" s="3">
        <v>457711.84375</v>
      </c>
      <c r="I867" s="3">
        <v>433566.09375</v>
      </c>
      <c r="J867" s="3">
        <v>447622.65625</v>
      </c>
      <c r="K867" s="3">
        <v>647620.4375</v>
      </c>
      <c r="L867" s="3">
        <v>8.2626165822148306E-3</v>
      </c>
      <c r="M867" s="3">
        <v>1.11575031280518</v>
      </c>
      <c r="N867" s="3">
        <v>1.1030343770980799</v>
      </c>
      <c r="O867" s="3">
        <v>135555.328125</v>
      </c>
      <c r="P867" s="3">
        <v>153269.28125</v>
      </c>
      <c r="Q867" s="3">
        <v>1.0650426149368299</v>
      </c>
      <c r="R867" s="3">
        <v>0.63453376293182395</v>
      </c>
      <c r="S867" s="3">
        <v>0.22143468260765101</v>
      </c>
      <c r="T867" s="3">
        <v>0.22479265928268399</v>
      </c>
      <c r="U867" s="3">
        <v>0.21773356199264501</v>
      </c>
      <c r="W867" t="s">
        <v>50</v>
      </c>
      <c r="X867" t="s">
        <v>51</v>
      </c>
      <c r="Y867" t="s">
        <v>52</v>
      </c>
      <c r="Z867" t="s">
        <v>53</v>
      </c>
      <c r="AA867" t="s">
        <v>62</v>
      </c>
      <c r="AC867" s="2">
        <v>0.30650563090043098</v>
      </c>
      <c r="AD867" s="2">
        <v>0.80862373113632202</v>
      </c>
      <c r="AE867" s="2">
        <v>7.1548230946063995E-2</v>
      </c>
      <c r="AF867" s="2">
        <v>0.14236748218536399</v>
      </c>
      <c r="AG867" s="2">
        <v>2.14038714766502E-2</v>
      </c>
      <c r="AH867" s="2">
        <v>-4.3944355100393302E-2</v>
      </c>
      <c r="AI867" s="2">
        <v>1.0901721907430301E-6</v>
      </c>
      <c r="AJ867" s="2">
        <v>0.244526829378932</v>
      </c>
      <c r="AK867" s="2">
        <v>0.269425786012229</v>
      </c>
      <c r="AL867" s="2">
        <v>9.0275101503728902E-2</v>
      </c>
      <c r="AM867" s="2">
        <v>0.53771793842315696</v>
      </c>
      <c r="AN867" s="2">
        <v>0.53784579038619995</v>
      </c>
      <c r="AO867" s="2">
        <v>0.16839843988418601</v>
      </c>
      <c r="AP867" s="2">
        <v>0.55799508094787598</v>
      </c>
    </row>
    <row r="868" spans="1:42" x14ac:dyDescent="0.3">
      <c r="A868" t="s">
        <v>312</v>
      </c>
      <c r="B868" s="3">
        <v>2017</v>
      </c>
      <c r="C868" s="3">
        <v>42.714306000000001</v>
      </c>
      <c r="D868" s="3">
        <v>2664.92</v>
      </c>
      <c r="E868" t="s">
        <v>313</v>
      </c>
      <c r="G868" s="3">
        <v>552283.8125</v>
      </c>
      <c r="H868" s="3">
        <v>598074.5625</v>
      </c>
      <c r="I868" s="3">
        <v>564443.9375</v>
      </c>
      <c r="J868" s="3">
        <v>584907.0625</v>
      </c>
      <c r="K868" s="3">
        <v>1033979.5</v>
      </c>
      <c r="L868" s="3">
        <v>1.2807029299438E-2</v>
      </c>
      <c r="M868" s="3">
        <v>1.16305363178253</v>
      </c>
      <c r="N868" s="3">
        <v>1.1452559232711801</v>
      </c>
      <c r="O868" s="3">
        <v>144274.265625</v>
      </c>
      <c r="P868" s="3">
        <v>158912.78125</v>
      </c>
      <c r="Q868" s="3">
        <v>1.0877441167831401</v>
      </c>
      <c r="R868" s="3">
        <v>0.63453376293182395</v>
      </c>
      <c r="S868" s="3">
        <v>0.21055141091346699</v>
      </c>
      <c r="T868" s="3">
        <v>0.21627077460288999</v>
      </c>
      <c r="U868" s="3">
        <v>0.20870448648929599</v>
      </c>
      <c r="W868" t="s">
        <v>51</v>
      </c>
      <c r="X868" t="s">
        <v>51</v>
      </c>
      <c r="Y868" t="s">
        <v>52</v>
      </c>
      <c r="Z868" t="s">
        <v>53</v>
      </c>
      <c r="AA868" t="s">
        <v>53</v>
      </c>
      <c r="AC868" s="2">
        <v>0.30607127031854298</v>
      </c>
      <c r="AD868" s="2">
        <v>0.79041099548339799</v>
      </c>
      <c r="AE868" s="2">
        <v>7.8287199139595004E-2</v>
      </c>
      <c r="AF868" s="2">
        <v>0.15381391346454601</v>
      </c>
      <c r="AG868" s="2">
        <v>2.4830948561430002E-2</v>
      </c>
      <c r="AH868" s="2">
        <v>-4.7344483435154003E-2</v>
      </c>
      <c r="AI868" s="2">
        <v>1.4708479056935201E-6</v>
      </c>
      <c r="AJ868" s="2">
        <v>0.23348428482519001</v>
      </c>
      <c r="AK868" s="2">
        <v>0.28525242464733702</v>
      </c>
      <c r="AL868" s="2">
        <v>9.2705104809491207E-2</v>
      </c>
      <c r="AM868" s="2">
        <v>0.54590314626693703</v>
      </c>
      <c r="AN868" s="2">
        <v>0.54896783828735396</v>
      </c>
      <c r="AO868" s="2">
        <v>0.19631636142730699</v>
      </c>
      <c r="AP868" s="2">
        <v>0.43462121486663802</v>
      </c>
    </row>
    <row r="869" spans="1:42" x14ac:dyDescent="0.3">
      <c r="A869" t="s">
        <v>312</v>
      </c>
      <c r="B869" s="3">
        <v>2018</v>
      </c>
      <c r="C869" s="3">
        <v>44.230595999999998</v>
      </c>
      <c r="D869" s="3">
        <v>2672.51</v>
      </c>
      <c r="E869" t="s">
        <v>313</v>
      </c>
      <c r="G869" s="3">
        <v>293156.28125</v>
      </c>
      <c r="H869" s="3">
        <v>329690.03125</v>
      </c>
      <c r="I869" s="3">
        <v>301301.90625</v>
      </c>
      <c r="J869" s="3">
        <v>321880.1875</v>
      </c>
      <c r="K869" s="3">
        <v>939177.625</v>
      </c>
      <c r="L869" s="3">
        <v>1.1089996434748201E-2</v>
      </c>
      <c r="M869" s="3">
        <v>0.65513700246810902</v>
      </c>
      <c r="N869" s="3">
        <v>0.64593601226806596</v>
      </c>
      <c r="O869" s="3">
        <v>146868.4375</v>
      </c>
      <c r="P869" s="3">
        <v>161750.453125</v>
      </c>
      <c r="Q869" s="3">
        <v>1.0312205553054801</v>
      </c>
      <c r="R869" s="3">
        <v>0.63453376293182395</v>
      </c>
      <c r="S869" s="3">
        <v>0.15449835360050199</v>
      </c>
      <c r="T869" s="3">
        <v>0.160514906048775</v>
      </c>
      <c r="U869" s="3">
        <v>0.15025295317173001</v>
      </c>
      <c r="W869" t="s">
        <v>50</v>
      </c>
      <c r="X869" t="s">
        <v>51</v>
      </c>
      <c r="Y869" t="s">
        <v>52</v>
      </c>
      <c r="Z869" t="s">
        <v>62</v>
      </c>
      <c r="AA869" t="s">
        <v>53</v>
      </c>
      <c r="AC869" s="2">
        <v>0.19479101876719801</v>
      </c>
      <c r="AD869" s="2">
        <v>0.71051871776580799</v>
      </c>
      <c r="AE869" s="2">
        <v>0.113501079380512</v>
      </c>
      <c r="AF869" s="2">
        <v>0.20024332404136699</v>
      </c>
      <c r="AG869" s="2">
        <v>1.69099383056164E-2</v>
      </c>
      <c r="AH869" s="2">
        <v>-4.1173819452524199E-2</v>
      </c>
      <c r="AI869" s="2">
        <v>7.6489629918796698E-7</v>
      </c>
      <c r="AJ869" s="2">
        <v>0.18165664792525599</v>
      </c>
      <c r="AK869" s="2">
        <v>0.20879332254594599</v>
      </c>
      <c r="AL869" s="2">
        <v>5.8133182684017397E-2</v>
      </c>
      <c r="AM869" s="2">
        <v>0.537542104721069</v>
      </c>
      <c r="AN869" s="2">
        <v>0.56459355354309104</v>
      </c>
      <c r="AO869" s="2">
        <v>0.144175469875336</v>
      </c>
      <c r="AP869" s="2">
        <v>0.21728073060512501</v>
      </c>
    </row>
    <row r="870" spans="1:42" x14ac:dyDescent="0.3">
      <c r="A870" t="s">
        <v>312</v>
      </c>
      <c r="B870" s="3">
        <v>2019</v>
      </c>
      <c r="C870" s="3">
        <v>45.548175000000001</v>
      </c>
      <c r="D870" s="3">
        <v>2681.18</v>
      </c>
      <c r="E870" t="s">
        <v>313</v>
      </c>
      <c r="G870" s="3">
        <v>228738.484375</v>
      </c>
      <c r="H870" s="3">
        <v>251051.25</v>
      </c>
      <c r="I870" s="3">
        <v>229830.84375</v>
      </c>
      <c r="J870" s="3">
        <v>243129.234375</v>
      </c>
      <c r="K870" s="3">
        <v>512229.71875</v>
      </c>
      <c r="L870" s="3">
        <v>5.9131244197487796E-3</v>
      </c>
      <c r="M870" s="3">
        <v>0.62618631124496504</v>
      </c>
      <c r="N870" s="3">
        <v>0.62219911813735995</v>
      </c>
      <c r="O870" s="3">
        <v>148159.9375</v>
      </c>
      <c r="P870" s="3">
        <v>163310.03125</v>
      </c>
      <c r="Q870" s="3">
        <v>1.07628262042999</v>
      </c>
      <c r="R870" s="3">
        <v>0.63453376293182395</v>
      </c>
      <c r="S870" s="3">
        <v>0.14856556057930001</v>
      </c>
      <c r="T870" s="3">
        <v>0.15280340611934701</v>
      </c>
      <c r="U870" s="3">
        <v>0.14444553852081299</v>
      </c>
      <c r="W870" t="s">
        <v>50</v>
      </c>
      <c r="X870" t="s">
        <v>54</v>
      </c>
      <c r="Y870" t="s">
        <v>52</v>
      </c>
      <c r="Z870" t="s">
        <v>53</v>
      </c>
      <c r="AA870" t="s">
        <v>53</v>
      </c>
      <c r="AC870" s="2">
        <v>0.17550386337078899</v>
      </c>
      <c r="AD870" s="2">
        <v>0.741951763629913</v>
      </c>
      <c r="AE870" s="2">
        <v>9.1773301362991305E-2</v>
      </c>
      <c r="AF870" s="2">
        <v>0.19885848462581601</v>
      </c>
      <c r="AG870" s="2">
        <v>2.27929446846247E-2</v>
      </c>
      <c r="AH870" s="2">
        <v>-5.5375881493091597E-2</v>
      </c>
      <c r="AI870" s="2">
        <v>-6.2216537344283996E-7</v>
      </c>
      <c r="AJ870" s="2">
        <v>0.17292550248882699</v>
      </c>
      <c r="AK870" s="2">
        <v>0.196247571161838</v>
      </c>
      <c r="AL870" s="2">
        <v>5.7677308179346E-2</v>
      </c>
      <c r="AM870" s="2">
        <v>0.53681415319442805</v>
      </c>
      <c r="AN870" s="2">
        <v>0.46179357171058699</v>
      </c>
      <c r="AO870" s="2">
        <v>0.13258570432663</v>
      </c>
      <c r="AP870" s="2">
        <v>0.24688117206096699</v>
      </c>
    </row>
    <row r="871" spans="1:42" x14ac:dyDescent="0.3">
      <c r="A871" t="s">
        <v>312</v>
      </c>
      <c r="B871" s="3">
        <v>2020</v>
      </c>
      <c r="C871" s="3">
        <v>46.789231000000001</v>
      </c>
      <c r="D871" s="3">
        <v>2598.73</v>
      </c>
      <c r="E871" t="s">
        <v>313</v>
      </c>
      <c r="G871" s="3">
        <v>208663.9375</v>
      </c>
      <c r="H871" s="3">
        <v>233744.90625</v>
      </c>
      <c r="I871" s="3">
        <v>216021.71875</v>
      </c>
      <c r="J871" s="3">
        <v>227351.109375</v>
      </c>
      <c r="K871" s="3">
        <v>623106.625</v>
      </c>
      <c r="L871" s="3">
        <v>6.79618399590254E-3</v>
      </c>
      <c r="M871" s="3">
        <v>0.54751712083816495</v>
      </c>
      <c r="N871" s="3">
        <v>0.54001551866531405</v>
      </c>
      <c r="O871" s="3">
        <v>142466.921875</v>
      </c>
      <c r="P871" s="3">
        <v>157384.078125</v>
      </c>
      <c r="Q871" s="3">
        <v>1.0524036884307899</v>
      </c>
      <c r="R871" s="3">
        <v>0.63453376293182395</v>
      </c>
      <c r="S871" s="3">
        <v>0.15650066733360299</v>
      </c>
      <c r="T871" s="3">
        <v>0.15875212848186501</v>
      </c>
      <c r="U871" s="3">
        <v>0.15084117650985701</v>
      </c>
      <c r="W871" t="s">
        <v>50</v>
      </c>
      <c r="X871" t="s">
        <v>54</v>
      </c>
      <c r="Y871" t="s">
        <v>199</v>
      </c>
      <c r="Z871" t="s">
        <v>53</v>
      </c>
      <c r="AA871" t="s">
        <v>53</v>
      </c>
      <c r="AC871" s="2">
        <v>0.15495270320247401</v>
      </c>
      <c r="AD871" s="2">
        <v>0.78638166189193703</v>
      </c>
      <c r="AE871" s="2">
        <v>0.110318198800087</v>
      </c>
      <c r="AF871" s="2">
        <v>0.131423130631447</v>
      </c>
      <c r="AG871" s="2">
        <v>2.50329673290253E-2</v>
      </c>
      <c r="AH871" s="2">
        <v>-5.3156536072492599E-2</v>
      </c>
      <c r="AI871" s="2">
        <v>5.3785947784490397E-7</v>
      </c>
      <c r="AJ871" s="2">
        <v>0.168256487042554</v>
      </c>
      <c r="AK871" s="2">
        <v>0.17748339963513701</v>
      </c>
      <c r="AL871" s="2">
        <v>8.6158731992472495E-2</v>
      </c>
      <c r="AM871" s="2">
        <v>0.42210745811462402</v>
      </c>
      <c r="AN871" s="2">
        <v>0.43159744143486001</v>
      </c>
      <c r="AO871" s="2">
        <v>0.11504178494215</v>
      </c>
      <c r="AP871" s="2">
        <v>0.21898989379406</v>
      </c>
    </row>
    <row r="872" spans="1:42" x14ac:dyDescent="0.3">
      <c r="A872" t="s">
        <v>314</v>
      </c>
      <c r="B872" s="3">
        <v>2015</v>
      </c>
      <c r="C872" s="3">
        <v>14.593330999999999</v>
      </c>
      <c r="D872" s="3">
        <v>1888.45</v>
      </c>
      <c r="E872" t="s">
        <v>82</v>
      </c>
      <c r="G872" s="3">
        <v>44123.40234375</v>
      </c>
      <c r="H872" s="3">
        <v>54120.6640625</v>
      </c>
      <c r="I872" s="3">
        <v>47647.171875</v>
      </c>
      <c r="J872" s="3">
        <v>49441.4921875</v>
      </c>
      <c r="K872" s="3">
        <v>135670.0625</v>
      </c>
      <c r="L872" s="3">
        <v>1.4682383043691501E-3</v>
      </c>
      <c r="M872" s="3">
        <v>0.48493766784668002</v>
      </c>
      <c r="N872" s="3">
        <v>0.51211810111999501</v>
      </c>
      <c r="O872" s="3">
        <v>43318.98828125</v>
      </c>
      <c r="P872" s="3">
        <v>54247.02734375</v>
      </c>
      <c r="Q872" s="3">
        <v>1.2597067356109599</v>
      </c>
      <c r="R872" s="3">
        <v>0.49195501208305398</v>
      </c>
      <c r="S872" s="3">
        <v>0.35350832343101501</v>
      </c>
      <c r="T872" s="3">
        <v>0.37305152416229298</v>
      </c>
      <c r="U872" s="3">
        <v>0.35951286554336598</v>
      </c>
      <c r="W872" t="s">
        <v>50</v>
      </c>
      <c r="X872" t="s">
        <v>51</v>
      </c>
      <c r="Y872" t="s">
        <v>52</v>
      </c>
      <c r="Z872" t="s">
        <v>53</v>
      </c>
      <c r="AA872" t="s">
        <v>53</v>
      </c>
      <c r="AC872" s="2">
        <v>0.55754503509852105</v>
      </c>
      <c r="AD872" s="2">
        <v>0.75654697418212902</v>
      </c>
      <c r="AE872" s="2">
        <v>0.202203914523125</v>
      </c>
      <c r="AF872" s="2">
        <v>0.13588972389698001</v>
      </c>
      <c r="AG872" s="2">
        <v>9.5333166420459803E-2</v>
      </c>
      <c r="AH872" s="2">
        <v>-0.22197049856185899</v>
      </c>
      <c r="AI872" s="2">
        <v>3.1996749341487898E-2</v>
      </c>
      <c r="AJ872" s="2">
        <v>0.34905478938434797</v>
      </c>
      <c r="AK872" s="2">
        <v>0.45930641284062701</v>
      </c>
      <c r="AL872" s="2">
        <v>0.378302784507627</v>
      </c>
      <c r="AM872" s="2">
        <v>0.55409348011016901</v>
      </c>
      <c r="AN872" s="2">
        <v>0.50984811782836903</v>
      </c>
      <c r="AO872" s="2">
        <v>0.27494311332702598</v>
      </c>
      <c r="AP872" s="2">
        <v>0.821738421916962</v>
      </c>
    </row>
    <row r="873" spans="1:42" x14ac:dyDescent="0.3">
      <c r="A873" t="s">
        <v>314</v>
      </c>
      <c r="B873" s="3">
        <v>2016</v>
      </c>
      <c r="C873" s="3">
        <v>15.034521</v>
      </c>
      <c r="D873" s="3">
        <v>2022.95</v>
      </c>
      <c r="E873" t="s">
        <v>82</v>
      </c>
      <c r="G873" s="3">
        <v>46024.7265625</v>
      </c>
      <c r="H873" s="3">
        <v>56177.04296875</v>
      </c>
      <c r="I873" s="3">
        <v>50232.27734375</v>
      </c>
      <c r="J873" s="3">
        <v>51596.171875</v>
      </c>
      <c r="K873" s="3">
        <v>138547.21875</v>
      </c>
      <c r="L873" s="3">
        <v>1.46647193469107E-3</v>
      </c>
      <c r="M873" s="3">
        <v>0.47535964846611001</v>
      </c>
      <c r="N873" s="3">
        <v>0.50038671493530296</v>
      </c>
      <c r="O873" s="3">
        <v>45542.33203125</v>
      </c>
      <c r="P873" s="3">
        <v>57934.89453125</v>
      </c>
      <c r="Q873" s="3">
        <v>1.21684038639069</v>
      </c>
      <c r="R873" s="3">
        <v>0.48288324475288402</v>
      </c>
      <c r="S873" s="3">
        <v>0.35773620009422302</v>
      </c>
      <c r="T873" s="3">
        <v>0.37904551625251798</v>
      </c>
      <c r="U873" s="3">
        <v>0.36902579665183999</v>
      </c>
      <c r="W873" t="s">
        <v>50</v>
      </c>
      <c r="X873" t="s">
        <v>51</v>
      </c>
      <c r="Y873" t="s">
        <v>52</v>
      </c>
      <c r="Z873" t="s">
        <v>53</v>
      </c>
      <c r="AA873" t="s">
        <v>53</v>
      </c>
      <c r="AC873" s="2">
        <v>0.55786422176054296</v>
      </c>
      <c r="AD873" s="2">
        <v>0.759765565395355</v>
      </c>
      <c r="AE873" s="2">
        <v>0.196764916181564</v>
      </c>
      <c r="AF873" s="2">
        <v>0.132252678275108</v>
      </c>
      <c r="AG873" s="2">
        <v>9.3255735933780698E-2</v>
      </c>
      <c r="AH873" s="2">
        <v>-0.212726294994354</v>
      </c>
      <c r="AI873" s="2">
        <v>3.0687436461448701E-2</v>
      </c>
      <c r="AJ873" s="2">
        <v>0.35185593518774999</v>
      </c>
      <c r="AK873" s="2">
        <v>0.47564957770857502</v>
      </c>
      <c r="AL873" s="2">
        <v>0.391517176922278</v>
      </c>
      <c r="AM873" s="2">
        <v>0.54872715473175104</v>
      </c>
      <c r="AN873" s="2">
        <v>0.499087154865265</v>
      </c>
      <c r="AO873" s="2">
        <v>0.28000617027282698</v>
      </c>
      <c r="AP873" s="2">
        <v>0.86906528472900402</v>
      </c>
    </row>
    <row r="874" spans="1:42" x14ac:dyDescent="0.3">
      <c r="A874" t="s">
        <v>314</v>
      </c>
      <c r="B874" s="3">
        <v>2017</v>
      </c>
      <c r="C874" s="3">
        <v>15.475002</v>
      </c>
      <c r="D874" s="3">
        <v>2225.3000000000002</v>
      </c>
      <c r="E874" t="s">
        <v>82</v>
      </c>
      <c r="G874" s="3">
        <v>46797.328125</v>
      </c>
      <c r="H874" s="3">
        <v>59529.9140625</v>
      </c>
      <c r="I874" s="3">
        <v>52290.29296875</v>
      </c>
      <c r="J874" s="3">
        <v>53618.171875</v>
      </c>
      <c r="K874" s="3">
        <v>149610.765625</v>
      </c>
      <c r="L874" s="3">
        <v>1.5692850574850999E-3</v>
      </c>
      <c r="M874" s="3">
        <v>0.43407192826271102</v>
      </c>
      <c r="N874" s="3">
        <v>0.46410840749740601</v>
      </c>
      <c r="O874" s="3">
        <v>47702.01171875</v>
      </c>
      <c r="P874" s="3">
        <v>63589.52734375</v>
      </c>
      <c r="Q874" s="3">
        <v>1.1634107828140301</v>
      </c>
      <c r="R874" s="3">
        <v>0.49590048193931602</v>
      </c>
      <c r="S874" s="3">
        <v>0.377015501260757</v>
      </c>
      <c r="T874" s="3">
        <v>0.40153858065605202</v>
      </c>
      <c r="U874" s="3">
        <v>0.39159429073333701</v>
      </c>
      <c r="W874" t="s">
        <v>51</v>
      </c>
      <c r="X874" t="s">
        <v>51</v>
      </c>
      <c r="Y874" t="s">
        <v>52</v>
      </c>
      <c r="Z874" t="s">
        <v>53</v>
      </c>
      <c r="AA874" t="s">
        <v>53</v>
      </c>
      <c r="AC874" s="2">
        <v>0.53317747544734395</v>
      </c>
      <c r="AD874" s="2">
        <v>0.741876900196075</v>
      </c>
      <c r="AE874" s="2">
        <v>0.237467706203461</v>
      </c>
      <c r="AF874" s="2">
        <v>0.13091166317462899</v>
      </c>
      <c r="AG874" s="2">
        <v>9.9272146821022006E-2</v>
      </c>
      <c r="AH874" s="2">
        <v>-0.24918463826179499</v>
      </c>
      <c r="AI874" s="2">
        <v>3.9656192064285299E-2</v>
      </c>
      <c r="AJ874" s="2">
        <v>0.37157760357296299</v>
      </c>
      <c r="AK874" s="2">
        <v>0.49167071106898402</v>
      </c>
      <c r="AL874" s="2">
        <v>0.40783200277788501</v>
      </c>
      <c r="AM874" s="2">
        <v>0.56155538558960005</v>
      </c>
      <c r="AN874" s="2">
        <v>0.503612041473389</v>
      </c>
      <c r="AO874" s="2">
        <v>0.28991773724556003</v>
      </c>
      <c r="AP874" s="2">
        <v>0.84150403738021895</v>
      </c>
    </row>
    <row r="875" spans="1:42" x14ac:dyDescent="0.3">
      <c r="A875" t="s">
        <v>314</v>
      </c>
      <c r="B875" s="3">
        <v>2018</v>
      </c>
      <c r="C875" s="3">
        <v>15.914498</v>
      </c>
      <c r="D875" s="3">
        <v>2267.92</v>
      </c>
      <c r="E875" t="s">
        <v>82</v>
      </c>
      <c r="G875" s="3">
        <v>48613.55078125</v>
      </c>
      <c r="H875" s="3">
        <v>63836.02734375</v>
      </c>
      <c r="I875" s="3">
        <v>55082.51953125</v>
      </c>
      <c r="J875" s="3">
        <v>56464.9375</v>
      </c>
      <c r="K875" s="3">
        <v>168922.5</v>
      </c>
      <c r="L875" s="3">
        <v>1.75046408548951E-3</v>
      </c>
      <c r="M875" s="3">
        <v>0.41085013747215299</v>
      </c>
      <c r="N875" s="3">
        <v>0.44711190462112399</v>
      </c>
      <c r="O875" s="3">
        <v>49867.76953125</v>
      </c>
      <c r="P875" s="3">
        <v>67799.9453125</v>
      </c>
      <c r="Q875" s="3">
        <v>1.13531458377838</v>
      </c>
      <c r="R875" s="3">
        <v>0.494434624910355</v>
      </c>
      <c r="S875" s="3">
        <v>0.39584037661552401</v>
      </c>
      <c r="T875" s="3">
        <v>0.41967430710792503</v>
      </c>
      <c r="U875" s="3">
        <v>0.40939956903457603</v>
      </c>
      <c r="W875" t="s">
        <v>50</v>
      </c>
      <c r="X875" t="s">
        <v>51</v>
      </c>
      <c r="Y875" t="s">
        <v>52</v>
      </c>
      <c r="Z875" t="s">
        <v>53</v>
      </c>
      <c r="AA875" t="s">
        <v>53</v>
      </c>
      <c r="AC875" s="2">
        <v>0.53633315475159404</v>
      </c>
      <c r="AD875" s="2">
        <v>0.72579830884933505</v>
      </c>
      <c r="AE875" s="2">
        <v>0.26959168910980202</v>
      </c>
      <c r="AF875" s="2">
        <v>0.13515280187129999</v>
      </c>
      <c r="AG875" s="2">
        <v>0.11097476631403</v>
      </c>
      <c r="AH875" s="2">
        <v>-0.27502340078353898</v>
      </c>
      <c r="AI875" s="2">
        <v>3.35058122873306E-2</v>
      </c>
      <c r="AJ875" s="2">
        <v>0.39179619171435598</v>
      </c>
      <c r="AK875" s="2">
        <v>0.49578894073218299</v>
      </c>
      <c r="AL875" s="2">
        <v>0.41755853582862701</v>
      </c>
      <c r="AM875" s="2">
        <v>0.57822167873382602</v>
      </c>
      <c r="AN875" s="2">
        <v>0.51975774765014704</v>
      </c>
      <c r="AO875" s="2">
        <v>0.29687878489494302</v>
      </c>
      <c r="AP875" s="2">
        <v>0.789434373378754</v>
      </c>
    </row>
    <row r="876" spans="1:42" x14ac:dyDescent="0.3">
      <c r="A876" t="s">
        <v>314</v>
      </c>
      <c r="B876" s="3">
        <v>2019</v>
      </c>
      <c r="C876" s="3">
        <v>16.352922</v>
      </c>
      <c r="D876" s="3">
        <v>2315.41</v>
      </c>
      <c r="E876" t="s">
        <v>82</v>
      </c>
      <c r="G876" s="3">
        <v>51949.21484375</v>
      </c>
      <c r="H876" s="3">
        <v>68514.4765625</v>
      </c>
      <c r="I876" s="3">
        <v>59958.421875</v>
      </c>
      <c r="J876" s="3">
        <v>61305.69921875</v>
      </c>
      <c r="K876" s="3">
        <v>191785.78125</v>
      </c>
      <c r="L876" s="3">
        <v>1.95796438492835E-3</v>
      </c>
      <c r="M876" s="3">
        <v>0.38226079940795898</v>
      </c>
      <c r="N876" s="3">
        <v>0.41109469532966603</v>
      </c>
      <c r="O876" s="3">
        <v>52081.19921875</v>
      </c>
      <c r="P876" s="3">
        <v>70207.265625</v>
      </c>
      <c r="Q876" s="3">
        <v>1.05274105072021</v>
      </c>
      <c r="R876" s="3">
        <v>0.50312280654907204</v>
      </c>
      <c r="S876" s="3">
        <v>0.37079480290412897</v>
      </c>
      <c r="T876" s="3">
        <v>0.39033707976341298</v>
      </c>
      <c r="U876" s="3">
        <v>0.38175886869430498</v>
      </c>
      <c r="W876" t="s">
        <v>50</v>
      </c>
      <c r="X876" t="s">
        <v>54</v>
      </c>
      <c r="Y876" t="s">
        <v>52</v>
      </c>
      <c r="Z876" t="s">
        <v>53</v>
      </c>
      <c r="AA876" t="s">
        <v>53</v>
      </c>
      <c r="AC876" s="2">
        <v>0.56144972439641905</v>
      </c>
      <c r="AD876" s="2">
        <v>0.70741540193557695</v>
      </c>
      <c r="AE876" s="2">
        <v>0.27020752429962203</v>
      </c>
      <c r="AF876" s="2">
        <v>0.13996450603008301</v>
      </c>
      <c r="AG876" s="2">
        <v>0.12371081858873401</v>
      </c>
      <c r="AH876" s="2">
        <v>-0.268023312091827</v>
      </c>
      <c r="AI876" s="2">
        <v>2.6725068688392601E-2</v>
      </c>
      <c r="AJ876" s="2">
        <v>0.36856510750615201</v>
      </c>
      <c r="AK876" s="2">
        <v>0.45162231165237199</v>
      </c>
      <c r="AL876" s="2">
        <v>0.38206431721406497</v>
      </c>
      <c r="AM876" s="2">
        <v>0.55095154047012296</v>
      </c>
      <c r="AN876" s="2">
        <v>0.49562153220176702</v>
      </c>
      <c r="AO876" s="2">
        <v>0.274050682783127</v>
      </c>
      <c r="AP876" s="2">
        <v>0.67553937435150202</v>
      </c>
    </row>
    <row r="877" spans="1:42" x14ac:dyDescent="0.3">
      <c r="A877" t="s">
        <v>314</v>
      </c>
      <c r="B877" s="3">
        <v>2020</v>
      </c>
      <c r="C877" s="3">
        <v>16.789218999999999</v>
      </c>
      <c r="D877" s="3">
        <v>2218.2399999999998</v>
      </c>
      <c r="E877" t="s">
        <v>82</v>
      </c>
      <c r="G877" s="3">
        <v>53324.8828125</v>
      </c>
      <c r="H877" s="3">
        <v>72782.1484375</v>
      </c>
      <c r="I877" s="3">
        <v>61344.078125</v>
      </c>
      <c r="J877" s="3">
        <v>62942.234375</v>
      </c>
      <c r="K877" s="3">
        <v>210536.515625</v>
      </c>
      <c r="L877" s="3">
        <v>2.1009428892284601E-3</v>
      </c>
      <c r="M877" s="3">
        <v>0.368997782468796</v>
      </c>
      <c r="N877" s="3">
        <v>0.40932655334472701</v>
      </c>
      <c r="O877" s="3">
        <v>53153.7734375</v>
      </c>
      <c r="P877" s="3">
        <v>74510.859375</v>
      </c>
      <c r="Q877" s="3">
        <v>1.0203107595443699</v>
      </c>
      <c r="R877" s="3">
        <v>0.51635885238647505</v>
      </c>
      <c r="S877" s="3">
        <v>0.38187551498413103</v>
      </c>
      <c r="T877" s="3">
        <v>0.39988398551940901</v>
      </c>
      <c r="U877" s="3">
        <v>0.38973057270050099</v>
      </c>
      <c r="W877" t="s">
        <v>50</v>
      </c>
      <c r="X877" t="s">
        <v>54</v>
      </c>
      <c r="Y877" t="s">
        <v>52</v>
      </c>
      <c r="Z877" t="s">
        <v>53</v>
      </c>
      <c r="AA877" t="s">
        <v>53</v>
      </c>
      <c r="AC877" s="2">
        <v>0.578742093285739</v>
      </c>
      <c r="AD877" s="2">
        <v>0.70276689529419001</v>
      </c>
      <c r="AE877" s="2">
        <v>0.30912899971008301</v>
      </c>
      <c r="AF877" s="2">
        <v>0.14443656802177399</v>
      </c>
      <c r="AG877" s="2">
        <v>0.104165621101856</v>
      </c>
      <c r="AH877" s="2">
        <v>-0.27489641308784502</v>
      </c>
      <c r="AI877" s="2">
        <v>1.4398316852748399E-2</v>
      </c>
      <c r="AJ877" s="2">
        <v>0.38116734745748898</v>
      </c>
      <c r="AK877" s="2">
        <v>0.44923823190605999</v>
      </c>
      <c r="AL877" s="2">
        <v>0.38532109540058801</v>
      </c>
      <c r="AM877" s="2">
        <v>0.55348640680313099</v>
      </c>
      <c r="AN877" s="2">
        <v>0.49449160695076</v>
      </c>
      <c r="AO877" s="2">
        <v>0.27242690324783297</v>
      </c>
      <c r="AP877" s="2">
        <v>0.67056453227996804</v>
      </c>
    </row>
    <row r="878" spans="1:42" x14ac:dyDescent="0.3">
      <c r="A878" t="s">
        <v>315</v>
      </c>
      <c r="B878" s="3">
        <v>2015</v>
      </c>
      <c r="C878" s="3">
        <v>5.5253399999999999</v>
      </c>
      <c r="D878" s="3">
        <v>2363.25</v>
      </c>
      <c r="E878" t="s">
        <v>316</v>
      </c>
      <c r="G878" s="3">
        <v>220450.328125</v>
      </c>
      <c r="H878" s="3">
        <v>360285.5625</v>
      </c>
      <c r="I878" s="3">
        <v>495563.4375</v>
      </c>
      <c r="J878" s="3">
        <v>466042.90625</v>
      </c>
      <c r="K878" s="3">
        <v>2128838.75</v>
      </c>
      <c r="L878" s="3">
        <v>2.5224236771464299E-2</v>
      </c>
      <c r="M878" s="3">
        <v>0.811254322528839</v>
      </c>
      <c r="N878" s="3">
        <v>0.60504847764968905</v>
      </c>
      <c r="O878" s="3">
        <v>207966.40625</v>
      </c>
      <c r="P878" s="3">
        <v>346278.34375</v>
      </c>
      <c r="Q878" s="3">
        <v>0.99081486463546797</v>
      </c>
      <c r="R878" s="3">
        <v>0.43946778774261502</v>
      </c>
      <c r="S878" s="3">
        <v>0.66152858734130904</v>
      </c>
      <c r="T878" s="3">
        <v>0.62151181697845503</v>
      </c>
      <c r="U878" s="3">
        <v>0.660880267620087</v>
      </c>
      <c r="W878" t="s">
        <v>50</v>
      </c>
      <c r="X878" t="s">
        <v>51</v>
      </c>
      <c r="Y878" t="s">
        <v>52</v>
      </c>
      <c r="Z878" t="s">
        <v>53</v>
      </c>
      <c r="AA878" t="s">
        <v>53</v>
      </c>
      <c r="AC878" s="2">
        <v>0.74785482910413803</v>
      </c>
      <c r="AD878" s="2">
        <v>0.35911354422569303</v>
      </c>
      <c r="AE878" s="2">
        <v>0.30004799365997298</v>
      </c>
      <c r="AF878" s="2">
        <v>0.11391228437423701</v>
      </c>
      <c r="AG878" s="2">
        <v>1.2555692195892301</v>
      </c>
      <c r="AH878" s="2">
        <v>-1.13987016677856</v>
      </c>
      <c r="AI878" s="2">
        <v>0.111227169632912</v>
      </c>
      <c r="AJ878" s="2">
        <v>0.68382386876981505</v>
      </c>
      <c r="AK878" s="2">
        <v>0.55842532865152295</v>
      </c>
      <c r="AL878" s="2">
        <v>0.59124174773250704</v>
      </c>
      <c r="AM878" s="2">
        <v>0.61170905828475997</v>
      </c>
      <c r="AN878" s="2">
        <v>0.58001792430877697</v>
      </c>
      <c r="AO878" s="2">
        <v>0.37422758340835599</v>
      </c>
      <c r="AP878" s="2">
        <v>0.91443580389022805</v>
      </c>
    </row>
    <row r="879" spans="1:42" x14ac:dyDescent="0.3">
      <c r="A879" t="s">
        <v>315</v>
      </c>
      <c r="B879" s="3">
        <v>2016</v>
      </c>
      <c r="C879" s="3">
        <v>5.5779300000000003</v>
      </c>
      <c r="D879" s="3">
        <v>2352.1799999999998</v>
      </c>
      <c r="E879" t="s">
        <v>316</v>
      </c>
      <c r="G879" s="3">
        <v>223982.359375</v>
      </c>
      <c r="H879" s="3">
        <v>371056.21875</v>
      </c>
      <c r="I879" s="3">
        <v>507291.65625</v>
      </c>
      <c r="J879" s="3">
        <v>484965.15625</v>
      </c>
      <c r="K879" s="3">
        <v>2171919</v>
      </c>
      <c r="L879" s="3">
        <v>2.5226484984159501E-2</v>
      </c>
      <c r="M879" s="3">
        <v>0.83428931236267101</v>
      </c>
      <c r="N879" s="3">
        <v>0.617146015167236</v>
      </c>
      <c r="O879" s="3">
        <v>214898.1875</v>
      </c>
      <c r="P879" s="3">
        <v>365286.75</v>
      </c>
      <c r="Q879" s="3">
        <v>0.99670493602752697</v>
      </c>
      <c r="R879" s="3">
        <v>0.43946778774261502</v>
      </c>
      <c r="S879" s="3">
        <v>0.66548490524292003</v>
      </c>
      <c r="T879" s="3">
        <v>0.62893575429916404</v>
      </c>
      <c r="U879" s="3">
        <v>0.65789026021957397</v>
      </c>
      <c r="W879" t="s">
        <v>50</v>
      </c>
      <c r="X879" t="s">
        <v>51</v>
      </c>
      <c r="Y879" t="s">
        <v>52</v>
      </c>
      <c r="Z879" t="s">
        <v>53</v>
      </c>
      <c r="AA879" t="s">
        <v>53</v>
      </c>
      <c r="AC879" s="2">
        <v>0.71033110844669001</v>
      </c>
      <c r="AD879" s="2">
        <v>0.35099902749061601</v>
      </c>
      <c r="AE879" s="2">
        <v>0.30326685309410101</v>
      </c>
      <c r="AF879" s="2">
        <v>0.110853455960751</v>
      </c>
      <c r="AG879" s="2">
        <v>1.16294264793396</v>
      </c>
      <c r="AH879" s="2">
        <v>-1.0518947839736901</v>
      </c>
      <c r="AI879" s="2">
        <v>0.123832784593105</v>
      </c>
      <c r="AJ879" s="2">
        <v>0.68339797852994599</v>
      </c>
      <c r="AK879" s="2">
        <v>0.57327415086968903</v>
      </c>
      <c r="AL879" s="2">
        <v>0.60876624564042703</v>
      </c>
      <c r="AM879" s="2">
        <v>0.59945034980773904</v>
      </c>
      <c r="AN879" s="2">
        <v>0.57222020626068104</v>
      </c>
      <c r="AO879" s="2">
        <v>0.37388086318969699</v>
      </c>
      <c r="AP879" s="2">
        <v>0.91763752698898304</v>
      </c>
    </row>
    <row r="880" spans="1:42" x14ac:dyDescent="0.3">
      <c r="A880" t="s">
        <v>315</v>
      </c>
      <c r="B880" s="3">
        <v>2017</v>
      </c>
      <c r="C880" s="3">
        <v>5.6040780000000003</v>
      </c>
      <c r="D880" s="3">
        <v>2334.04</v>
      </c>
      <c r="E880" t="s">
        <v>316</v>
      </c>
      <c r="G880" s="3">
        <v>230369.859375</v>
      </c>
      <c r="H880" s="3">
        <v>391007.59375</v>
      </c>
      <c r="I880" s="3">
        <v>538048.5625</v>
      </c>
      <c r="J880" s="3">
        <v>515833.8125</v>
      </c>
      <c r="K880" s="3">
        <v>2219051.5</v>
      </c>
      <c r="L880" s="3">
        <v>2.5831568986177399E-2</v>
      </c>
      <c r="M880" s="3">
        <v>0.86607581377029397</v>
      </c>
      <c r="N880" s="3">
        <v>0.63221615552902199</v>
      </c>
      <c r="O880" s="3">
        <v>221802.125</v>
      </c>
      <c r="P880" s="3">
        <v>387284.90625</v>
      </c>
      <c r="Q880" s="3">
        <v>1.0146909952163701</v>
      </c>
      <c r="R880" s="3">
        <v>0.43946778774261502</v>
      </c>
      <c r="S880" s="3">
        <v>0.67634332180023204</v>
      </c>
      <c r="T880" s="3">
        <v>0.63796687126159701</v>
      </c>
      <c r="U880" s="3">
        <v>0.665441453456879</v>
      </c>
      <c r="W880" t="s">
        <v>51</v>
      </c>
      <c r="X880" t="s">
        <v>51</v>
      </c>
      <c r="Y880" t="s">
        <v>52</v>
      </c>
      <c r="Z880" t="s">
        <v>53</v>
      </c>
      <c r="AA880" t="s">
        <v>53</v>
      </c>
      <c r="AC880" s="2">
        <v>0.67556683169198395</v>
      </c>
      <c r="AD880" s="2">
        <v>0.33786129951477101</v>
      </c>
      <c r="AE880" s="2">
        <v>0.311413735151291</v>
      </c>
      <c r="AF880" s="2">
        <v>0.108735769987106</v>
      </c>
      <c r="AG880" s="2">
        <v>1.1790187358856199</v>
      </c>
      <c r="AH880" s="2">
        <v>-1.07763040065765</v>
      </c>
      <c r="AI880" s="2">
        <v>0.14060090482234999</v>
      </c>
      <c r="AJ880" s="2">
        <v>0.69330864163285699</v>
      </c>
      <c r="AK880" s="2">
        <v>0.58293145191474405</v>
      </c>
      <c r="AL880" s="2">
        <v>0.62362895415595399</v>
      </c>
      <c r="AM880" s="2">
        <v>0.61372685432434104</v>
      </c>
      <c r="AN880" s="2">
        <v>0.58953565359115601</v>
      </c>
      <c r="AO880" s="2">
        <v>0.37778884172439597</v>
      </c>
      <c r="AP880" s="2">
        <v>0.92931473255157504</v>
      </c>
    </row>
    <row r="881" spans="1:42" x14ac:dyDescent="0.3">
      <c r="A881" t="s">
        <v>315</v>
      </c>
      <c r="B881" s="3">
        <v>2018</v>
      </c>
      <c r="C881" s="3">
        <v>5.6343690000000004</v>
      </c>
      <c r="D881" s="3">
        <v>2306.4499999999998</v>
      </c>
      <c r="E881" t="s">
        <v>316</v>
      </c>
      <c r="G881" s="3">
        <v>237346.28125</v>
      </c>
      <c r="H881" s="3">
        <v>393860.90625</v>
      </c>
      <c r="I881" s="3">
        <v>568585.0625</v>
      </c>
      <c r="J881" s="3">
        <v>530377.9375</v>
      </c>
      <c r="K881" s="3">
        <v>2278563</v>
      </c>
      <c r="L881" s="3">
        <v>2.62186210602522E-2</v>
      </c>
      <c r="M881" s="3">
        <v>0.86191797256469704</v>
      </c>
      <c r="N881" s="3">
        <v>0.61612540483474698</v>
      </c>
      <c r="O881" s="3">
        <v>230707.8125</v>
      </c>
      <c r="P881" s="3">
        <v>392158.1875</v>
      </c>
      <c r="Q881" s="3">
        <v>1.01999664306641</v>
      </c>
      <c r="R881" s="3">
        <v>0.43946778774261502</v>
      </c>
      <c r="S881" s="3">
        <v>0.70698660612106301</v>
      </c>
      <c r="T881" s="3">
        <v>0.66286081075668302</v>
      </c>
      <c r="U881" s="3">
        <v>0.71061182022094704</v>
      </c>
      <c r="W881" t="s">
        <v>50</v>
      </c>
      <c r="X881" t="s">
        <v>51</v>
      </c>
      <c r="Y881" t="s">
        <v>52</v>
      </c>
      <c r="Z881" t="s">
        <v>53</v>
      </c>
      <c r="AA881" t="s">
        <v>53</v>
      </c>
      <c r="AC881" s="2">
        <v>0.68002432554777503</v>
      </c>
      <c r="AD881" s="2">
        <v>0.33840224146843001</v>
      </c>
      <c r="AE881" s="2">
        <v>0.29510021209716802</v>
      </c>
      <c r="AF881" s="2">
        <v>0.109101817011833</v>
      </c>
      <c r="AG881" s="2">
        <v>1.2293342351913501</v>
      </c>
      <c r="AH881" s="2">
        <v>-1.16981649398804</v>
      </c>
      <c r="AI881" s="2">
        <v>0.197878003120422</v>
      </c>
      <c r="AJ881" s="2">
        <v>0.72554615492240204</v>
      </c>
      <c r="AK881" s="2">
        <v>0.59594635695097298</v>
      </c>
      <c r="AL881" s="2">
        <v>0.64942036687245097</v>
      </c>
      <c r="AM881" s="2">
        <v>0.63149631023407005</v>
      </c>
      <c r="AN881" s="2">
        <v>0.59715861082077004</v>
      </c>
      <c r="AO881" s="2">
        <v>0.39464002847671498</v>
      </c>
      <c r="AP881" s="2">
        <v>0.95273977518081698</v>
      </c>
    </row>
    <row r="882" spans="1:42" x14ac:dyDescent="0.3">
      <c r="A882" t="s">
        <v>315</v>
      </c>
      <c r="B882" s="3">
        <v>2019</v>
      </c>
      <c r="C882" s="3">
        <v>5.6695630000000001</v>
      </c>
      <c r="D882" s="3">
        <v>2330.77</v>
      </c>
      <c r="E882" t="s">
        <v>316</v>
      </c>
      <c r="G882" s="3">
        <v>245602.140625</v>
      </c>
      <c r="H882" s="3">
        <v>402756.75</v>
      </c>
      <c r="I882" s="3">
        <v>573617.875</v>
      </c>
      <c r="J882" s="3">
        <v>539802.75</v>
      </c>
      <c r="K882" s="3">
        <v>2312999.5</v>
      </c>
      <c r="L882" s="3">
        <v>2.62790098786354E-2</v>
      </c>
      <c r="M882" s="3">
        <v>0.84832137823104903</v>
      </c>
      <c r="N882" s="3">
        <v>0.60907167196273804</v>
      </c>
      <c r="O882" s="3">
        <v>237286.109375</v>
      </c>
      <c r="P882" s="3">
        <v>399569.4375</v>
      </c>
      <c r="Q882" s="3">
        <v>0.99837487936019897</v>
      </c>
      <c r="R882" s="3">
        <v>0.43946778774261502</v>
      </c>
      <c r="S882" s="3">
        <v>0.69988167285919201</v>
      </c>
      <c r="T882" s="3">
        <v>0.65706032514572099</v>
      </c>
      <c r="U882" s="3">
        <v>0.69822078943252597</v>
      </c>
      <c r="W882" t="s">
        <v>50</v>
      </c>
      <c r="X882" t="s">
        <v>54</v>
      </c>
      <c r="Y882" t="s">
        <v>52</v>
      </c>
      <c r="Z882" t="s">
        <v>53</v>
      </c>
      <c r="AA882" t="s">
        <v>53</v>
      </c>
      <c r="AC882" s="2">
        <v>0.68340000201493101</v>
      </c>
      <c r="AD882" s="2">
        <v>0.34460639953613298</v>
      </c>
      <c r="AE882" s="2">
        <v>0.29113337397575401</v>
      </c>
      <c r="AF882" s="2">
        <v>0.110378563404083</v>
      </c>
      <c r="AG882" s="2">
        <v>1.16935575008392</v>
      </c>
      <c r="AH882" s="2">
        <v>-1.13014328479767</v>
      </c>
      <c r="AI882" s="2">
        <v>0.214669078588486</v>
      </c>
      <c r="AJ882" s="2">
        <v>0.71639731116970395</v>
      </c>
      <c r="AK882" s="2">
        <v>0.59013894137008704</v>
      </c>
      <c r="AL882" s="2">
        <v>0.64831923512150802</v>
      </c>
      <c r="AM882" s="2">
        <v>0.61837565898895297</v>
      </c>
      <c r="AN882" s="2">
        <v>0.58843111991882302</v>
      </c>
      <c r="AO882" s="2">
        <v>0.397531569004059</v>
      </c>
      <c r="AP882" s="2">
        <v>0.91439914703369096</v>
      </c>
    </row>
    <row r="883" spans="1:42" x14ac:dyDescent="0.3">
      <c r="A883" t="s">
        <v>315</v>
      </c>
      <c r="B883" s="3">
        <v>2020</v>
      </c>
      <c r="C883" s="3">
        <v>5.6201499999999998</v>
      </c>
      <c r="D883" s="3">
        <v>2229.11</v>
      </c>
      <c r="E883" t="s">
        <v>316</v>
      </c>
      <c r="G883" s="3">
        <v>222273.96875</v>
      </c>
      <c r="H883" s="3">
        <v>361735.21875</v>
      </c>
      <c r="I883" s="3">
        <v>539427.5625</v>
      </c>
      <c r="J883" s="3">
        <v>522822.71875</v>
      </c>
      <c r="K883" s="3">
        <v>2394954.75</v>
      </c>
      <c r="L883" s="3">
        <v>2.60477885603905E-2</v>
      </c>
      <c r="M883" s="3">
        <v>0.82837617397308405</v>
      </c>
      <c r="N883" s="3">
        <v>0.54982870817184504</v>
      </c>
      <c r="O883" s="3">
        <v>219863.890625</v>
      </c>
      <c r="P883" s="3">
        <v>362581.125</v>
      </c>
      <c r="Q883" s="3">
        <v>0.96758008003234897</v>
      </c>
      <c r="R883" s="3">
        <v>0.43946778774261502</v>
      </c>
      <c r="S883" s="3">
        <v>0.69484984874725297</v>
      </c>
      <c r="T883" s="3">
        <v>0.64788770675659202</v>
      </c>
      <c r="U883" s="3">
        <v>0.66846454143524203</v>
      </c>
      <c r="W883" t="s">
        <v>50</v>
      </c>
      <c r="X883" t="s">
        <v>54</v>
      </c>
      <c r="Y883" t="s">
        <v>52</v>
      </c>
      <c r="Z883" t="s">
        <v>53</v>
      </c>
      <c r="AA883" t="s">
        <v>53</v>
      </c>
      <c r="AC883" s="2">
        <v>0.68411159598368299</v>
      </c>
      <c r="AD883" s="2">
        <v>0.29691618680954002</v>
      </c>
      <c r="AE883" s="2">
        <v>0.26674675941467302</v>
      </c>
      <c r="AF883" s="2">
        <v>0.128225952386856</v>
      </c>
      <c r="AG883" s="2">
        <v>1.19895339012146</v>
      </c>
      <c r="AH883" s="2">
        <v>-1.1280225515365601</v>
      </c>
      <c r="AI883" s="2">
        <v>0.23718023300170901</v>
      </c>
      <c r="AJ883" s="2">
        <v>0.71947873250281602</v>
      </c>
      <c r="AK883" s="2">
        <v>0.57303920426449995</v>
      </c>
      <c r="AL883" s="2">
        <v>0.63781992899766304</v>
      </c>
      <c r="AM883" s="2">
        <v>0.59461820125579801</v>
      </c>
      <c r="AN883" s="2">
        <v>0.57735353708267201</v>
      </c>
      <c r="AO883" s="2">
        <v>0.38649499416351302</v>
      </c>
      <c r="AP883" s="2">
        <v>0.89307409524917603</v>
      </c>
    </row>
    <row r="884" spans="1:42" x14ac:dyDescent="0.3">
      <c r="A884" t="s">
        <v>317</v>
      </c>
      <c r="B884" s="3">
        <v>2015</v>
      </c>
      <c r="C884" s="3">
        <v>7.037655</v>
      </c>
      <c r="D884" s="3"/>
      <c r="E884" t="s">
        <v>318</v>
      </c>
      <c r="G884" s="3">
        <v>15382.8564453125</v>
      </c>
      <c r="H884" s="3">
        <v>16500.4140625</v>
      </c>
      <c r="I884" s="3">
        <v>13182.97265625</v>
      </c>
      <c r="J884" s="3">
        <v>13975.2666015625</v>
      </c>
      <c r="K884" s="3">
        <v>17434.841796875</v>
      </c>
      <c r="L884" s="3">
        <v>2.5183302932418899E-4</v>
      </c>
      <c r="M884" s="3">
        <v>0.45674771070480302</v>
      </c>
      <c r="N884" s="3">
        <v>0.520263731479645</v>
      </c>
      <c r="O884" s="3">
        <v>12065.412109375</v>
      </c>
      <c r="P884" s="3">
        <v>14145.4775390625</v>
      </c>
      <c r="Q884" s="3">
        <v>0.72167468070983898</v>
      </c>
      <c r="R884" s="3">
        <v>0.55316084623336803</v>
      </c>
      <c r="S884" s="3">
        <v>0.33755266666412398</v>
      </c>
      <c r="T884" s="3">
        <v>0.36038365960121199</v>
      </c>
      <c r="U884" s="3">
        <v>0.33995255827903798</v>
      </c>
      <c r="W884" t="s">
        <v>50</v>
      </c>
      <c r="X884" t="s">
        <v>51</v>
      </c>
      <c r="Y884" t="s">
        <v>52</v>
      </c>
      <c r="Z884" t="s">
        <v>53</v>
      </c>
      <c r="AA884" t="s">
        <v>53</v>
      </c>
      <c r="AC884" s="2">
        <v>0.23274411584678101</v>
      </c>
      <c r="AD884" s="2">
        <v>1.00137650966644</v>
      </c>
      <c r="AE884" s="2">
        <v>7.9966828227043193E-2</v>
      </c>
      <c r="AF884" s="2">
        <v>9.9343493580818204E-2</v>
      </c>
      <c r="AG884" s="2">
        <v>0.102933339774609</v>
      </c>
      <c r="AH884" s="2">
        <v>-0.28362020850181602</v>
      </c>
      <c r="AI884" s="2">
        <v>4.1428104002871897E-11</v>
      </c>
      <c r="AJ884" s="2">
        <v>0.33961339542900199</v>
      </c>
      <c r="AK884" s="2">
        <v>0.67464531645835701</v>
      </c>
      <c r="AL884" s="2">
        <v>0.316780684788456</v>
      </c>
      <c r="AM884" s="2">
        <v>0.564755618572235</v>
      </c>
      <c r="AN884" s="2">
        <v>0.50659251213073697</v>
      </c>
      <c r="AO884" s="2">
        <v>0.37986597418785101</v>
      </c>
      <c r="AP884" s="2">
        <v>1.12626075744629</v>
      </c>
    </row>
    <row r="885" spans="1:42" x14ac:dyDescent="0.3">
      <c r="A885" t="s">
        <v>317</v>
      </c>
      <c r="B885" s="3">
        <v>2016</v>
      </c>
      <c r="C885" s="3">
        <v>7.2053279999999997</v>
      </c>
      <c r="D885" s="3"/>
      <c r="E885" t="s">
        <v>318</v>
      </c>
      <c r="G885" s="3">
        <v>17035.701171875</v>
      </c>
      <c r="H885" s="3">
        <v>18287.927734375</v>
      </c>
      <c r="I885" s="3">
        <v>14857.7060546875</v>
      </c>
      <c r="J885" s="3">
        <v>15732.1796875</v>
      </c>
      <c r="K885" s="3">
        <v>17610.283203125</v>
      </c>
      <c r="L885" s="3">
        <v>2.4586654035374501E-4</v>
      </c>
      <c r="M885" s="3">
        <v>0.50519329309463501</v>
      </c>
      <c r="N885" s="3">
        <v>0.56777340173721302</v>
      </c>
      <c r="O885" s="3">
        <v>15257.15234375</v>
      </c>
      <c r="P885" s="3">
        <v>17440.271484375</v>
      </c>
      <c r="Q885" s="3">
        <v>0.82554590702056896</v>
      </c>
      <c r="R885" s="3">
        <v>0.55429250001907404</v>
      </c>
      <c r="S885" s="3">
        <v>0.30068320035934498</v>
      </c>
      <c r="T885" s="3">
        <v>0.32514792680740401</v>
      </c>
      <c r="U885" s="3">
        <v>0.30707457661628701</v>
      </c>
      <c r="W885" t="s">
        <v>50</v>
      </c>
      <c r="X885" t="s">
        <v>51</v>
      </c>
      <c r="Y885" t="s">
        <v>52</v>
      </c>
      <c r="Z885" t="s">
        <v>53</v>
      </c>
      <c r="AA885" t="s">
        <v>53</v>
      </c>
      <c r="AC885" s="2">
        <v>0.25832319427364597</v>
      </c>
      <c r="AD885" s="2">
        <v>0.97814005613327004</v>
      </c>
      <c r="AE885" s="2">
        <v>7.9596497118473095E-2</v>
      </c>
      <c r="AF885" s="2">
        <v>0.104716941714287</v>
      </c>
      <c r="AG885" s="2">
        <v>0.10522618144750601</v>
      </c>
      <c r="AH885" s="2">
        <v>-0.26767963171005299</v>
      </c>
      <c r="AI885" s="2">
        <v>3.2907804953241598E-11</v>
      </c>
      <c r="AJ885" s="2">
        <v>0.30198760971701699</v>
      </c>
      <c r="AK885" s="2">
        <v>0.65797413536659799</v>
      </c>
      <c r="AL885" s="2">
        <v>0.28849900598399703</v>
      </c>
      <c r="AM885" s="2">
        <v>0.54946190118789695</v>
      </c>
      <c r="AN885" s="2">
        <v>0.48084548115730302</v>
      </c>
      <c r="AO885" s="2">
        <v>0.37833836674690202</v>
      </c>
      <c r="AP885" s="2">
        <v>1.1335653066635101</v>
      </c>
    </row>
    <row r="886" spans="1:42" x14ac:dyDescent="0.3">
      <c r="A886" t="s">
        <v>317</v>
      </c>
      <c r="B886" s="3">
        <v>2017</v>
      </c>
      <c r="C886" s="3">
        <v>7.3792989999999996</v>
      </c>
      <c r="D886" s="3"/>
      <c r="E886" t="s">
        <v>318</v>
      </c>
      <c r="G886" s="3">
        <v>17074.498046875</v>
      </c>
      <c r="H886" s="3">
        <v>18393.40625</v>
      </c>
      <c r="I886" s="3">
        <v>15486.23828125</v>
      </c>
      <c r="J886" s="3">
        <v>16117.943359375</v>
      </c>
      <c r="K886" s="3">
        <v>16126.736328125</v>
      </c>
      <c r="L886" s="3">
        <v>2.1971962996758499E-4</v>
      </c>
      <c r="M886" s="3">
        <v>0.53503066301345803</v>
      </c>
      <c r="N886" s="3">
        <v>0.58798396587371804</v>
      </c>
      <c r="O886" s="3">
        <v>15683.880859375</v>
      </c>
      <c r="P886" s="3">
        <v>18497.26171875</v>
      </c>
      <c r="Q886" s="3">
        <v>0.90933322906494096</v>
      </c>
      <c r="R886" s="3">
        <v>0.54782402515411399</v>
      </c>
      <c r="S886" s="3">
        <v>0.307213425636292</v>
      </c>
      <c r="T886" s="3">
        <v>0.33594799041748002</v>
      </c>
      <c r="U886" s="3">
        <v>0.32278126478195202</v>
      </c>
      <c r="W886" t="s">
        <v>51</v>
      </c>
      <c r="X886" t="s">
        <v>51</v>
      </c>
      <c r="Y886" t="s">
        <v>52</v>
      </c>
      <c r="Z886" t="s">
        <v>53</v>
      </c>
      <c r="AA886" t="s">
        <v>53</v>
      </c>
      <c r="AC886" s="2">
        <v>0.26157226340647299</v>
      </c>
      <c r="AD886" s="2">
        <v>0.97323554754257202</v>
      </c>
      <c r="AE886" s="2">
        <v>8.1828601658344297E-2</v>
      </c>
      <c r="AF886" s="2">
        <v>8.6111694574356107E-2</v>
      </c>
      <c r="AG886" s="2">
        <v>9.1891154646873502E-2</v>
      </c>
      <c r="AH886" s="2">
        <v>-0.233066976070404</v>
      </c>
      <c r="AI886" s="2">
        <v>-2.6029291569362701E-11</v>
      </c>
      <c r="AJ886" s="2">
        <v>0.30808782722824202</v>
      </c>
      <c r="AK886" s="2">
        <v>0.70794369252680101</v>
      </c>
      <c r="AL886" s="2">
        <v>0.29733084236549201</v>
      </c>
      <c r="AM886" s="2">
        <v>0.57331132888794001</v>
      </c>
      <c r="AN886" s="2">
        <v>0.48602628707885698</v>
      </c>
      <c r="AO886" s="2">
        <v>0.40912404656410201</v>
      </c>
      <c r="AP886" s="2">
        <v>1.33582639694214</v>
      </c>
    </row>
    <row r="887" spans="1:42" x14ac:dyDescent="0.3">
      <c r="A887" t="s">
        <v>317</v>
      </c>
      <c r="B887" s="3">
        <v>2018</v>
      </c>
      <c r="C887" s="3">
        <v>7.5545629999999999</v>
      </c>
      <c r="D887" s="3"/>
      <c r="E887" t="s">
        <v>318</v>
      </c>
      <c r="G887" s="3">
        <v>21437.880859375</v>
      </c>
      <c r="H887" s="3">
        <v>22946.9453125</v>
      </c>
      <c r="I887" s="3">
        <v>19971.263671875</v>
      </c>
      <c r="J887" s="3">
        <v>20884.052734375</v>
      </c>
      <c r="K887" s="3">
        <v>21155.197265625</v>
      </c>
      <c r="L887" s="3">
        <v>2.7702408260665801E-4</v>
      </c>
      <c r="M887" s="3">
        <v>0.59966814517974898</v>
      </c>
      <c r="N887" s="3">
        <v>0.63425946235656705</v>
      </c>
      <c r="O887" s="3">
        <v>20047.322265625</v>
      </c>
      <c r="P887" s="3">
        <v>22432.685546875</v>
      </c>
      <c r="Q887" s="3">
        <v>1.0087419748306301</v>
      </c>
      <c r="R887" s="3">
        <v>0.54743397235870395</v>
      </c>
      <c r="S887" s="3">
        <v>0.29595586657524098</v>
      </c>
      <c r="T887" s="3">
        <v>0.31998547911643999</v>
      </c>
      <c r="U887" s="3">
        <v>0.305999785661697</v>
      </c>
      <c r="W887" t="s">
        <v>50</v>
      </c>
      <c r="X887" t="s">
        <v>51</v>
      </c>
      <c r="Y887" t="s">
        <v>52</v>
      </c>
      <c r="Z887" t="s">
        <v>53</v>
      </c>
      <c r="AA887" t="s">
        <v>53</v>
      </c>
      <c r="AC887" s="2">
        <v>0.25143148694055201</v>
      </c>
      <c r="AD887" s="2">
        <v>0.95841753482818604</v>
      </c>
      <c r="AE887" s="2">
        <v>7.2259195148944896E-2</v>
      </c>
      <c r="AF887" s="2">
        <v>6.8101599812507602E-2</v>
      </c>
      <c r="AG887" s="2">
        <v>5.8501731604337699E-2</v>
      </c>
      <c r="AH887" s="2">
        <v>-0.15728013217449199</v>
      </c>
      <c r="AI887" s="2">
        <v>1.9728839006916099E-8</v>
      </c>
      <c r="AJ887" s="2">
        <v>0.29619048630831502</v>
      </c>
      <c r="AK887" s="2">
        <v>0.66135204454830798</v>
      </c>
      <c r="AL887" s="2">
        <v>0.292653895314816</v>
      </c>
      <c r="AM887" s="2">
        <v>0.58785915374755904</v>
      </c>
      <c r="AN887" s="2">
        <v>0.50854581594467196</v>
      </c>
      <c r="AO887" s="2">
        <v>0.392461687326431</v>
      </c>
      <c r="AP887" s="2">
        <v>1.2344286441803001</v>
      </c>
    </row>
    <row r="888" spans="1:42" x14ac:dyDescent="0.3">
      <c r="A888" t="s">
        <v>317</v>
      </c>
      <c r="B888" s="3">
        <v>2019</v>
      </c>
      <c r="C888" s="3">
        <v>7.7319909999999998</v>
      </c>
      <c r="D888" s="3"/>
      <c r="E888" t="s">
        <v>318</v>
      </c>
      <c r="G888" s="3">
        <v>21809.873046875</v>
      </c>
      <c r="H888" s="3">
        <v>23394.8125</v>
      </c>
      <c r="I888" s="3">
        <v>19796.974609375</v>
      </c>
      <c r="J888" s="3">
        <v>20949.166015625</v>
      </c>
      <c r="K888" s="3">
        <v>23015.908203125</v>
      </c>
      <c r="L888" s="3">
        <v>2.9239460127428201E-4</v>
      </c>
      <c r="M888" s="3">
        <v>0.55394905805587802</v>
      </c>
      <c r="N888" s="3">
        <v>0.59528249502181996</v>
      </c>
      <c r="O888" s="3">
        <v>21775.95703125</v>
      </c>
      <c r="P888" s="3">
        <v>24106.806640625</v>
      </c>
      <c r="Q888" s="3">
        <v>1.01805484294891</v>
      </c>
      <c r="R888" s="3">
        <v>0.56387197971344005</v>
      </c>
      <c r="S888" s="3">
        <v>0.30553531646728499</v>
      </c>
      <c r="T888" s="3">
        <v>0.32952395081520103</v>
      </c>
      <c r="U888" s="3">
        <v>0.31140032410621599</v>
      </c>
      <c r="W888" t="s">
        <v>50</v>
      </c>
      <c r="X888" t="s">
        <v>54</v>
      </c>
      <c r="Y888" t="s">
        <v>52</v>
      </c>
      <c r="Z888" t="s">
        <v>53</v>
      </c>
      <c r="AA888" t="s">
        <v>53</v>
      </c>
      <c r="AC888" s="2">
        <v>0.243121524072963</v>
      </c>
      <c r="AD888" s="2">
        <v>0.97380822896957397</v>
      </c>
      <c r="AE888" s="2">
        <v>7.5656428933143602E-2</v>
      </c>
      <c r="AF888" s="2">
        <v>6.7277282476425199E-2</v>
      </c>
      <c r="AG888" s="2">
        <v>5.2690092474222197E-2</v>
      </c>
      <c r="AH888" s="2">
        <v>-0.16943204402923601</v>
      </c>
      <c r="AI888" s="2">
        <v>-1.3941655415526401E-16</v>
      </c>
      <c r="AJ888" s="2">
        <v>0.30416573531268698</v>
      </c>
      <c r="AK888" s="2">
        <v>0.65962447997674301</v>
      </c>
      <c r="AL888" s="2">
        <v>0.32535945040680903</v>
      </c>
      <c r="AM888" s="2">
        <v>0.57292723655700695</v>
      </c>
      <c r="AN888" s="2">
        <v>0.51218450069427501</v>
      </c>
      <c r="AO888" s="2">
        <v>0.40004855394363398</v>
      </c>
      <c r="AP888" s="2">
        <v>1.1067430973053001</v>
      </c>
    </row>
    <row r="889" spans="1:42" x14ac:dyDescent="0.3">
      <c r="A889" t="s">
        <v>317</v>
      </c>
      <c r="B889" s="3">
        <v>2020</v>
      </c>
      <c r="C889" s="3">
        <v>7.9125579999999998</v>
      </c>
      <c r="D889" s="3"/>
      <c r="E889" t="s">
        <v>318</v>
      </c>
      <c r="G889" s="3">
        <v>20846.203125</v>
      </c>
      <c r="H889" s="3">
        <v>22492.595703125</v>
      </c>
      <c r="I889" s="3">
        <v>20294.37109375</v>
      </c>
      <c r="J889" s="3">
        <v>20917.904296875</v>
      </c>
      <c r="K889" s="3">
        <v>26721.29296875</v>
      </c>
      <c r="L889" s="3">
        <v>3.1749907066114198E-4</v>
      </c>
      <c r="M889" s="3">
        <v>0.51609158515930198</v>
      </c>
      <c r="N889" s="3">
        <v>0.53236770629882801</v>
      </c>
      <c r="O889" s="3">
        <v>20463.3828125</v>
      </c>
      <c r="P889" s="3">
        <v>22563.7734375</v>
      </c>
      <c r="Q889" s="3">
        <v>0.983484387397766</v>
      </c>
      <c r="R889" s="3">
        <v>0.56348532438278198</v>
      </c>
      <c r="S889" s="3">
        <v>0.30638748407363903</v>
      </c>
      <c r="T889" s="3">
        <v>0.329578846693039</v>
      </c>
      <c r="U889" s="3">
        <v>0.31975454092025801</v>
      </c>
      <c r="W889" t="s">
        <v>50</v>
      </c>
      <c r="X889" t="s">
        <v>54</v>
      </c>
      <c r="Y889" t="s">
        <v>52</v>
      </c>
      <c r="Z889" t="s">
        <v>53</v>
      </c>
      <c r="AA889" t="s">
        <v>53</v>
      </c>
      <c r="AC889" s="2">
        <v>0.23243289423566199</v>
      </c>
      <c r="AD889" s="2">
        <v>0.92327904701232899</v>
      </c>
      <c r="AE889" s="2">
        <v>7.8707307577133206E-2</v>
      </c>
      <c r="AF889" s="2">
        <v>7.3293276131153107E-2</v>
      </c>
      <c r="AG889" s="2">
        <v>5.2196532487869297E-2</v>
      </c>
      <c r="AH889" s="2">
        <v>-0.12747611105442</v>
      </c>
      <c r="AI889" s="2">
        <v>0</v>
      </c>
      <c r="AJ889" s="2">
        <v>0.30384738079181201</v>
      </c>
      <c r="AK889" s="2">
        <v>0.62322182003333004</v>
      </c>
      <c r="AL889" s="2">
        <v>0.33838526900482002</v>
      </c>
      <c r="AM889" s="2">
        <v>0.60586142539978005</v>
      </c>
      <c r="AN889" s="2">
        <v>0.51977360248565696</v>
      </c>
      <c r="AO889" s="2">
        <v>0.38115322589874301</v>
      </c>
      <c r="AP889" s="2">
        <v>1.0919837951660201</v>
      </c>
    </row>
    <row r="890" spans="1:42" x14ac:dyDescent="0.3">
      <c r="A890" t="s">
        <v>319</v>
      </c>
      <c r="B890" s="3">
        <v>2015</v>
      </c>
      <c r="C890" s="3">
        <v>6.1836760000000002</v>
      </c>
      <c r="D890" s="3"/>
      <c r="E890" t="s">
        <v>153</v>
      </c>
      <c r="G890" s="3">
        <v>54374.37890625</v>
      </c>
      <c r="H890" s="3">
        <v>62923.84765625</v>
      </c>
      <c r="I890" s="3">
        <v>53167.53125</v>
      </c>
      <c r="J890" s="3">
        <v>52514.0234375</v>
      </c>
      <c r="K890" s="3">
        <v>202407.015625</v>
      </c>
      <c r="L890" s="3">
        <v>2.1592294797301301E-3</v>
      </c>
      <c r="M890" s="3">
        <v>0.51050800085067805</v>
      </c>
      <c r="N890" s="3">
        <v>0.59014010429382302</v>
      </c>
      <c r="O890" s="3">
        <v>58122.5859375</v>
      </c>
      <c r="P890" s="3">
        <v>70413.2265625</v>
      </c>
      <c r="Q890" s="3">
        <v>1.0246224403381301</v>
      </c>
      <c r="R890" s="3">
        <v>0.483317911624908</v>
      </c>
      <c r="S890" s="3">
        <v>0.44111016392707803</v>
      </c>
      <c r="T890" s="3">
        <v>0.440837413072586</v>
      </c>
      <c r="U890" s="3">
        <v>0.44632342457771301</v>
      </c>
      <c r="W890" t="s">
        <v>50</v>
      </c>
      <c r="X890" t="s">
        <v>51</v>
      </c>
      <c r="Y890" t="s">
        <v>52</v>
      </c>
      <c r="Z890" t="s">
        <v>53</v>
      </c>
      <c r="AA890" t="s">
        <v>53</v>
      </c>
      <c r="AC890" s="2">
        <v>0.57433414516460601</v>
      </c>
      <c r="AD890" s="2">
        <v>0.85706633329391502</v>
      </c>
      <c r="AE890" s="2">
        <v>0.162803545594215</v>
      </c>
      <c r="AF890" s="2">
        <v>0.17835953831672699</v>
      </c>
      <c r="AG890" s="2">
        <v>0.23821346461772899</v>
      </c>
      <c r="AH890" s="2">
        <v>-0.42882093787193298</v>
      </c>
      <c r="AI890" s="2">
        <v>-7.6219304464757399E-3</v>
      </c>
      <c r="AJ890" s="2">
        <v>0.44699575474582598</v>
      </c>
      <c r="AK890" s="2">
        <v>0.43910278291840099</v>
      </c>
      <c r="AL890" s="2">
        <v>0.41282834890590703</v>
      </c>
      <c r="AM890" s="2">
        <v>0.55246114730835005</v>
      </c>
      <c r="AN890" s="2">
        <v>0.48995465040206898</v>
      </c>
      <c r="AO890" s="2">
        <v>0.27523764967918402</v>
      </c>
      <c r="AP890" s="2">
        <v>0.74932724237442005</v>
      </c>
    </row>
    <row r="891" spans="1:42" x14ac:dyDescent="0.3">
      <c r="A891" t="s">
        <v>319</v>
      </c>
      <c r="B891" s="3">
        <v>2016</v>
      </c>
      <c r="C891" s="3">
        <v>6.2008000000000001</v>
      </c>
      <c r="D891" s="3"/>
      <c r="E891" t="s">
        <v>153</v>
      </c>
      <c r="G891" s="3">
        <v>54948.8046875</v>
      </c>
      <c r="H891" s="3">
        <v>64278.2734375</v>
      </c>
      <c r="I891" s="3">
        <v>55103.51953125</v>
      </c>
      <c r="J891" s="3">
        <v>54253.953125</v>
      </c>
      <c r="K891" s="3">
        <v>221924.21875</v>
      </c>
      <c r="L891" s="3">
        <v>2.30335257947445E-3</v>
      </c>
      <c r="M891" s="3">
        <v>0.49577268958091703</v>
      </c>
      <c r="N891" s="3">
        <v>0.56788110733032204</v>
      </c>
      <c r="O891" s="3">
        <v>58986.88671875</v>
      </c>
      <c r="P891" s="3">
        <v>71752.21875</v>
      </c>
      <c r="Q891" s="3">
        <v>1.0194777250289899</v>
      </c>
      <c r="R891" s="3">
        <v>0.48635780811309798</v>
      </c>
      <c r="S891" s="3">
        <v>0.44325879216194197</v>
      </c>
      <c r="T891" s="3">
        <v>0.43901786208152799</v>
      </c>
      <c r="U891" s="3">
        <v>0.44589245319366499</v>
      </c>
      <c r="W891" t="s">
        <v>50</v>
      </c>
      <c r="X891" t="s">
        <v>51</v>
      </c>
      <c r="Y891" t="s">
        <v>52</v>
      </c>
      <c r="Z891" t="s">
        <v>53</v>
      </c>
      <c r="AA891" t="s">
        <v>53</v>
      </c>
      <c r="AC891" s="2">
        <v>0.555748482323558</v>
      </c>
      <c r="AD891" s="2">
        <v>0.82990026473999001</v>
      </c>
      <c r="AE891" s="2">
        <v>0.17195926606655099</v>
      </c>
      <c r="AF891" s="2">
        <v>0.182907089591026</v>
      </c>
      <c r="AG891" s="2">
        <v>0.232539191842079</v>
      </c>
      <c r="AH891" s="2">
        <v>-0.409824788570404</v>
      </c>
      <c r="AI891" s="2">
        <v>-7.4810152873396899E-3</v>
      </c>
      <c r="AJ891" s="2">
        <v>0.453285789008611</v>
      </c>
      <c r="AK891" s="2">
        <v>0.41403960357497799</v>
      </c>
      <c r="AL891" s="2">
        <v>0.397763577372856</v>
      </c>
      <c r="AM891" s="2">
        <v>0.54569154977798495</v>
      </c>
      <c r="AN891" s="2">
        <v>0.48264572024345398</v>
      </c>
      <c r="AO891" s="2">
        <v>0.25260603427887002</v>
      </c>
      <c r="AP891" s="2">
        <v>0.69827276468277</v>
      </c>
    </row>
    <row r="892" spans="1:42" x14ac:dyDescent="0.3">
      <c r="A892" t="s">
        <v>319</v>
      </c>
      <c r="B892" s="3">
        <v>2017</v>
      </c>
      <c r="C892" s="3">
        <v>6.213533</v>
      </c>
      <c r="D892" s="3"/>
      <c r="E892" t="s">
        <v>153</v>
      </c>
      <c r="G892" s="3">
        <v>55729.6875</v>
      </c>
      <c r="H892" s="3">
        <v>66062.734375</v>
      </c>
      <c r="I892" s="3">
        <v>56494.953125</v>
      </c>
      <c r="J892" s="3">
        <v>55803.9921875</v>
      </c>
      <c r="K892" s="3">
        <v>242866.546875</v>
      </c>
      <c r="L892" s="3">
        <v>2.4662695359438701E-3</v>
      </c>
      <c r="M892" s="3">
        <v>0.47970560193061801</v>
      </c>
      <c r="N892" s="3">
        <v>0.54689043760299705</v>
      </c>
      <c r="O892" s="3">
        <v>59818.0625</v>
      </c>
      <c r="P892" s="3">
        <v>72935.59375</v>
      </c>
      <c r="Q892" s="3">
        <v>1.01716649532318</v>
      </c>
      <c r="R892" s="3">
        <v>0.49342298507690402</v>
      </c>
      <c r="S892" s="3">
        <v>0.449379742145538</v>
      </c>
      <c r="T892" s="3">
        <v>0.44214904308319097</v>
      </c>
      <c r="U892" s="3">
        <v>0.44762369990348799</v>
      </c>
      <c r="W892" t="s">
        <v>51</v>
      </c>
      <c r="X892" t="s">
        <v>51</v>
      </c>
      <c r="Y892" t="s">
        <v>52</v>
      </c>
      <c r="Z892" t="s">
        <v>53</v>
      </c>
      <c r="AA892" t="s">
        <v>53</v>
      </c>
      <c r="AC892" s="2">
        <v>0.53883445148238296</v>
      </c>
      <c r="AD892" s="2">
        <v>0.80710262060165405</v>
      </c>
      <c r="AE892" s="2">
        <v>0.185166746377945</v>
      </c>
      <c r="AF892" s="2">
        <v>0.191565856337547</v>
      </c>
      <c r="AG892" s="2">
        <v>0.22774747014045699</v>
      </c>
      <c r="AH892" s="2">
        <v>-0.40467762947082497</v>
      </c>
      <c r="AI892" s="2">
        <v>-6.9050835445523297E-3</v>
      </c>
      <c r="AJ892" s="2">
        <v>0.46656491756712898</v>
      </c>
      <c r="AK892" s="2">
        <v>0.40315129874929201</v>
      </c>
      <c r="AL892" s="2">
        <v>0.37697542575350901</v>
      </c>
      <c r="AM892" s="2">
        <v>0.570562243461609</v>
      </c>
      <c r="AN892" s="2">
        <v>0.50079649686813399</v>
      </c>
      <c r="AO892" s="2">
        <v>0.243743136525154</v>
      </c>
      <c r="AP892" s="2">
        <v>0.64014261960983299</v>
      </c>
    </row>
    <row r="893" spans="1:42" x14ac:dyDescent="0.3">
      <c r="A893" t="s">
        <v>319</v>
      </c>
      <c r="B893" s="3">
        <v>2018</v>
      </c>
      <c r="C893" s="3">
        <v>6.2198070000000003</v>
      </c>
      <c r="D893" s="3"/>
      <c r="E893" t="s">
        <v>153</v>
      </c>
      <c r="G893" s="3">
        <v>57145.0234375</v>
      </c>
      <c r="H893" s="3">
        <v>69081.796875</v>
      </c>
      <c r="I893" s="3">
        <v>58329.9296875</v>
      </c>
      <c r="J893" s="3">
        <v>57702.33203125</v>
      </c>
      <c r="K893" s="3">
        <v>260197.890625</v>
      </c>
      <c r="L893" s="3">
        <v>2.5875843130052098E-3</v>
      </c>
      <c r="M893" s="3">
        <v>0.46595430374145502</v>
      </c>
      <c r="N893" s="3">
        <v>0.53698158264160201</v>
      </c>
      <c r="O893" s="3">
        <v>60649.0546875</v>
      </c>
      <c r="P893" s="3">
        <v>74899.6484375</v>
      </c>
      <c r="Q893" s="3">
        <v>1.0036879777908301</v>
      </c>
      <c r="R893" s="3">
        <v>0.497389316558838</v>
      </c>
      <c r="S893" s="3">
        <v>0.45562687516212502</v>
      </c>
      <c r="T893" s="3">
        <v>0.44609779119491599</v>
      </c>
      <c r="U893" s="3">
        <v>0.450949817895889</v>
      </c>
      <c r="W893" t="s">
        <v>50</v>
      </c>
      <c r="X893" t="s">
        <v>51</v>
      </c>
      <c r="Y893" t="s">
        <v>52</v>
      </c>
      <c r="Z893" t="s">
        <v>53</v>
      </c>
      <c r="AA893" t="s">
        <v>53</v>
      </c>
      <c r="AC893" s="2">
        <v>0.54269115314310901</v>
      </c>
      <c r="AD893" s="2">
        <v>0.80515801906585704</v>
      </c>
      <c r="AE893" s="2">
        <v>0.20686809718608901</v>
      </c>
      <c r="AF893" s="2">
        <v>0.18518358469009399</v>
      </c>
      <c r="AG893" s="2">
        <v>0.22208705544471699</v>
      </c>
      <c r="AH893" s="2">
        <v>-0.41261723637580899</v>
      </c>
      <c r="AI893" s="2">
        <v>-6.6795223392546203E-3</v>
      </c>
      <c r="AJ893" s="2">
        <v>0.47019316259506</v>
      </c>
      <c r="AK893" s="2">
        <v>0.400479211970723</v>
      </c>
      <c r="AL893" s="2">
        <v>0.39229417076635298</v>
      </c>
      <c r="AM893" s="2">
        <v>0.58751469850540206</v>
      </c>
      <c r="AN893" s="2">
        <v>0.51037645339965798</v>
      </c>
      <c r="AO893" s="2">
        <v>0.24328649044036901</v>
      </c>
      <c r="AP893" s="2">
        <v>0.59761911630630504</v>
      </c>
    </row>
    <row r="894" spans="1:42" x14ac:dyDescent="0.3">
      <c r="A894" t="s">
        <v>319</v>
      </c>
      <c r="B894" s="3">
        <v>2019</v>
      </c>
      <c r="C894" s="3">
        <v>6.2223179999999996</v>
      </c>
      <c r="D894" s="3"/>
      <c r="E894" t="s">
        <v>153</v>
      </c>
      <c r="G894" s="3">
        <v>59416.1953125</v>
      </c>
      <c r="H894" s="3">
        <v>72255.9375</v>
      </c>
      <c r="I894" s="3">
        <v>61882.234375</v>
      </c>
      <c r="J894" s="3">
        <v>61019.30078125</v>
      </c>
      <c r="K894" s="3">
        <v>279943.6875</v>
      </c>
      <c r="L894" s="3">
        <v>2.7010936755686998E-3</v>
      </c>
      <c r="M894" s="3">
        <v>0.46277311444282498</v>
      </c>
      <c r="N894" s="3">
        <v>0.52732086181640603</v>
      </c>
      <c r="O894" s="3">
        <v>61550.70703125</v>
      </c>
      <c r="P894" s="3">
        <v>76137.6015625</v>
      </c>
      <c r="Q894" s="3">
        <v>0.98902839422225997</v>
      </c>
      <c r="R894" s="3">
        <v>0.49921610951423601</v>
      </c>
      <c r="S894" s="3">
        <v>0.44526746869087203</v>
      </c>
      <c r="T894" s="3">
        <v>0.43439185619354298</v>
      </c>
      <c r="U894" s="3">
        <v>0.44053497910499601</v>
      </c>
      <c r="W894" t="s">
        <v>50</v>
      </c>
      <c r="X894" t="s">
        <v>54</v>
      </c>
      <c r="Y894" t="s">
        <v>52</v>
      </c>
      <c r="Z894" t="s">
        <v>53</v>
      </c>
      <c r="AA894" t="s">
        <v>53</v>
      </c>
      <c r="AC894" s="2">
        <v>0.54451198419090596</v>
      </c>
      <c r="AD894" s="2">
        <v>0.78673100471496604</v>
      </c>
      <c r="AE894" s="2">
        <v>0.21042096614837599</v>
      </c>
      <c r="AF894" s="2">
        <v>0.18699684739112901</v>
      </c>
      <c r="AG894" s="2">
        <v>0.23075915873050701</v>
      </c>
      <c r="AH894" s="2">
        <v>-0.408573567867279</v>
      </c>
      <c r="AI894" s="2">
        <v>-6.3344771042466198E-3</v>
      </c>
      <c r="AJ894" s="2">
        <v>0.46132998582582502</v>
      </c>
      <c r="AK894" s="2">
        <v>0.384064643835419</v>
      </c>
      <c r="AL894" s="2">
        <v>0.37768939495228399</v>
      </c>
      <c r="AM894" s="2">
        <v>0.57187908887863204</v>
      </c>
      <c r="AN894" s="2">
        <v>0.49691268801689198</v>
      </c>
      <c r="AO894" s="2">
        <v>0.23441153764724701</v>
      </c>
      <c r="AP894" s="2">
        <v>0.566858530044556</v>
      </c>
    </row>
    <row r="895" spans="1:42" x14ac:dyDescent="0.3">
      <c r="A895" t="s">
        <v>319</v>
      </c>
      <c r="B895" s="3">
        <v>2020</v>
      </c>
      <c r="C895" s="3">
        <v>6.2346729999999999</v>
      </c>
      <c r="D895" s="3"/>
      <c r="E895" t="s">
        <v>153</v>
      </c>
      <c r="G895" s="3">
        <v>57483.515625</v>
      </c>
      <c r="H895" s="3">
        <v>69305.9296875</v>
      </c>
      <c r="I895" s="3">
        <v>58761.3046875</v>
      </c>
      <c r="J895" s="3">
        <v>58611.69140625</v>
      </c>
      <c r="K895" s="3">
        <v>301360.09375</v>
      </c>
      <c r="L895" s="3">
        <v>2.7697908226400601E-3</v>
      </c>
      <c r="M895" s="3">
        <v>0.44072085618972801</v>
      </c>
      <c r="N895" s="3">
        <v>0.49993440508842502</v>
      </c>
      <c r="O895" s="3">
        <v>58274.60546875</v>
      </c>
      <c r="P895" s="3">
        <v>71365.5078125</v>
      </c>
      <c r="Q895" s="3">
        <v>0.92600256204605103</v>
      </c>
      <c r="R895" s="3">
        <v>0.521345615386963</v>
      </c>
      <c r="S895" s="3">
        <v>0.43671515583991999</v>
      </c>
      <c r="T895" s="3">
        <v>0.42410889267921498</v>
      </c>
      <c r="U895" s="3">
        <v>0.42519152164459201</v>
      </c>
      <c r="W895" t="s">
        <v>50</v>
      </c>
      <c r="X895" t="s">
        <v>54</v>
      </c>
      <c r="Y895" t="s">
        <v>52</v>
      </c>
      <c r="Z895" t="s">
        <v>53</v>
      </c>
      <c r="AA895" t="s">
        <v>53</v>
      </c>
      <c r="AC895" s="2">
        <v>0.54523640527322303</v>
      </c>
      <c r="AD895" s="2">
        <v>0.75691395998001099</v>
      </c>
      <c r="AE895" s="2">
        <v>0.201707407832146</v>
      </c>
      <c r="AF895" s="2">
        <v>0.22383776307105999</v>
      </c>
      <c r="AG895" s="2">
        <v>0.181658074259758</v>
      </c>
      <c r="AH895" s="2">
        <v>-0.35872772336006198</v>
      </c>
      <c r="AI895" s="2">
        <v>-5.3894664160907303E-3</v>
      </c>
      <c r="AJ895" s="2">
        <v>0.45521229120192502</v>
      </c>
      <c r="AK895" s="2">
        <v>0.362814214937561</v>
      </c>
      <c r="AL895" s="2">
        <v>0.37416654922272302</v>
      </c>
      <c r="AM895" s="2">
        <v>0.57407772541046098</v>
      </c>
      <c r="AN895" s="2">
        <v>0.49701839685440102</v>
      </c>
      <c r="AO895" s="2">
        <v>0.21913465857505801</v>
      </c>
      <c r="AP895" s="2">
        <v>0.51140958070755005</v>
      </c>
    </row>
    <row r="896" spans="1:42" x14ac:dyDescent="0.3">
      <c r="A896" t="s">
        <v>320</v>
      </c>
      <c r="B896" s="3">
        <v>2015</v>
      </c>
      <c r="C896" s="3">
        <v>13.806963</v>
      </c>
      <c r="D896" s="3"/>
      <c r="E896" t="s">
        <v>321</v>
      </c>
      <c r="G896" s="3">
        <v>22525.494140625</v>
      </c>
      <c r="H896" s="3">
        <v>24264.509765625</v>
      </c>
      <c r="I896" s="3">
        <v>16801.5234375</v>
      </c>
      <c r="J896" s="3">
        <v>18271.9140625</v>
      </c>
      <c r="K896" s="3"/>
      <c r="L896" s="3"/>
      <c r="M896" s="3"/>
      <c r="N896" s="3"/>
      <c r="O896" s="3">
        <v>22376.669921875</v>
      </c>
      <c r="P896" s="3">
        <v>23932.736328125</v>
      </c>
      <c r="Q896" s="3"/>
      <c r="R896" s="3"/>
      <c r="S896" s="3">
        <v>0.39059942960739102</v>
      </c>
      <c r="T896" s="3">
        <v>0.394464552402496</v>
      </c>
      <c r="U896" s="3">
        <v>0.362720936536789</v>
      </c>
      <c r="W896" t="s">
        <v>54</v>
      </c>
      <c r="X896" t="s">
        <v>51</v>
      </c>
      <c r="Y896" t="s">
        <v>52</v>
      </c>
      <c r="Z896" t="s">
        <v>53</v>
      </c>
      <c r="AC896" s="2"/>
      <c r="AD896" s="2">
        <v>1.1939790248870901</v>
      </c>
      <c r="AE896" s="2">
        <v>9.5174275338649805E-2</v>
      </c>
      <c r="AF896" s="2">
        <v>3.8814231753349297E-2</v>
      </c>
      <c r="AG896" s="2">
        <v>0.104904852807522</v>
      </c>
      <c r="AH896" s="2">
        <v>-0.432872414588928</v>
      </c>
      <c r="AI896" s="2">
        <v>6.8614119885736196E-15</v>
      </c>
      <c r="AJ896" s="2">
        <v>0.38831017588897099</v>
      </c>
      <c r="AK896" s="2">
        <v>0.44452977915313502</v>
      </c>
      <c r="AL896" s="2">
        <v>0.46102039544304302</v>
      </c>
      <c r="AM896" s="2">
        <v>0.54041451215743996</v>
      </c>
      <c r="AN896" s="2">
        <v>0.50316751003265403</v>
      </c>
      <c r="AO896" s="2"/>
      <c r="AP896" s="2"/>
    </row>
    <row r="897" spans="1:42" x14ac:dyDescent="0.3">
      <c r="A897" t="s">
        <v>320</v>
      </c>
      <c r="B897" s="3">
        <v>2016</v>
      </c>
      <c r="C897" s="3">
        <v>14.348739999999999</v>
      </c>
      <c r="D897" s="3"/>
      <c r="E897" t="s">
        <v>321</v>
      </c>
      <c r="G897" s="3">
        <v>25783.158203125</v>
      </c>
      <c r="H897" s="3">
        <v>27746.296875</v>
      </c>
      <c r="I897" s="3">
        <v>19497.326171875</v>
      </c>
      <c r="J897" s="3">
        <v>20952.330078125</v>
      </c>
      <c r="K897" s="3"/>
      <c r="L897" s="3"/>
      <c r="M897" s="3"/>
      <c r="N897" s="3"/>
      <c r="O897" s="3">
        <v>25662.76171875</v>
      </c>
      <c r="P897" s="3">
        <v>27449.31640625</v>
      </c>
      <c r="Q897" s="3"/>
      <c r="R897" s="3"/>
      <c r="S897" s="3">
        <v>0.37497344613075301</v>
      </c>
      <c r="T897" s="3">
        <v>0.37907761335372903</v>
      </c>
      <c r="U897" s="3">
        <v>0.35275313258171098</v>
      </c>
      <c r="W897" t="s">
        <v>54</v>
      </c>
      <c r="X897" t="s">
        <v>51</v>
      </c>
      <c r="Y897" t="s">
        <v>52</v>
      </c>
      <c r="Z897" t="s">
        <v>53</v>
      </c>
      <c r="AC897" s="2"/>
      <c r="AD897" s="2">
        <v>1.1869599819183401</v>
      </c>
      <c r="AE897" s="2">
        <v>9.3695476651191698E-2</v>
      </c>
      <c r="AF897" s="2">
        <v>4.3602894991636297E-2</v>
      </c>
      <c r="AG897" s="2">
        <v>9.3287952244281797E-2</v>
      </c>
      <c r="AH897" s="2">
        <v>-0.41756904125213601</v>
      </c>
      <c r="AI897" s="2">
        <v>2.28250555664999E-5</v>
      </c>
      <c r="AJ897" s="2">
        <v>0.373026054975865</v>
      </c>
      <c r="AK897" s="2">
        <v>0.43298015369285697</v>
      </c>
      <c r="AL897" s="2">
        <v>0.427985553803306</v>
      </c>
      <c r="AM897" s="2">
        <v>0.54589176177978505</v>
      </c>
      <c r="AN897" s="2">
        <v>0.47938591241836598</v>
      </c>
      <c r="AO897" s="2"/>
      <c r="AP897" s="2"/>
    </row>
    <row r="898" spans="1:42" x14ac:dyDescent="0.3">
      <c r="A898" t="s">
        <v>320</v>
      </c>
      <c r="B898" s="3">
        <v>2017</v>
      </c>
      <c r="C898" s="3">
        <v>14.916629</v>
      </c>
      <c r="D898" s="3"/>
      <c r="E898" t="s">
        <v>321</v>
      </c>
      <c r="G898" s="3">
        <v>28610.00390625</v>
      </c>
      <c r="H898" s="3">
        <v>30921.388671875</v>
      </c>
      <c r="I898" s="3">
        <v>21472.96875</v>
      </c>
      <c r="J898" s="3">
        <v>23149.625</v>
      </c>
      <c r="K898" s="3"/>
      <c r="L898" s="3"/>
      <c r="M898" s="3"/>
      <c r="N898" s="3"/>
      <c r="O898" s="3">
        <v>28476.60546875</v>
      </c>
      <c r="P898" s="3">
        <v>30633.126953125</v>
      </c>
      <c r="Q898" s="3"/>
      <c r="R898" s="3"/>
      <c r="S898" s="3">
        <v>0.378503978252411</v>
      </c>
      <c r="T898" s="3">
        <v>0.38429713249206499</v>
      </c>
      <c r="U898" s="3">
        <v>0.35646364092826799</v>
      </c>
      <c r="W898" t="s">
        <v>54</v>
      </c>
      <c r="X898" t="s">
        <v>51</v>
      </c>
      <c r="Y898" t="s">
        <v>52</v>
      </c>
      <c r="Z898" t="s">
        <v>53</v>
      </c>
      <c r="AC898" s="2"/>
      <c r="AD898" s="2">
        <v>1.1834756135940601</v>
      </c>
      <c r="AE898" s="2">
        <v>9.9845431745052296E-2</v>
      </c>
      <c r="AF898" s="2">
        <v>5.2397698163986199E-2</v>
      </c>
      <c r="AG898" s="2">
        <v>7.7566176652908297E-2</v>
      </c>
      <c r="AH898" s="2">
        <v>-0.41316568851470997</v>
      </c>
      <c r="AI898" s="2">
        <v>-1.19185307994485E-4</v>
      </c>
      <c r="AJ898" s="2">
        <v>0.37752286700313797</v>
      </c>
      <c r="AK898" s="2">
        <v>0.45600379998158203</v>
      </c>
      <c r="AL898" s="2">
        <v>0.40066379157087101</v>
      </c>
      <c r="AM898" s="2">
        <v>0.55356681346893299</v>
      </c>
      <c r="AN898" s="2">
        <v>0.48344954848289501</v>
      </c>
      <c r="AO898" s="2"/>
      <c r="AP898" s="2"/>
    </row>
    <row r="899" spans="1:42" x14ac:dyDescent="0.3">
      <c r="A899" t="s">
        <v>320</v>
      </c>
      <c r="B899" s="3">
        <v>2018</v>
      </c>
      <c r="C899" s="3">
        <v>15.452487</v>
      </c>
      <c r="D899" s="3"/>
      <c r="E899" t="s">
        <v>321</v>
      </c>
      <c r="G899" s="3">
        <v>29262.578125</v>
      </c>
      <c r="H899" s="3">
        <v>32019.728515625</v>
      </c>
      <c r="I899" s="3">
        <v>22022.478515625</v>
      </c>
      <c r="J899" s="3">
        <v>23467.525390625</v>
      </c>
      <c r="K899" s="3"/>
      <c r="L899" s="3"/>
      <c r="M899" s="3"/>
      <c r="N899" s="3"/>
      <c r="O899" s="3">
        <v>29364.47265625</v>
      </c>
      <c r="P899" s="3">
        <v>32030.888671875</v>
      </c>
      <c r="Q899" s="3"/>
      <c r="R899" s="3"/>
      <c r="S899" s="3">
        <v>0.347850412130356</v>
      </c>
      <c r="T899" s="3">
        <v>0.35749834775924699</v>
      </c>
      <c r="U899" s="3">
        <v>0.33548492193222001</v>
      </c>
      <c r="W899" t="s">
        <v>54</v>
      </c>
      <c r="X899" t="s">
        <v>51</v>
      </c>
      <c r="Y899" t="s">
        <v>52</v>
      </c>
      <c r="Z899" t="s">
        <v>53</v>
      </c>
      <c r="AC899" s="2"/>
      <c r="AD899" s="2">
        <v>1.1932111978530899</v>
      </c>
      <c r="AE899" s="2">
        <v>0.117487899959087</v>
      </c>
      <c r="AF899" s="2">
        <v>5.3727965801954297E-2</v>
      </c>
      <c r="AG899" s="2">
        <v>8.2592271268367795E-2</v>
      </c>
      <c r="AH899" s="2">
        <v>-0.44701936841011097</v>
      </c>
      <c r="AI899" s="2">
        <v>0</v>
      </c>
      <c r="AJ899" s="2">
        <v>0.34583595772292403</v>
      </c>
      <c r="AK899" s="2">
        <v>0.45989512640088398</v>
      </c>
      <c r="AL899" s="2">
        <v>0.39258844057507603</v>
      </c>
      <c r="AM899" s="2">
        <v>0.57732903957366899</v>
      </c>
      <c r="AN899" s="2">
        <v>0.44735977053642301</v>
      </c>
      <c r="AO899" s="2"/>
      <c r="AP899" s="2"/>
    </row>
    <row r="900" spans="1:42" x14ac:dyDescent="0.3">
      <c r="A900" t="s">
        <v>320</v>
      </c>
      <c r="B900" s="3">
        <v>2019</v>
      </c>
      <c r="C900" s="3">
        <v>16.030971000000001</v>
      </c>
      <c r="D900" s="3"/>
      <c r="E900" t="s">
        <v>321</v>
      </c>
      <c r="G900" s="3">
        <v>29589.880859375</v>
      </c>
      <c r="H900" s="3">
        <v>32666.333984375</v>
      </c>
      <c r="I900" s="3">
        <v>22656.232421875</v>
      </c>
      <c r="J900" s="3">
        <v>24054</v>
      </c>
      <c r="K900" s="3"/>
      <c r="L900" s="3"/>
      <c r="M900" s="3"/>
      <c r="N900" s="3"/>
      <c r="O900" s="3">
        <v>29633.017578125</v>
      </c>
      <c r="P900" s="3">
        <v>32688.31640625</v>
      </c>
      <c r="Q900" s="3"/>
      <c r="R900" s="3"/>
      <c r="S900" s="3">
        <v>0.37468889355659502</v>
      </c>
      <c r="T900" s="3">
        <v>0.38201409578323398</v>
      </c>
      <c r="U900" s="3">
        <v>0.35981538891792297</v>
      </c>
      <c r="W900" t="s">
        <v>54</v>
      </c>
      <c r="X900" t="s">
        <v>54</v>
      </c>
      <c r="Y900" t="s">
        <v>52</v>
      </c>
      <c r="Z900" t="s">
        <v>53</v>
      </c>
      <c r="AC900" s="2"/>
      <c r="AD900" s="2">
        <v>1.1760962009429901</v>
      </c>
      <c r="AE900" s="2">
        <v>0.127897754311562</v>
      </c>
      <c r="AF900" s="2">
        <v>5.4047625511884703E-2</v>
      </c>
      <c r="AG900" s="2">
        <v>7.8143589198589297E-2</v>
      </c>
      <c r="AH900" s="2">
        <v>-0.43606969714164701</v>
      </c>
      <c r="AI900" s="2">
        <v>-1.15540155093186E-4</v>
      </c>
      <c r="AJ900" s="2">
        <v>0.37320846789309298</v>
      </c>
      <c r="AK900" s="2">
        <v>0.45246916632178702</v>
      </c>
      <c r="AL900" s="2">
        <v>0.40690381356049499</v>
      </c>
      <c r="AM900" s="2">
        <v>0.60170263051986705</v>
      </c>
      <c r="AN900" s="2">
        <v>0.47229439020156899</v>
      </c>
      <c r="AO900" s="2"/>
      <c r="AP900" s="2"/>
    </row>
    <row r="901" spans="1:42" x14ac:dyDescent="0.3">
      <c r="A901" t="s">
        <v>320</v>
      </c>
      <c r="B901" s="3">
        <v>2020</v>
      </c>
      <c r="C901" s="3">
        <v>16.651191000000001</v>
      </c>
      <c r="D901" s="3"/>
      <c r="E901" t="s">
        <v>321</v>
      </c>
      <c r="G901" s="3">
        <v>29638.806640625</v>
      </c>
      <c r="H901" s="3">
        <v>32691.84765625</v>
      </c>
      <c r="I901" s="3">
        <v>22031.185546875</v>
      </c>
      <c r="J901" s="3">
        <v>23752.388671875</v>
      </c>
      <c r="K901" s="3"/>
      <c r="L901" s="3"/>
      <c r="M901" s="3"/>
      <c r="N901" s="3"/>
      <c r="O901" s="3">
        <v>29595.7109375</v>
      </c>
      <c r="P901" s="3">
        <v>32655.765625</v>
      </c>
      <c r="Q901" s="3"/>
      <c r="R901" s="3"/>
      <c r="S901" s="3">
        <v>0.385373145341873</v>
      </c>
      <c r="T901" s="3">
        <v>0.39162668585777299</v>
      </c>
      <c r="U901" s="3">
        <v>0.36324769258499101</v>
      </c>
      <c r="W901" t="s">
        <v>54</v>
      </c>
      <c r="X901" t="s">
        <v>54</v>
      </c>
      <c r="Y901" t="s">
        <v>52</v>
      </c>
      <c r="Z901" t="s">
        <v>53</v>
      </c>
      <c r="AC901" s="2"/>
      <c r="AD901" s="2">
        <v>1.18577492237091</v>
      </c>
      <c r="AE901" s="2">
        <v>0.12853616476058999</v>
      </c>
      <c r="AF901" s="2">
        <v>6.2049347907304798E-2</v>
      </c>
      <c r="AG901" s="2">
        <v>8.0518022179603604E-2</v>
      </c>
      <c r="AH901" s="2">
        <v>-0.45687839388847401</v>
      </c>
      <c r="AI901" s="2">
        <v>0</v>
      </c>
      <c r="AJ901" s="2">
        <v>0.38441346466374499</v>
      </c>
      <c r="AK901" s="2">
        <v>0.45233587876142101</v>
      </c>
      <c r="AL901" s="2">
        <v>0.40371273785070799</v>
      </c>
      <c r="AM901" s="2">
        <v>0.61594921350479104</v>
      </c>
      <c r="AN901" s="2">
        <v>0.49327525496482899</v>
      </c>
      <c r="AO901" s="2"/>
      <c r="AP901" s="2"/>
    </row>
    <row r="902" spans="1:42" x14ac:dyDescent="0.3">
      <c r="A902" t="s">
        <v>322</v>
      </c>
      <c r="B902" s="3">
        <v>2015</v>
      </c>
      <c r="C902" s="3">
        <v>7.1772530000000003</v>
      </c>
      <c r="D902" s="3">
        <v>2033.65</v>
      </c>
      <c r="E902" t="s">
        <v>323</v>
      </c>
      <c r="G902" s="3">
        <v>107082.78125</v>
      </c>
      <c r="H902" s="3">
        <v>125334.46875</v>
      </c>
      <c r="I902" s="3">
        <v>117089.7890625</v>
      </c>
      <c r="J902" s="3">
        <v>117739.890625</v>
      </c>
      <c r="K902" s="3">
        <v>599206.6875</v>
      </c>
      <c r="L902" s="3">
        <v>6.1942604370415202E-3</v>
      </c>
      <c r="M902" s="3">
        <v>0.53377163410186801</v>
      </c>
      <c r="N902" s="3">
        <v>0.54816925525665305</v>
      </c>
      <c r="O902" s="3">
        <v>104260.859375</v>
      </c>
      <c r="P902" s="3">
        <v>125362.546875</v>
      </c>
      <c r="Q902" s="3">
        <v>0.96063816547393799</v>
      </c>
      <c r="R902" s="3">
        <v>0.54829573631286599</v>
      </c>
      <c r="S902" s="3">
        <v>0.32722455263137801</v>
      </c>
      <c r="T902" s="3">
        <v>0.338679820299149</v>
      </c>
      <c r="U902" s="3">
        <v>0.33680978417396501</v>
      </c>
      <c r="W902" t="s">
        <v>50</v>
      </c>
      <c r="X902" t="s">
        <v>51</v>
      </c>
      <c r="Y902" t="s">
        <v>52</v>
      </c>
      <c r="Z902" t="s">
        <v>53</v>
      </c>
      <c r="AA902" t="s">
        <v>53</v>
      </c>
      <c r="AC902" s="2">
        <v>0.67852573068683097</v>
      </c>
      <c r="AD902" s="2">
        <v>0.63502937555313099</v>
      </c>
      <c r="AE902" s="2">
        <v>0.15501701831817599</v>
      </c>
      <c r="AF902" s="2">
        <v>0.27445659041404702</v>
      </c>
      <c r="AG902" s="2">
        <v>0.20018994808196999</v>
      </c>
      <c r="AH902" s="2">
        <v>-0.31610849499702498</v>
      </c>
      <c r="AI902" s="2">
        <v>5.1415536552667597E-2</v>
      </c>
      <c r="AJ902" s="2">
        <v>0.38160528942115302</v>
      </c>
      <c r="AK902" s="2">
        <v>0.40588781213694403</v>
      </c>
      <c r="AL902" s="2">
        <v>0.20140006102605301</v>
      </c>
      <c r="AM902" s="2">
        <v>0.56761729717254605</v>
      </c>
      <c r="AN902" s="2">
        <v>0.48927637934684798</v>
      </c>
      <c r="AO902" s="2">
        <v>0.251389861106873</v>
      </c>
      <c r="AP902" s="2">
        <v>0.38636255264282199</v>
      </c>
    </row>
    <row r="903" spans="1:42" x14ac:dyDescent="0.3">
      <c r="A903" t="s">
        <v>322</v>
      </c>
      <c r="B903" s="3">
        <v>2016</v>
      </c>
      <c r="C903" s="3">
        <v>7.1260830000000004</v>
      </c>
      <c r="D903" s="3">
        <v>2028.9</v>
      </c>
      <c r="E903" t="s">
        <v>323</v>
      </c>
      <c r="G903" s="3">
        <v>108876.296875</v>
      </c>
      <c r="H903" s="3">
        <v>127033.2421875</v>
      </c>
      <c r="I903" s="3">
        <v>121185.015625</v>
      </c>
      <c r="J903" s="3">
        <v>121153.78125</v>
      </c>
      <c r="K903" s="3">
        <v>586300.4375</v>
      </c>
      <c r="L903" s="3">
        <v>5.9700808487832598E-3</v>
      </c>
      <c r="M903" s="3">
        <v>0.53657734394073497</v>
      </c>
      <c r="N903" s="3">
        <v>0.54394453763961803</v>
      </c>
      <c r="O903" s="3">
        <v>105868.15625</v>
      </c>
      <c r="P903" s="3">
        <v>125937.953125</v>
      </c>
      <c r="Q903" s="3">
        <v>0.95567113161087003</v>
      </c>
      <c r="R903" s="3">
        <v>0.53982383012771595</v>
      </c>
      <c r="S903" s="3">
        <v>0.32422071695327798</v>
      </c>
      <c r="T903" s="3">
        <v>0.33578941226005599</v>
      </c>
      <c r="U903" s="3">
        <v>0.33587595820426902</v>
      </c>
      <c r="W903" t="s">
        <v>50</v>
      </c>
      <c r="X903" t="s">
        <v>51</v>
      </c>
      <c r="Y903" t="s">
        <v>52</v>
      </c>
      <c r="Z903" t="s">
        <v>53</v>
      </c>
      <c r="AA903" t="s">
        <v>53</v>
      </c>
      <c r="AC903" s="2">
        <v>0.67584039608748803</v>
      </c>
      <c r="AD903" s="2">
        <v>0.62722122669220004</v>
      </c>
      <c r="AE903" s="2">
        <v>0.149866938591003</v>
      </c>
      <c r="AF903" s="2">
        <v>0.27144074440002403</v>
      </c>
      <c r="AG903" s="2">
        <v>0.21867960691452001</v>
      </c>
      <c r="AH903" s="2">
        <v>-0.32656469941139199</v>
      </c>
      <c r="AI903" s="2">
        <v>5.9356201440095901E-2</v>
      </c>
      <c r="AJ903" s="2">
        <v>0.378865513891737</v>
      </c>
      <c r="AK903" s="2">
        <v>0.40516000664561902</v>
      </c>
      <c r="AL903" s="2">
        <v>0.19795236450596601</v>
      </c>
      <c r="AM903" s="2">
        <v>0.56057429313659701</v>
      </c>
      <c r="AN903" s="2">
        <v>0.48606422543525701</v>
      </c>
      <c r="AO903" s="2">
        <v>0.25209799408912698</v>
      </c>
      <c r="AP903" s="2">
        <v>0.40599730610847501</v>
      </c>
    </row>
    <row r="904" spans="1:42" x14ac:dyDescent="0.3">
      <c r="A904" t="s">
        <v>322</v>
      </c>
      <c r="B904" s="3">
        <v>2017</v>
      </c>
      <c r="C904" s="3">
        <v>7.0735070000000002</v>
      </c>
      <c r="D904" s="3">
        <v>2003.21</v>
      </c>
      <c r="E904" t="s">
        <v>323</v>
      </c>
      <c r="G904" s="3">
        <v>111132.6484375</v>
      </c>
      <c r="H904" s="3">
        <v>131784.515625</v>
      </c>
      <c r="I904" s="3">
        <v>123643.2265625</v>
      </c>
      <c r="J904" s="3">
        <v>123913.9453125</v>
      </c>
      <c r="K904" s="3">
        <v>593961.375</v>
      </c>
      <c r="L904" s="3">
        <v>6.0366610996425204E-3</v>
      </c>
      <c r="M904" s="3">
        <v>0.533130884170532</v>
      </c>
      <c r="N904" s="3">
        <v>0.54602473974227905</v>
      </c>
      <c r="O904" s="3">
        <v>108347.9609375</v>
      </c>
      <c r="P904" s="3">
        <v>129835.5859375</v>
      </c>
      <c r="Q904" s="3">
        <v>0.96077460050582897</v>
      </c>
      <c r="R904" s="3">
        <v>0.54985201358795199</v>
      </c>
      <c r="S904" s="3">
        <v>0.34589201211929299</v>
      </c>
      <c r="T904" s="3">
        <v>0.35731118917465199</v>
      </c>
      <c r="U904" s="3">
        <v>0.35653057694435097</v>
      </c>
      <c r="W904" t="s">
        <v>51</v>
      </c>
      <c r="X904" t="s">
        <v>51</v>
      </c>
      <c r="Y904" t="s">
        <v>52</v>
      </c>
      <c r="Z904" t="s">
        <v>53</v>
      </c>
      <c r="AA904" t="s">
        <v>53</v>
      </c>
      <c r="AC904" s="2">
        <v>0.67805369452626896</v>
      </c>
      <c r="AD904" s="2">
        <v>0.61696064472198497</v>
      </c>
      <c r="AE904" s="2">
        <v>0.16666300594806699</v>
      </c>
      <c r="AF904" s="2">
        <v>0.27989280223846402</v>
      </c>
      <c r="AG904" s="2">
        <v>0.23811385035514801</v>
      </c>
      <c r="AH904" s="2">
        <v>-0.35320129990577698</v>
      </c>
      <c r="AI904" s="2">
        <v>5.1570937037467998E-2</v>
      </c>
      <c r="AJ904" s="2">
        <v>0.40953768563572002</v>
      </c>
      <c r="AK904" s="2">
        <v>0.41876061386390001</v>
      </c>
      <c r="AL904" s="2">
        <v>0.20559944001944799</v>
      </c>
      <c r="AM904" s="2">
        <v>0.57477313280105602</v>
      </c>
      <c r="AN904" s="2">
        <v>0.50601130723953303</v>
      </c>
      <c r="AO904" s="2">
        <v>0.26765614748001099</v>
      </c>
      <c r="AP904" s="2">
        <v>0.41102564334869401</v>
      </c>
    </row>
    <row r="905" spans="1:42" x14ac:dyDescent="0.3">
      <c r="A905" t="s">
        <v>322</v>
      </c>
      <c r="B905" s="3">
        <v>2018</v>
      </c>
      <c r="C905" s="3">
        <v>7.0200189999999996</v>
      </c>
      <c r="D905" s="3">
        <v>2026.77</v>
      </c>
      <c r="E905" t="s">
        <v>323</v>
      </c>
      <c r="G905" s="3">
        <v>112308.546875</v>
      </c>
      <c r="H905" s="3">
        <v>137959.375</v>
      </c>
      <c r="I905" s="3">
        <v>127004.28125</v>
      </c>
      <c r="J905" s="3">
        <v>126343.1796875</v>
      </c>
      <c r="K905" s="3">
        <v>620946.375</v>
      </c>
      <c r="L905" s="3">
        <v>6.2520252540707597E-3</v>
      </c>
      <c r="M905" s="3">
        <v>0.51714599132537797</v>
      </c>
      <c r="N905" s="3">
        <v>0.543573617935181</v>
      </c>
      <c r="O905" s="3">
        <v>111851.703125</v>
      </c>
      <c r="P905" s="3">
        <v>137480.390625</v>
      </c>
      <c r="Q905" s="3">
        <v>0.97497534751892101</v>
      </c>
      <c r="R905" s="3">
        <v>0.57646065950393699</v>
      </c>
      <c r="S905" s="3">
        <v>0.38764792680740401</v>
      </c>
      <c r="T905" s="3">
        <v>0.39873176813125599</v>
      </c>
      <c r="U905" s="3">
        <v>0.40081819891929599</v>
      </c>
      <c r="W905" t="s">
        <v>50</v>
      </c>
      <c r="X905" t="s">
        <v>51</v>
      </c>
      <c r="Y905" t="s">
        <v>52</v>
      </c>
      <c r="Z905" t="s">
        <v>53</v>
      </c>
      <c r="AA905" t="s">
        <v>53</v>
      </c>
      <c r="AC905" s="2">
        <v>0.68590287225221003</v>
      </c>
      <c r="AD905" s="2">
        <v>0.61407518386840798</v>
      </c>
      <c r="AE905" s="2">
        <v>0.203025087714195</v>
      </c>
      <c r="AF905" s="2">
        <v>0.274841398000717</v>
      </c>
      <c r="AG905" s="2">
        <v>0.25733858346939098</v>
      </c>
      <c r="AH905" s="2">
        <v>-0.39421176910400402</v>
      </c>
      <c r="AI905" s="2">
        <v>4.4931504875421503E-2</v>
      </c>
      <c r="AJ905" s="2">
        <v>0.45319013281432702</v>
      </c>
      <c r="AK905" s="2">
        <v>0.44726085123429099</v>
      </c>
      <c r="AL905" s="2">
        <v>0.241207666117459</v>
      </c>
      <c r="AM905" s="2">
        <v>0.59173691272735596</v>
      </c>
      <c r="AN905" s="2">
        <v>0.51966935396194502</v>
      </c>
      <c r="AO905" s="2">
        <v>0.28930321335792503</v>
      </c>
      <c r="AP905" s="2">
        <v>0.40563738346099898</v>
      </c>
    </row>
    <row r="906" spans="1:42" x14ac:dyDescent="0.3">
      <c r="A906" t="s">
        <v>322</v>
      </c>
      <c r="B906" s="3">
        <v>2019</v>
      </c>
      <c r="C906" s="3">
        <v>6.9661530000000003</v>
      </c>
      <c r="D906" s="3">
        <v>2026.62</v>
      </c>
      <c r="E906" t="s">
        <v>323</v>
      </c>
      <c r="G906" s="3">
        <v>120231.2421875</v>
      </c>
      <c r="H906" s="3">
        <v>151634.390625</v>
      </c>
      <c r="I906" s="3">
        <v>137933.671875</v>
      </c>
      <c r="J906" s="3">
        <v>137489.96875</v>
      </c>
      <c r="K906" s="3">
        <v>662141.8125</v>
      </c>
      <c r="L906" s="3">
        <v>6.5365256741643004E-3</v>
      </c>
      <c r="M906" s="3">
        <v>0.53257119655609098</v>
      </c>
      <c r="N906" s="3">
        <v>0.56520354747772195</v>
      </c>
      <c r="O906" s="3">
        <v>115578.5703125</v>
      </c>
      <c r="P906" s="3">
        <v>146028.015625</v>
      </c>
      <c r="Q906" s="3">
        <v>0.98636215925216697</v>
      </c>
      <c r="R906" s="3">
        <v>0.59080702066421498</v>
      </c>
      <c r="S906" s="3">
        <v>0.36352765560150102</v>
      </c>
      <c r="T906" s="3">
        <v>0.37347102165222201</v>
      </c>
      <c r="U906" s="3">
        <v>0.37467625737190202</v>
      </c>
      <c r="W906" t="s">
        <v>50</v>
      </c>
      <c r="X906" t="s">
        <v>54</v>
      </c>
      <c r="Y906" t="s">
        <v>52</v>
      </c>
      <c r="Z906" t="s">
        <v>53</v>
      </c>
      <c r="AA906" t="s">
        <v>53</v>
      </c>
      <c r="AC906" s="2">
        <v>0.69485825043910299</v>
      </c>
      <c r="AD906" s="2">
        <v>0.60976326465606701</v>
      </c>
      <c r="AE906" s="2">
        <v>0.22840316593647</v>
      </c>
      <c r="AF906" s="2">
        <v>0.26470959186553999</v>
      </c>
      <c r="AG906" s="2">
        <v>0.25478935241699202</v>
      </c>
      <c r="AH906" s="2">
        <v>-0.396105766296387</v>
      </c>
      <c r="AI906" s="2">
        <v>3.8440395146608401E-2</v>
      </c>
      <c r="AJ906" s="2">
        <v>0.41921680735800698</v>
      </c>
      <c r="AK906" s="2">
        <v>0.41154047224118701</v>
      </c>
      <c r="AL906" s="2">
        <v>0.23524672710684699</v>
      </c>
      <c r="AM906" s="2">
        <v>0.56044816970825195</v>
      </c>
      <c r="AN906" s="2">
        <v>0.490815550088882</v>
      </c>
      <c r="AO906" s="2">
        <v>0.26933643221855202</v>
      </c>
      <c r="AP906" s="2">
        <v>0.36679613590240501</v>
      </c>
    </row>
    <row r="907" spans="1:42" x14ac:dyDescent="0.3">
      <c r="A907" t="s">
        <v>322</v>
      </c>
      <c r="B907" s="3">
        <v>2020</v>
      </c>
      <c r="C907" s="3">
        <v>6.9078119999999998</v>
      </c>
      <c r="D907" s="3">
        <v>1975.12</v>
      </c>
      <c r="E907" t="s">
        <v>323</v>
      </c>
      <c r="G907" s="3">
        <v>116960.0546875</v>
      </c>
      <c r="H907" s="3">
        <v>146798.890625</v>
      </c>
      <c r="I907" s="3">
        <v>135572.421875</v>
      </c>
      <c r="J907" s="3">
        <v>133538.859375</v>
      </c>
      <c r="K907" s="3">
        <v>647276.8125</v>
      </c>
      <c r="L907" s="3">
        <v>6.5140556544065501E-3</v>
      </c>
      <c r="M907" s="3">
        <v>0.51137632131576505</v>
      </c>
      <c r="N907" s="3">
        <v>0.53928619623184204</v>
      </c>
      <c r="O907" s="3">
        <v>114488.1171875</v>
      </c>
      <c r="P907" s="3">
        <v>144333.390625</v>
      </c>
      <c r="Q907" s="3">
        <v>0.96861791610717796</v>
      </c>
      <c r="R907" s="3">
        <v>0.61661225557327304</v>
      </c>
      <c r="S907" s="3">
        <v>0.38362723588943498</v>
      </c>
      <c r="T907" s="3">
        <v>0.393564373254776</v>
      </c>
      <c r="U907" s="3">
        <v>0.39955767989158603</v>
      </c>
      <c r="W907" t="s">
        <v>50</v>
      </c>
      <c r="X907" t="s">
        <v>54</v>
      </c>
      <c r="Y907" t="s">
        <v>52</v>
      </c>
      <c r="Z907" t="s">
        <v>53</v>
      </c>
      <c r="AA907" t="s">
        <v>53</v>
      </c>
      <c r="AC907" s="2">
        <v>0.69727122346487203</v>
      </c>
      <c r="AD907" s="2">
        <v>0.60225832462310802</v>
      </c>
      <c r="AE907" s="2">
        <v>0.223446875810623</v>
      </c>
      <c r="AF907" s="2">
        <v>0.27359202504157998</v>
      </c>
      <c r="AG907" s="2">
        <v>0.249438807368279</v>
      </c>
      <c r="AH907" s="2">
        <v>-0.38672119379043601</v>
      </c>
      <c r="AI907" s="2">
        <v>3.7985228002071401E-2</v>
      </c>
      <c r="AJ907" s="2">
        <v>0.44192612755452398</v>
      </c>
      <c r="AK907" s="2">
        <v>0.43251523542017301</v>
      </c>
      <c r="AL907" s="2">
        <v>0.255293840031171</v>
      </c>
      <c r="AM907" s="2">
        <v>0.57707375288009599</v>
      </c>
      <c r="AN907" s="2">
        <v>0.49702057242393499</v>
      </c>
      <c r="AO907" s="2">
        <v>0.28221562504768399</v>
      </c>
      <c r="AP907" s="2">
        <v>0.37290558218955999</v>
      </c>
    </row>
    <row r="908" spans="1:42" x14ac:dyDescent="0.3">
      <c r="A908" t="s">
        <v>324</v>
      </c>
      <c r="B908" s="3">
        <v>2015</v>
      </c>
      <c r="C908" s="3">
        <v>11.107561</v>
      </c>
      <c r="D908" s="3"/>
      <c r="E908" t="s">
        <v>325</v>
      </c>
      <c r="G908" s="3">
        <v>9085.94921875</v>
      </c>
      <c r="H908" s="3">
        <v>9638.21875</v>
      </c>
      <c r="I908" s="3">
        <v>3384.09838867188</v>
      </c>
      <c r="J908" s="3">
        <v>4513.40625</v>
      </c>
      <c r="K908" s="3"/>
      <c r="L908" s="3"/>
      <c r="M908" s="3"/>
      <c r="N908" s="3"/>
      <c r="O908" s="3">
        <v>9769.201171875</v>
      </c>
      <c r="P908" s="3">
        <v>10206.94140625</v>
      </c>
      <c r="Q908" s="3"/>
      <c r="R908" s="3"/>
      <c r="S908" s="3">
        <v>2.06044626235962</v>
      </c>
      <c r="T908" s="3">
        <v>2.0890300273895299</v>
      </c>
      <c r="U908" s="3">
        <v>1.5663303136825599</v>
      </c>
      <c r="W908" t="s">
        <v>54</v>
      </c>
      <c r="X908" t="s">
        <v>54</v>
      </c>
      <c r="Y908" t="s">
        <v>52</v>
      </c>
      <c r="Z908" t="s">
        <v>53</v>
      </c>
      <c r="AC908" s="2"/>
      <c r="AD908" s="2">
        <v>1.60758888721466</v>
      </c>
      <c r="AE908" s="2">
        <v>0.12236211448907899</v>
      </c>
      <c r="AF908" s="2">
        <v>0.40551355481147799</v>
      </c>
      <c r="AG908" s="2">
        <v>1.03323650360107</v>
      </c>
      <c r="AH908" s="2">
        <v>-7.7426284551620497E-2</v>
      </c>
      <c r="AI908" s="2">
        <v>-2.0912747383117698</v>
      </c>
      <c r="AJ908" s="2">
        <v>1.9440009717653699</v>
      </c>
      <c r="AK908" s="2">
        <v>2.5592913452918098</v>
      </c>
      <c r="AL908" s="2">
        <v>2.52207354229283</v>
      </c>
      <c r="AM908" s="2">
        <v>0.50163024663925204</v>
      </c>
      <c r="AN908" s="2">
        <v>1.77452969551086</v>
      </c>
      <c r="AO908" s="2"/>
      <c r="AP908" s="2"/>
    </row>
    <row r="909" spans="1:42" x14ac:dyDescent="0.3">
      <c r="A909" t="s">
        <v>324</v>
      </c>
      <c r="B909" s="3">
        <v>2016</v>
      </c>
      <c r="C909" s="3">
        <v>10.830102</v>
      </c>
      <c r="D909" s="3"/>
      <c r="E909" t="s">
        <v>325</v>
      </c>
      <c r="G909" s="3">
        <v>8813.0078125</v>
      </c>
      <c r="H909" s="3">
        <v>9233.53515625</v>
      </c>
      <c r="I909" s="3">
        <v>4988.45751953125</v>
      </c>
      <c r="J909" s="3">
        <v>5479.61962890625</v>
      </c>
      <c r="K909" s="3"/>
      <c r="L909" s="3"/>
      <c r="M909" s="3"/>
      <c r="N909" s="3"/>
      <c r="O909" s="3">
        <v>9411.87109375</v>
      </c>
      <c r="P909" s="3">
        <v>9685.5166015625</v>
      </c>
      <c r="Q909" s="3"/>
      <c r="R909" s="3"/>
      <c r="S909" s="3">
        <v>0.64033198356628396</v>
      </c>
      <c r="T909" s="3">
        <v>0.65679436922073398</v>
      </c>
      <c r="U909" s="3">
        <v>0.59792304039001498</v>
      </c>
      <c r="W909" t="s">
        <v>54</v>
      </c>
      <c r="X909" t="s">
        <v>54</v>
      </c>
      <c r="Y909" t="s">
        <v>52</v>
      </c>
      <c r="Z909" t="s">
        <v>53</v>
      </c>
      <c r="AC909" s="2"/>
      <c r="AD909" s="2">
        <v>1.2287729978561399</v>
      </c>
      <c r="AE909" s="2">
        <v>7.6743908226490007E-2</v>
      </c>
      <c r="AF909" s="2">
        <v>0.37955176830291798</v>
      </c>
      <c r="AG909" s="2">
        <v>0.62072360515594505</v>
      </c>
      <c r="AH909" s="2">
        <v>-5.5489361286163302E-2</v>
      </c>
      <c r="AI909" s="2">
        <v>-1.2503029108047501</v>
      </c>
      <c r="AJ909" s="2">
        <v>0.72735927295541003</v>
      </c>
      <c r="AK909" s="2">
        <v>1.00179651581692</v>
      </c>
      <c r="AL909" s="2">
        <v>0.35858702346159299</v>
      </c>
      <c r="AM909" s="2">
        <v>0.43395003676414501</v>
      </c>
      <c r="AN909" s="2">
        <v>0.55143266916275002</v>
      </c>
      <c r="AO909" s="2"/>
      <c r="AP909" s="2"/>
    </row>
    <row r="910" spans="1:42" x14ac:dyDescent="0.3">
      <c r="A910" t="s">
        <v>324</v>
      </c>
      <c r="B910" s="3">
        <v>2017</v>
      </c>
      <c r="C910" s="3">
        <v>10.259154000000001</v>
      </c>
      <c r="D910" s="3"/>
      <c r="E910" t="s">
        <v>325</v>
      </c>
      <c r="G910" s="3">
        <v>8538.4375</v>
      </c>
      <c r="H910" s="3">
        <v>8998.845703125</v>
      </c>
      <c r="I910" s="3">
        <v>4858.68505859375</v>
      </c>
      <c r="J910" s="3">
        <v>5130.125</v>
      </c>
      <c r="K910" s="3"/>
      <c r="L910" s="3"/>
      <c r="M910" s="3"/>
      <c r="N910" s="3"/>
      <c r="O910" s="3">
        <v>8936.373046875</v>
      </c>
      <c r="P910" s="3">
        <v>9309.626953125</v>
      </c>
      <c r="Q910" s="3"/>
      <c r="R910" s="3"/>
      <c r="S910" s="3">
        <v>0.70143073797225997</v>
      </c>
      <c r="T910" s="3">
        <v>0.73504817485809304</v>
      </c>
      <c r="U910" s="3">
        <v>0.696156024932861</v>
      </c>
      <c r="W910" t="s">
        <v>54</v>
      </c>
      <c r="X910" t="s">
        <v>51</v>
      </c>
      <c r="Y910" t="s">
        <v>52</v>
      </c>
      <c r="Z910" t="s">
        <v>53</v>
      </c>
      <c r="AC910" s="2"/>
      <c r="AD910" s="2">
        <v>1.2313106060028101</v>
      </c>
      <c r="AE910" s="2">
        <v>8.9746050536632496E-2</v>
      </c>
      <c r="AF910" s="2">
        <v>0.43306168913841298</v>
      </c>
      <c r="AG910" s="2">
        <v>0.60793340206146196</v>
      </c>
      <c r="AH910" s="2">
        <v>-5.9017647057771697E-2</v>
      </c>
      <c r="AI910" s="2">
        <v>-1.30303406715393</v>
      </c>
      <c r="AJ910" s="2">
        <v>0.84338078320550902</v>
      </c>
      <c r="AK910" s="2">
        <v>1.3584957532320301</v>
      </c>
      <c r="AL910" s="2">
        <v>0.29782859194995398</v>
      </c>
      <c r="AM910" s="2">
        <v>0.57797545194625899</v>
      </c>
      <c r="AN910" s="2">
        <v>0.63474166393279996</v>
      </c>
      <c r="AO910" s="2"/>
      <c r="AP910" s="2"/>
    </row>
    <row r="911" spans="1:42" x14ac:dyDescent="0.3">
      <c r="A911" t="s">
        <v>324</v>
      </c>
      <c r="B911" s="3">
        <v>2018</v>
      </c>
      <c r="C911" s="3">
        <v>10.122977000000001</v>
      </c>
      <c r="D911" s="3"/>
      <c r="E911" t="s">
        <v>325</v>
      </c>
      <c r="G911" s="3">
        <v>8539.5751953125</v>
      </c>
      <c r="H911" s="3">
        <v>9072.77734375</v>
      </c>
      <c r="I911" s="3">
        <v>7375.69580078125</v>
      </c>
      <c r="J911" s="3">
        <v>8064.77685546875</v>
      </c>
      <c r="K911" s="3"/>
      <c r="L911" s="3"/>
      <c r="M911" s="3"/>
      <c r="N911" s="3"/>
      <c r="O911" s="3">
        <v>8907.6875</v>
      </c>
      <c r="P911" s="3">
        <v>9418.33203125</v>
      </c>
      <c r="Q911" s="3"/>
      <c r="R911" s="3"/>
      <c r="S911" s="3">
        <v>0.485696911811829</v>
      </c>
      <c r="T911" s="3">
        <v>0.51433086395263705</v>
      </c>
      <c r="U911" s="3">
        <v>0.47038477659225503</v>
      </c>
      <c r="W911" t="s">
        <v>54</v>
      </c>
      <c r="X911" t="s">
        <v>54</v>
      </c>
      <c r="Y911" t="s">
        <v>199</v>
      </c>
      <c r="Z911" t="s">
        <v>53</v>
      </c>
      <c r="AC911" s="2"/>
      <c r="AD911" s="2">
        <v>0.771792352199554</v>
      </c>
      <c r="AE911" s="2">
        <v>6.6114887595176697E-2</v>
      </c>
      <c r="AF911" s="2">
        <v>0.28708070516586298</v>
      </c>
      <c r="AG911" s="2">
        <v>0.408431947231293</v>
      </c>
      <c r="AH911" s="2">
        <v>-3.645134344697E-2</v>
      </c>
      <c r="AI911" s="2">
        <v>-0.49696853756904602</v>
      </c>
      <c r="AJ911" s="2">
        <v>0.58800640602329401</v>
      </c>
      <c r="AK911" s="2">
        <v>0.97292235953624695</v>
      </c>
      <c r="AL911" s="2">
        <v>0.21064647649143201</v>
      </c>
      <c r="AM911" s="2">
        <v>0.332498639822006</v>
      </c>
      <c r="AN911" s="2">
        <v>0.281688451766968</v>
      </c>
      <c r="AO911" s="2"/>
      <c r="AP911" s="2"/>
    </row>
    <row r="912" spans="1:42" x14ac:dyDescent="0.3">
      <c r="A912" t="s">
        <v>324</v>
      </c>
      <c r="B912" s="3">
        <v>2019</v>
      </c>
      <c r="C912" s="3">
        <v>10.423384</v>
      </c>
      <c r="D912" s="3"/>
      <c r="E912" t="s">
        <v>325</v>
      </c>
      <c r="G912" s="3">
        <v>9036.2802734375</v>
      </c>
      <c r="H912" s="3">
        <v>9557.388671875</v>
      </c>
      <c r="I912" s="3">
        <v>8868.4365234375</v>
      </c>
      <c r="J912" s="3">
        <v>10586.564453125</v>
      </c>
      <c r="K912" s="3"/>
      <c r="L912" s="3"/>
      <c r="M912" s="3"/>
      <c r="N912" s="3"/>
      <c r="O912" s="3">
        <v>9321.669921875</v>
      </c>
      <c r="P912" s="3">
        <v>9793.8515625</v>
      </c>
      <c r="Q912" s="3"/>
      <c r="R912" s="3"/>
      <c r="S912" s="3">
        <v>0.473691076040268</v>
      </c>
      <c r="T912" s="3">
        <v>0.48430177569389299</v>
      </c>
      <c r="U912" s="3">
        <v>0.40570285916328402</v>
      </c>
      <c r="W912" t="s">
        <v>54</v>
      </c>
      <c r="X912" t="s">
        <v>54</v>
      </c>
      <c r="Y912" t="s">
        <v>199</v>
      </c>
      <c r="Z912" t="s">
        <v>53</v>
      </c>
      <c r="AC912" s="2"/>
      <c r="AD912" s="2">
        <v>0.61224859952926602</v>
      </c>
      <c r="AE912" s="2">
        <v>4.9223523586988498E-2</v>
      </c>
      <c r="AF912" s="2">
        <v>0.24131254851818101</v>
      </c>
      <c r="AG912" s="2">
        <v>0.34373587369918801</v>
      </c>
      <c r="AH912" s="2">
        <v>-2.74688731878996E-2</v>
      </c>
      <c r="AI912" s="2">
        <v>-0.219051644206047</v>
      </c>
      <c r="AJ912" s="2">
        <v>0.60129680593179102</v>
      </c>
      <c r="AK912" s="2">
        <v>0.66829736758970104</v>
      </c>
      <c r="AL912" s="2">
        <v>0.149934892105165</v>
      </c>
      <c r="AM912" s="2">
        <v>0.17859195172786699</v>
      </c>
      <c r="AN912" s="2">
        <v>0.146927505731583</v>
      </c>
      <c r="AO912" s="2"/>
      <c r="AP912" s="2"/>
    </row>
    <row r="913" spans="1:42" x14ac:dyDescent="0.3">
      <c r="A913" t="s">
        <v>324</v>
      </c>
      <c r="B913" s="3">
        <v>2020</v>
      </c>
      <c r="C913" s="3">
        <v>10.698467000000001</v>
      </c>
      <c r="D913" s="3"/>
      <c r="E913" t="s">
        <v>325</v>
      </c>
      <c r="G913" s="3">
        <v>9475.4306640625</v>
      </c>
      <c r="H913" s="3">
        <v>10003.5390625</v>
      </c>
      <c r="I913" s="3">
        <v>8083.017578125</v>
      </c>
      <c r="J913" s="3">
        <v>9765.251953125</v>
      </c>
      <c r="K913" s="3"/>
      <c r="L913" s="3"/>
      <c r="M913" s="3"/>
      <c r="N913" s="3"/>
      <c r="O913" s="3">
        <v>9717.8369140625</v>
      </c>
      <c r="P913" s="3">
        <v>10195.6513671875</v>
      </c>
      <c r="Q913" s="3"/>
      <c r="R913" s="3"/>
      <c r="S913" s="3">
        <v>0.51090818643570002</v>
      </c>
      <c r="T913" s="3">
        <v>0.52033978700637795</v>
      </c>
      <c r="U913" s="3">
        <v>0.43070226907730103</v>
      </c>
      <c r="W913" t="s">
        <v>54</v>
      </c>
      <c r="X913" t="s">
        <v>54</v>
      </c>
      <c r="Y913" t="s">
        <v>199</v>
      </c>
      <c r="Z913" t="s">
        <v>53</v>
      </c>
      <c r="AC913" s="2"/>
      <c r="AD913" s="2">
        <v>0.69390231370925903</v>
      </c>
      <c r="AE913" s="2">
        <v>5.4080393165350002E-2</v>
      </c>
      <c r="AF913" s="2">
        <v>0.27641886472701999</v>
      </c>
      <c r="AG913" s="2">
        <v>0.33649218082428001</v>
      </c>
      <c r="AH913" s="2">
        <v>-3.3657800406217603E-2</v>
      </c>
      <c r="AI913" s="2">
        <v>-0.32723593711853</v>
      </c>
      <c r="AJ913" s="2">
        <v>0.661006733602298</v>
      </c>
      <c r="AK913" s="2">
        <v>0.68956387471192104</v>
      </c>
      <c r="AL913" s="2">
        <v>0.13411142597548301</v>
      </c>
      <c r="AM913" s="2">
        <v>0.13170118629932401</v>
      </c>
      <c r="AN913" s="2">
        <v>0.16964322328567499</v>
      </c>
      <c r="AO913" s="2"/>
      <c r="AP913" s="2"/>
    </row>
    <row r="914" spans="1:42" x14ac:dyDescent="0.3">
      <c r="A914" t="s">
        <v>326</v>
      </c>
      <c r="B914" s="3">
        <v>2015</v>
      </c>
      <c r="C914" s="3">
        <v>0.200291</v>
      </c>
      <c r="D914" s="3"/>
      <c r="E914" t="s">
        <v>327</v>
      </c>
      <c r="G914" s="3">
        <v>925.28942871093795</v>
      </c>
      <c r="H914" s="3">
        <v>1153.52221679688</v>
      </c>
      <c r="I914" s="3">
        <v>887.93994140625</v>
      </c>
      <c r="J914" s="3">
        <v>1016.63372802734</v>
      </c>
      <c r="K914" s="3">
        <v>3512.78686523438</v>
      </c>
      <c r="L914" s="3">
        <v>4.6900175220798701E-5</v>
      </c>
      <c r="M914" s="3"/>
      <c r="N914" s="3"/>
      <c r="O914" s="3">
        <v>1190.74926757813</v>
      </c>
      <c r="P914" s="3">
        <v>1405.47143554688</v>
      </c>
      <c r="Q914" s="3"/>
      <c r="R914" s="3">
        <v>0.73831796646118197</v>
      </c>
      <c r="S914" s="3">
        <v>0.33655267953872697</v>
      </c>
      <c r="T914" s="3">
        <v>0.35842218995094299</v>
      </c>
      <c r="U914" s="3">
        <v>0.31305021047592202</v>
      </c>
      <c r="W914" t="s">
        <v>50</v>
      </c>
      <c r="X914" t="s">
        <v>51</v>
      </c>
      <c r="Y914" t="s">
        <v>52</v>
      </c>
      <c r="Z914" t="s">
        <v>53</v>
      </c>
      <c r="AA914" t="s">
        <v>53</v>
      </c>
      <c r="AC914" s="2">
        <v>0.50039372475208499</v>
      </c>
      <c r="AD914" s="2">
        <v>0.55793368816375699</v>
      </c>
      <c r="AE914" s="2">
        <v>0.224498510360718</v>
      </c>
      <c r="AF914" s="2">
        <v>0.35221657156944303</v>
      </c>
      <c r="AG914" s="2">
        <v>1.6551963984966299E-2</v>
      </c>
      <c r="AH914" s="2">
        <v>-0.26882088184356701</v>
      </c>
      <c r="AI914" s="2">
        <v>0.11762016266584401</v>
      </c>
      <c r="AJ914" s="2">
        <v>0.40756828624691799</v>
      </c>
      <c r="AK914" s="2">
        <v>0.44708443978859103</v>
      </c>
      <c r="AL914" s="2">
        <v>0.22405938885569299</v>
      </c>
      <c r="AM914" s="2">
        <v>0.54810875654220603</v>
      </c>
      <c r="AN914" s="2">
        <v>0.51903110742569003</v>
      </c>
      <c r="AO914" s="2">
        <v>0.266650080680847</v>
      </c>
      <c r="AP914" s="2">
        <v>0.237246543169022</v>
      </c>
    </row>
    <row r="915" spans="1:42" x14ac:dyDescent="0.3">
      <c r="A915" t="s">
        <v>326</v>
      </c>
      <c r="B915" s="3">
        <v>2016</v>
      </c>
      <c r="C915" s="3">
        <v>0.20368900000000001</v>
      </c>
      <c r="D915" s="3"/>
      <c r="E915" t="s">
        <v>327</v>
      </c>
      <c r="G915" s="3">
        <v>724.19512939453102</v>
      </c>
      <c r="H915" s="3">
        <v>929.06414794921898</v>
      </c>
      <c r="I915" s="3">
        <v>820.76403808593795</v>
      </c>
      <c r="J915" s="3">
        <v>867.91564941406295</v>
      </c>
      <c r="K915" s="3">
        <v>3583.27954101563</v>
      </c>
      <c r="L915" s="3">
        <v>4.6984503569547101E-5</v>
      </c>
      <c r="M915" s="3"/>
      <c r="N915" s="3"/>
      <c r="O915" s="3">
        <v>1236.15270996094</v>
      </c>
      <c r="P915" s="3">
        <v>1407.75866699219</v>
      </c>
      <c r="Q915" s="3"/>
      <c r="R915" s="3">
        <v>0.73831796646118197</v>
      </c>
      <c r="S915" s="3">
        <v>0.40923470258712802</v>
      </c>
      <c r="T915" s="3">
        <v>0.423443824052811</v>
      </c>
      <c r="U915" s="3">
        <v>0.400439232587814</v>
      </c>
      <c r="W915" t="s">
        <v>50</v>
      </c>
      <c r="X915" t="s">
        <v>51</v>
      </c>
      <c r="Y915" t="s">
        <v>52</v>
      </c>
      <c r="Z915" t="s">
        <v>53</v>
      </c>
      <c r="AA915" t="s">
        <v>53</v>
      </c>
      <c r="AC915" s="2">
        <v>0.44797896190728098</v>
      </c>
      <c r="AD915" s="2">
        <v>0.81228196620941195</v>
      </c>
      <c r="AE915" s="2">
        <v>0.236047148704529</v>
      </c>
      <c r="AF915" s="2">
        <v>2.2125335410237298E-2</v>
      </c>
      <c r="AG915" s="2">
        <v>2.0935440436005599E-2</v>
      </c>
      <c r="AH915" s="2">
        <v>-0.33026105165481601</v>
      </c>
      <c r="AI915" s="2">
        <v>0.23887117207050301</v>
      </c>
      <c r="AJ915" s="2">
        <v>0.41398251743497799</v>
      </c>
      <c r="AK915" s="2">
        <v>0.47367190565592499</v>
      </c>
      <c r="AL915" s="2">
        <v>0.23492972064165099</v>
      </c>
      <c r="AM915" s="2">
        <v>0.57643485069274902</v>
      </c>
      <c r="AN915" s="2">
        <v>0.48615905642509499</v>
      </c>
      <c r="AO915" s="2">
        <v>0.284744381904602</v>
      </c>
      <c r="AP915" s="2">
        <v>0.25055131316184998</v>
      </c>
    </row>
    <row r="916" spans="1:42" x14ac:dyDescent="0.3">
      <c r="A916" t="s">
        <v>326</v>
      </c>
      <c r="B916" s="3">
        <v>2017</v>
      </c>
      <c r="C916" s="3">
        <v>0.20696999999999999</v>
      </c>
      <c r="D916" s="3"/>
      <c r="E916" t="s">
        <v>327</v>
      </c>
      <c r="G916" s="3">
        <v>939.30474853515602</v>
      </c>
      <c r="H916" s="3">
        <v>1148.01171875</v>
      </c>
      <c r="I916" s="3">
        <v>895.35540771484398</v>
      </c>
      <c r="J916" s="3">
        <v>950.89251708984398</v>
      </c>
      <c r="K916" s="3">
        <v>3525.47680664063</v>
      </c>
      <c r="L916" s="3">
        <v>4.5989243517396999E-5</v>
      </c>
      <c r="M916" s="3"/>
      <c r="N916" s="3"/>
      <c r="O916" s="3">
        <v>1284.36267089844</v>
      </c>
      <c r="P916" s="3">
        <v>1462.66125488281</v>
      </c>
      <c r="Q916" s="3"/>
      <c r="R916" s="3">
        <v>0.73831796646118197</v>
      </c>
      <c r="S916" s="3">
        <v>0.40607640147209201</v>
      </c>
      <c r="T916" s="3">
        <v>0.42284759879112199</v>
      </c>
      <c r="U916" s="3">
        <v>0.39815104007720997</v>
      </c>
      <c r="W916" t="s">
        <v>51</v>
      </c>
      <c r="X916" t="s">
        <v>51</v>
      </c>
      <c r="Y916" t="s">
        <v>52</v>
      </c>
      <c r="Z916" t="s">
        <v>53</v>
      </c>
      <c r="AA916" t="s">
        <v>53</v>
      </c>
      <c r="AC916" s="2">
        <v>0.43423201062560302</v>
      </c>
      <c r="AD916" s="2">
        <v>0.79959499835967995</v>
      </c>
      <c r="AE916" s="2">
        <v>0.21948532760143299</v>
      </c>
      <c r="AF916" s="2">
        <v>0.18821883201599099</v>
      </c>
      <c r="AG916" s="2">
        <v>1.9149377942085301E-2</v>
      </c>
      <c r="AH916" s="2">
        <v>-0.30476853251457198</v>
      </c>
      <c r="AI916" s="2">
        <v>7.8320004045963301E-2</v>
      </c>
      <c r="AJ916" s="2">
        <v>0.44317073501229498</v>
      </c>
      <c r="AK916" s="2">
        <v>0.49832787334520501</v>
      </c>
      <c r="AL916" s="2">
        <v>0.24849149436995499</v>
      </c>
      <c r="AM916" s="2">
        <v>0.58007514476776101</v>
      </c>
      <c r="AN916" s="2">
        <v>0.50741374492645297</v>
      </c>
      <c r="AO916" s="2">
        <v>0.30831289291381803</v>
      </c>
      <c r="AP916" s="2">
        <v>0.26877593994140597</v>
      </c>
    </row>
    <row r="917" spans="1:42" x14ac:dyDescent="0.3">
      <c r="A917" t="s">
        <v>326</v>
      </c>
      <c r="B917" s="3">
        <v>2018</v>
      </c>
      <c r="C917" s="3">
        <v>0.21018700000000001</v>
      </c>
      <c r="D917" s="3"/>
      <c r="E917" t="s">
        <v>327</v>
      </c>
      <c r="G917" s="3">
        <v>1085.54150390625</v>
      </c>
      <c r="H917" s="3">
        <v>1255.10693359375</v>
      </c>
      <c r="I917" s="3">
        <v>1005.00994873047</v>
      </c>
      <c r="J917" s="3">
        <v>1091.70910644531</v>
      </c>
      <c r="K917" s="3">
        <v>2868.57836914063</v>
      </c>
      <c r="L917" s="3">
        <v>3.5909673897549503E-5</v>
      </c>
      <c r="M917" s="3"/>
      <c r="N917" s="3"/>
      <c r="O917" s="3">
        <v>1337.74157714844</v>
      </c>
      <c r="P917" s="3">
        <v>1516.98986816406</v>
      </c>
      <c r="Q917" s="3"/>
      <c r="R917" s="3">
        <v>0.73831796646118197</v>
      </c>
      <c r="S917" s="3">
        <v>0.39482697844505299</v>
      </c>
      <c r="T917" s="3">
        <v>0.41328528523445102</v>
      </c>
      <c r="U917" s="3">
        <v>0.38046383857727101</v>
      </c>
      <c r="W917" t="s">
        <v>50</v>
      </c>
      <c r="X917" t="s">
        <v>51</v>
      </c>
      <c r="Y917" t="s">
        <v>52</v>
      </c>
      <c r="Z917" t="s">
        <v>53</v>
      </c>
      <c r="AA917" t="s">
        <v>53</v>
      </c>
      <c r="AC917" s="2">
        <v>0.43270681620700702</v>
      </c>
      <c r="AD917" s="2">
        <v>0.72750967741012595</v>
      </c>
      <c r="AE917" s="2">
        <v>0.15532112121582001</v>
      </c>
      <c r="AF917" s="2">
        <v>0.26684078574180597</v>
      </c>
      <c r="AG917" s="2">
        <v>1.7947074025869401E-2</v>
      </c>
      <c r="AH917" s="2">
        <v>-0.246724888682365</v>
      </c>
      <c r="AI917" s="2">
        <v>7.9106256365776104E-2</v>
      </c>
      <c r="AJ917" s="2">
        <v>0.44794462124893702</v>
      </c>
      <c r="AK917" s="2">
        <v>0.53145356299938296</v>
      </c>
      <c r="AL917" s="2">
        <v>0.25000806286759902</v>
      </c>
      <c r="AM917" s="2">
        <v>0.61691993474960305</v>
      </c>
      <c r="AN917" s="2">
        <v>0.55060315132141102</v>
      </c>
      <c r="AO917" s="2">
        <v>0.33418512344360402</v>
      </c>
      <c r="AP917" s="2">
        <v>0.35788908600807201</v>
      </c>
    </row>
    <row r="918" spans="1:42" x14ac:dyDescent="0.3">
      <c r="A918" t="s">
        <v>326</v>
      </c>
      <c r="B918" s="3">
        <v>2019</v>
      </c>
      <c r="C918" s="3">
        <v>0.213392</v>
      </c>
      <c r="D918" s="3"/>
      <c r="E918" t="s">
        <v>327</v>
      </c>
      <c r="G918" s="3">
        <v>1224.9736328125</v>
      </c>
      <c r="H918" s="3">
        <v>1382.248046875</v>
      </c>
      <c r="I918" s="3">
        <v>1133.11279296875</v>
      </c>
      <c r="J918" s="3">
        <v>1265.19226074219</v>
      </c>
      <c r="K918" s="3">
        <v>2623.59594726563</v>
      </c>
      <c r="L918" s="3">
        <v>3.1075542210601297E-5</v>
      </c>
      <c r="M918" s="3"/>
      <c r="N918" s="3"/>
      <c r="O918" s="3">
        <v>1319.626953125</v>
      </c>
      <c r="P918" s="3">
        <v>1508.38830566406</v>
      </c>
      <c r="Q918" s="3"/>
      <c r="R918" s="3">
        <v>0.73831796646118197</v>
      </c>
      <c r="S918" s="3">
        <v>0.364067763090134</v>
      </c>
      <c r="T918" s="3">
        <v>0.38004437088966397</v>
      </c>
      <c r="U918" s="3">
        <v>0.34036970138549799</v>
      </c>
      <c r="W918" t="s">
        <v>50</v>
      </c>
      <c r="X918" t="s">
        <v>54</v>
      </c>
      <c r="Y918" t="s">
        <v>52</v>
      </c>
      <c r="Z918" t="s">
        <v>53</v>
      </c>
      <c r="AA918" t="s">
        <v>53</v>
      </c>
      <c r="AC918" s="2">
        <v>0.41575807702893403</v>
      </c>
      <c r="AD918" s="2">
        <v>0.74200111627578702</v>
      </c>
      <c r="AE918" s="2">
        <v>0.12430870532989501</v>
      </c>
      <c r="AF918" s="2">
        <v>0.22621038556098899</v>
      </c>
      <c r="AG918" s="2">
        <v>1.1952760629355901E-2</v>
      </c>
      <c r="AH918" s="2">
        <v>-0.204617604613304</v>
      </c>
      <c r="AI918" s="2">
        <v>0.10014466941356701</v>
      </c>
      <c r="AJ918" s="2">
        <v>0.40620331139958399</v>
      </c>
      <c r="AK918" s="2">
        <v>0.50448240671212996</v>
      </c>
      <c r="AL918" s="2">
        <v>0.22585734730957699</v>
      </c>
      <c r="AM918" s="2">
        <v>0.65193331241607699</v>
      </c>
      <c r="AN918" s="2">
        <v>0.57040560245513905</v>
      </c>
      <c r="AO918" s="2">
        <v>0.32198667526245101</v>
      </c>
      <c r="AP918" s="2">
        <v>0.41245731711387601</v>
      </c>
    </row>
    <row r="919" spans="1:42" x14ac:dyDescent="0.3">
      <c r="A919" t="s">
        <v>326</v>
      </c>
      <c r="B919" s="3">
        <v>2020</v>
      </c>
      <c r="C919" s="3">
        <v>0.21743499999999999</v>
      </c>
      <c r="D919" s="3"/>
      <c r="E919" t="s">
        <v>327</v>
      </c>
      <c r="G919" s="3">
        <v>1409.61865234375</v>
      </c>
      <c r="H919" s="3">
        <v>1540.10656738281</v>
      </c>
      <c r="I919" s="3">
        <v>1217.537109375</v>
      </c>
      <c r="J919" s="3">
        <v>1360.43017578125</v>
      </c>
      <c r="K919" s="3">
        <v>2698.14086914063</v>
      </c>
      <c r="L919" s="3">
        <v>2.98810828098794E-5</v>
      </c>
      <c r="M919" s="3"/>
      <c r="N919" s="3"/>
      <c r="O919" s="3">
        <v>1435.74365234375</v>
      </c>
      <c r="P919" s="3">
        <v>1579.24462890625</v>
      </c>
      <c r="Q919" s="3"/>
      <c r="R919" s="3">
        <v>0.73831796646118197</v>
      </c>
      <c r="S919" s="3">
        <v>0.37694111466407798</v>
      </c>
      <c r="T919" s="3">
        <v>0.39133274555206299</v>
      </c>
      <c r="U919" s="3">
        <v>0.35022908449173001</v>
      </c>
      <c r="W919" t="s">
        <v>50</v>
      </c>
      <c r="X919" t="s">
        <v>54</v>
      </c>
      <c r="Y919" t="s">
        <v>52</v>
      </c>
      <c r="Z919" t="s">
        <v>53</v>
      </c>
      <c r="AA919" t="s">
        <v>53</v>
      </c>
      <c r="AC919" s="2">
        <v>0.39721988792332902</v>
      </c>
      <c r="AD919" s="2">
        <v>0.78900945186615001</v>
      </c>
      <c r="AE919" s="2">
        <v>9.5916658639907795E-2</v>
      </c>
      <c r="AF919" s="2">
        <v>0.24714712798595401</v>
      </c>
      <c r="AG919" s="2">
        <v>5.4553830996155704E-3</v>
      </c>
      <c r="AH919" s="2">
        <v>-0.148517265915871</v>
      </c>
      <c r="AI919" s="2">
        <v>1.09886508435011E-2</v>
      </c>
      <c r="AJ919" s="2">
        <v>0.42178018277953599</v>
      </c>
      <c r="AK919" s="2">
        <v>0.54680118809887401</v>
      </c>
      <c r="AL919" s="2">
        <v>0.233793748802995</v>
      </c>
      <c r="AM919" s="2">
        <v>0.69545596837997403</v>
      </c>
      <c r="AN919" s="2">
        <v>0.67622315883636497</v>
      </c>
      <c r="AO919" s="2">
        <v>0.34896609187126199</v>
      </c>
      <c r="AP919" s="2">
        <v>0.49548548460006703</v>
      </c>
    </row>
    <row r="920" spans="1:42" x14ac:dyDescent="0.3">
      <c r="A920" t="s">
        <v>328</v>
      </c>
      <c r="B920" s="3">
        <v>2015</v>
      </c>
      <c r="C920" s="3">
        <v>0.58162700000000001</v>
      </c>
      <c r="D920" s="3"/>
      <c r="E920" t="s">
        <v>329</v>
      </c>
      <c r="G920" s="3">
        <v>7774.134765625</v>
      </c>
      <c r="H920" s="3">
        <v>11665.2275390625</v>
      </c>
      <c r="I920" s="3">
        <v>10668.283203125</v>
      </c>
      <c r="J920" s="3">
        <v>9997.6484375</v>
      </c>
      <c r="K920" s="3">
        <v>56389.87109375</v>
      </c>
      <c r="L920" s="3">
        <v>1.18917680811137E-3</v>
      </c>
      <c r="M920" s="3"/>
      <c r="N920" s="3"/>
      <c r="O920" s="3">
        <v>9518.5908203125</v>
      </c>
      <c r="P920" s="3">
        <v>13121.54296875</v>
      </c>
      <c r="Q920" s="3"/>
      <c r="R920" s="3">
        <v>0.45805999636650102</v>
      </c>
      <c r="S920" s="3">
        <v>0.42404082417488098</v>
      </c>
      <c r="T920" s="3">
        <v>0.48051199316978499</v>
      </c>
      <c r="U920" s="3">
        <v>0.51274442672729503</v>
      </c>
      <c r="W920" t="s">
        <v>50</v>
      </c>
      <c r="X920" t="s">
        <v>51</v>
      </c>
      <c r="Y920" t="s">
        <v>52</v>
      </c>
      <c r="Z920" t="s">
        <v>53</v>
      </c>
      <c r="AA920" t="s">
        <v>53</v>
      </c>
      <c r="AC920" s="2">
        <v>0.110909553727865</v>
      </c>
      <c r="AD920" s="2">
        <v>0.56609940528869596</v>
      </c>
      <c r="AE920" s="2">
        <v>0.38920080661773698</v>
      </c>
      <c r="AF920" s="2">
        <v>0.21149687469005601</v>
      </c>
      <c r="AG920" s="2">
        <v>0.316568434238434</v>
      </c>
      <c r="AH920" s="2">
        <v>-0.407505452632904</v>
      </c>
      <c r="AI920" s="2">
        <v>-7.5860112905502305E-2</v>
      </c>
      <c r="AJ920" s="2">
        <v>0.44952361386367801</v>
      </c>
      <c r="AK920" s="2">
        <v>0.59333748744925097</v>
      </c>
      <c r="AL920" s="2">
        <v>0.355832771711034</v>
      </c>
      <c r="AM920" s="2">
        <v>0.57325464487075795</v>
      </c>
      <c r="AN920" s="2">
        <v>0.46746149659156799</v>
      </c>
      <c r="AO920" s="2">
        <v>0.34426027536392201</v>
      </c>
      <c r="AP920" s="2">
        <v>0.31212285161018399</v>
      </c>
    </row>
    <row r="921" spans="1:42" x14ac:dyDescent="0.3">
      <c r="A921" t="s">
        <v>328</v>
      </c>
      <c r="B921" s="3">
        <v>2016</v>
      </c>
      <c r="C921" s="3">
        <v>0.58775699999999997</v>
      </c>
      <c r="D921" s="3"/>
      <c r="E921" t="s">
        <v>329</v>
      </c>
      <c r="G921" s="3">
        <v>6967.00439453125</v>
      </c>
      <c r="H921" s="3">
        <v>9615</v>
      </c>
      <c r="I921" s="3">
        <v>9033.5166015625</v>
      </c>
      <c r="J921" s="3">
        <v>8535.7822265625</v>
      </c>
      <c r="K921" s="3">
        <v>40481.48046875</v>
      </c>
      <c r="L921" s="3">
        <v>7.9119001748040297E-4</v>
      </c>
      <c r="M921" s="3"/>
      <c r="N921" s="3"/>
      <c r="O921" s="3">
        <v>10136.23828125</v>
      </c>
      <c r="P921" s="3">
        <v>13991.9033203125</v>
      </c>
      <c r="Q921" s="3"/>
      <c r="R921" s="3">
        <v>0.45805999636650102</v>
      </c>
      <c r="S921" s="3">
        <v>0.34291967749595598</v>
      </c>
      <c r="T921" s="3">
        <v>0.36723479628562899</v>
      </c>
      <c r="U921" s="3">
        <v>0.38864880800247198</v>
      </c>
      <c r="W921" t="s">
        <v>50</v>
      </c>
      <c r="X921" t="s">
        <v>51</v>
      </c>
      <c r="Y921" t="s">
        <v>52</v>
      </c>
      <c r="Z921" t="s">
        <v>53</v>
      </c>
      <c r="AA921" t="s">
        <v>53</v>
      </c>
      <c r="AC921" s="2">
        <v>0.112534526926792</v>
      </c>
      <c r="AD921" s="2">
        <v>0.63008606433868397</v>
      </c>
      <c r="AE921" s="2">
        <v>0.31022295355796797</v>
      </c>
      <c r="AF921" s="2">
        <v>0.18612550199031799</v>
      </c>
      <c r="AG921" s="2">
        <v>0.25924423336982699</v>
      </c>
      <c r="AH921" s="2">
        <v>-0.30311042070388799</v>
      </c>
      <c r="AI921" s="2">
        <v>-8.25683549046516E-2</v>
      </c>
      <c r="AJ921" s="2">
        <v>0.370651087159524</v>
      </c>
      <c r="AK921" s="2">
        <v>0.43120904844894498</v>
      </c>
      <c r="AL921" s="2">
        <v>0.249041233823697</v>
      </c>
      <c r="AM921" s="2">
        <v>0.55823123455047596</v>
      </c>
      <c r="AN921" s="2">
        <v>0.45410943031311002</v>
      </c>
      <c r="AO921" s="2">
        <v>0.23580487072467801</v>
      </c>
      <c r="AP921" s="2">
        <v>0.29412662982940702</v>
      </c>
    </row>
    <row r="922" spans="1:42" x14ac:dyDescent="0.3">
      <c r="A922" t="s">
        <v>328</v>
      </c>
      <c r="B922" s="3">
        <v>2017</v>
      </c>
      <c r="C922" s="3">
        <v>0.59371300000000005</v>
      </c>
      <c r="D922" s="3"/>
      <c r="E922" t="s">
        <v>329</v>
      </c>
      <c r="G922" s="3">
        <v>7003.38427734375</v>
      </c>
      <c r="H922" s="3">
        <v>10134.9892578125</v>
      </c>
      <c r="I922" s="3">
        <v>10318.9580078125</v>
      </c>
      <c r="J922" s="3">
        <v>9496.6865234375</v>
      </c>
      <c r="K922" s="3">
        <v>52562.3984375</v>
      </c>
      <c r="L922" s="3">
        <v>9.6337578725069805E-4</v>
      </c>
      <c r="M922" s="3"/>
      <c r="N922" s="3"/>
      <c r="O922" s="3">
        <v>9136.1015625</v>
      </c>
      <c r="P922" s="3">
        <v>12673.1064453125</v>
      </c>
      <c r="Q922" s="3"/>
      <c r="R922" s="3">
        <v>0.45805999636650102</v>
      </c>
      <c r="S922" s="3">
        <v>0.32776537537574801</v>
      </c>
      <c r="T922" s="3">
        <v>0.34806609153747597</v>
      </c>
      <c r="U922" s="3">
        <v>0.37820345163345298</v>
      </c>
      <c r="W922" t="s">
        <v>51</v>
      </c>
      <c r="X922" t="s">
        <v>51</v>
      </c>
      <c r="Y922" t="s">
        <v>52</v>
      </c>
      <c r="Z922" t="s">
        <v>53</v>
      </c>
      <c r="AA922" t="s">
        <v>53</v>
      </c>
      <c r="AC922" s="2">
        <v>0.31822990492528702</v>
      </c>
      <c r="AD922" s="2">
        <v>0.53567910194396995</v>
      </c>
      <c r="AE922" s="2">
        <v>0.329757630825043</v>
      </c>
      <c r="AF922" s="2">
        <v>0.20177647471427901</v>
      </c>
      <c r="AG922" s="2">
        <v>0.26226571202278098</v>
      </c>
      <c r="AH922" s="2">
        <v>-0.28284016251563998</v>
      </c>
      <c r="AI922" s="2">
        <v>-4.6638775616884197E-2</v>
      </c>
      <c r="AJ922" s="2">
        <v>0.37044456910079598</v>
      </c>
      <c r="AK922" s="2">
        <v>0.393465691536659</v>
      </c>
      <c r="AL922" s="2">
        <v>0.21446004132997601</v>
      </c>
      <c r="AM922" s="2">
        <v>0.57857042551040705</v>
      </c>
      <c r="AN922" s="2">
        <v>0.45028090476989702</v>
      </c>
      <c r="AO922" s="2">
        <v>0.21565051376819599</v>
      </c>
      <c r="AP922" s="2">
        <v>0.25208473205566401</v>
      </c>
    </row>
    <row r="923" spans="1:42" x14ac:dyDescent="0.3">
      <c r="A923" t="s">
        <v>328</v>
      </c>
      <c r="B923" s="3">
        <v>2018</v>
      </c>
      <c r="C923" s="3">
        <v>0.59951299999999996</v>
      </c>
      <c r="D923" s="3"/>
      <c r="E923" t="s">
        <v>329</v>
      </c>
      <c r="G923" s="3">
        <v>6356.5517578125</v>
      </c>
      <c r="H923" s="3">
        <v>10152.8359375</v>
      </c>
      <c r="I923" s="3">
        <v>10571.1640625</v>
      </c>
      <c r="J923" s="3">
        <v>9954.3828125</v>
      </c>
      <c r="K923" s="3">
        <v>50627.25</v>
      </c>
      <c r="L923" s="3">
        <v>8.9152151485905095E-4</v>
      </c>
      <c r="M923" s="3"/>
      <c r="N923" s="3"/>
      <c r="O923" s="3">
        <v>8553.8271484375</v>
      </c>
      <c r="P923" s="3">
        <v>13149.2373046875</v>
      </c>
      <c r="Q923" s="3"/>
      <c r="R923" s="3">
        <v>0.45805999636650102</v>
      </c>
      <c r="S923" s="3">
        <v>0.358445554971695</v>
      </c>
      <c r="T923" s="3">
        <v>0.378028243780136</v>
      </c>
      <c r="U923" s="3">
        <v>0.40145120024681102</v>
      </c>
      <c r="W923" t="s">
        <v>50</v>
      </c>
      <c r="X923" t="s">
        <v>51</v>
      </c>
      <c r="Y923" t="s">
        <v>52</v>
      </c>
      <c r="Z923" t="s">
        <v>53</v>
      </c>
      <c r="AA923" t="s">
        <v>53</v>
      </c>
      <c r="AC923" s="2">
        <v>0.30279745099490402</v>
      </c>
      <c r="AD923" s="2">
        <v>0.43831917643547103</v>
      </c>
      <c r="AE923" s="2">
        <v>0.38136816024780301</v>
      </c>
      <c r="AF923" s="2">
        <v>0.20024895668029799</v>
      </c>
      <c r="AG923" s="2">
        <v>0.25569811463356001</v>
      </c>
      <c r="AH923" s="2">
        <v>-0.32123279571533198</v>
      </c>
      <c r="AI923" s="2">
        <v>4.5598387718200697E-2</v>
      </c>
      <c r="AJ923" s="2">
        <v>0.42218136728070399</v>
      </c>
      <c r="AK923" s="2">
        <v>0.41081777003483</v>
      </c>
      <c r="AL923" s="2">
        <v>0.21893610350821799</v>
      </c>
      <c r="AM923" s="2">
        <v>0.59042441844940197</v>
      </c>
      <c r="AN923" s="2">
        <v>0.47750252485275302</v>
      </c>
      <c r="AO923" s="2">
        <v>0.24009029567241699</v>
      </c>
      <c r="AP923" s="2">
        <v>0.28723156452178999</v>
      </c>
    </row>
    <row r="924" spans="1:42" x14ac:dyDescent="0.3">
      <c r="A924" t="s">
        <v>328</v>
      </c>
      <c r="B924" s="3">
        <v>2019</v>
      </c>
      <c r="C924" s="3">
        <v>0.60576799999999997</v>
      </c>
      <c r="D924" s="3"/>
      <c r="E924" t="s">
        <v>329</v>
      </c>
      <c r="G924" s="3">
        <v>7910.00048828125</v>
      </c>
      <c r="H924" s="3">
        <v>12294.7373046875</v>
      </c>
      <c r="I924" s="3">
        <v>11525.7275390625</v>
      </c>
      <c r="J924" s="3">
        <v>11043.19921875</v>
      </c>
      <c r="K924" s="3">
        <v>53316.06640625</v>
      </c>
      <c r="L924" s="3">
        <v>8.7122328113764503E-4</v>
      </c>
      <c r="M924" s="3"/>
      <c r="N924" s="3"/>
      <c r="O924" s="3">
        <v>9632.7509765625</v>
      </c>
      <c r="P924" s="3">
        <v>14505.5927734375</v>
      </c>
      <c r="Q924" s="3"/>
      <c r="R924" s="3">
        <v>0.45805999636650102</v>
      </c>
      <c r="S924" s="3">
        <v>0.341388940811157</v>
      </c>
      <c r="T924" s="3">
        <v>0.369157254695892</v>
      </c>
      <c r="U924" s="3">
        <v>0.38528743386268599</v>
      </c>
      <c r="W924" t="s">
        <v>50</v>
      </c>
      <c r="X924" t="s">
        <v>54</v>
      </c>
      <c r="Y924" t="s">
        <v>52</v>
      </c>
      <c r="Z924" t="s">
        <v>53</v>
      </c>
      <c r="AA924" t="s">
        <v>53</v>
      </c>
      <c r="AC924" s="2">
        <v>0.28996121430988298</v>
      </c>
      <c r="AD924" s="2">
        <v>0.45315316319465598</v>
      </c>
      <c r="AE924" s="2">
        <v>0.397053092718124</v>
      </c>
      <c r="AF924" s="2">
        <v>0.26312479376792902</v>
      </c>
      <c r="AG924" s="2">
        <v>0.22686371207237199</v>
      </c>
      <c r="AH924" s="2">
        <v>-0.332344621419907</v>
      </c>
      <c r="AI924" s="2">
        <v>-7.8501394018530898E-3</v>
      </c>
      <c r="AJ924" s="2">
        <v>0.41303865208700302</v>
      </c>
      <c r="AK924" s="2">
        <v>0.41925092332936897</v>
      </c>
      <c r="AL924" s="2">
        <v>0.217993865851833</v>
      </c>
      <c r="AM924" s="2">
        <v>0.58314967155456499</v>
      </c>
      <c r="AN924" s="2">
        <v>0.46631637215614302</v>
      </c>
      <c r="AO924" s="2">
        <v>0.26093673706054699</v>
      </c>
      <c r="AP924" s="2">
        <v>0.30103561282157898</v>
      </c>
    </row>
    <row r="925" spans="1:42" x14ac:dyDescent="0.3">
      <c r="A925" t="s">
        <v>328</v>
      </c>
      <c r="B925" s="3">
        <v>2020</v>
      </c>
      <c r="C925" s="3">
        <v>0.612317</v>
      </c>
      <c r="D925" s="3"/>
      <c r="E925" t="s">
        <v>329</v>
      </c>
      <c r="G925" s="3">
        <v>5477.36181640625</v>
      </c>
      <c r="H925" s="3">
        <v>7969.83056640625</v>
      </c>
      <c r="I925" s="3">
        <v>10044.095703125</v>
      </c>
      <c r="J925" s="3">
        <v>7920.2392578125</v>
      </c>
      <c r="K925" s="3">
        <v>36151.66796875</v>
      </c>
      <c r="L925" s="3">
        <v>5.99011953454465E-4</v>
      </c>
      <c r="M925" s="3"/>
      <c r="N925" s="3"/>
      <c r="O925" s="3">
        <v>6467.23828125</v>
      </c>
      <c r="P925" s="3">
        <v>10662.9775390625</v>
      </c>
      <c r="Q925" s="3"/>
      <c r="R925" s="3">
        <v>0.45805999636650102</v>
      </c>
      <c r="S925" s="3">
        <v>0.38506725430488598</v>
      </c>
      <c r="T925" s="3">
        <v>0.41408556699752802</v>
      </c>
      <c r="U925" s="3">
        <v>0.52512490749359098</v>
      </c>
      <c r="W925" t="s">
        <v>50</v>
      </c>
      <c r="X925" t="s">
        <v>54</v>
      </c>
      <c r="Y925" t="s">
        <v>52</v>
      </c>
      <c r="Z925" t="s">
        <v>53</v>
      </c>
      <c r="AA925" t="s">
        <v>53</v>
      </c>
      <c r="AC925" s="2">
        <v>0.27415283203269403</v>
      </c>
      <c r="AD925" s="2">
        <v>0.47529134154319802</v>
      </c>
      <c r="AE925" s="2">
        <v>0.31469613313674899</v>
      </c>
      <c r="AF925" s="2">
        <v>0.216273874044418</v>
      </c>
      <c r="AG925" s="2">
        <v>0.28005534410476701</v>
      </c>
      <c r="AH925" s="2">
        <v>-0.37441968917846702</v>
      </c>
      <c r="AI925" s="2">
        <v>8.81030037999153E-2</v>
      </c>
      <c r="AJ925" s="2">
        <v>0.44726945095537601</v>
      </c>
      <c r="AK925" s="2">
        <v>0.47785519375952601</v>
      </c>
      <c r="AL925" s="2">
        <v>0.24836948532212599</v>
      </c>
      <c r="AM925" s="2">
        <v>1.0282276868820199</v>
      </c>
      <c r="AN925" s="2">
        <v>0.60301095247268699</v>
      </c>
      <c r="AO925" s="2">
        <v>0.31163209676742598</v>
      </c>
      <c r="AP925" s="2">
        <v>0.44682925939559898</v>
      </c>
    </row>
    <row r="926" spans="1:42" x14ac:dyDescent="0.3">
      <c r="A926" t="s">
        <v>330</v>
      </c>
      <c r="B926" s="3">
        <v>2015</v>
      </c>
      <c r="C926" s="3">
        <v>5.4202779999999997</v>
      </c>
      <c r="D926" s="3">
        <v>1754.09</v>
      </c>
      <c r="E926" t="s">
        <v>74</v>
      </c>
      <c r="G926" s="3">
        <v>134654.1875</v>
      </c>
      <c r="H926" s="3">
        <v>180720.171875</v>
      </c>
      <c r="I926" s="3">
        <v>184336.25</v>
      </c>
      <c r="J926" s="3">
        <v>162299.046875</v>
      </c>
      <c r="K926" s="3">
        <v>743477.5</v>
      </c>
      <c r="L926" s="3">
        <v>8.4255924448370899E-3</v>
      </c>
      <c r="M926" s="3">
        <v>0.6792351603508</v>
      </c>
      <c r="N926" s="3">
        <v>0.72966498136520397</v>
      </c>
      <c r="O926" s="3">
        <v>129250.7578125</v>
      </c>
      <c r="P926" s="3">
        <v>176856.6875</v>
      </c>
      <c r="Q926" s="3">
        <v>0.90757215023040805</v>
      </c>
      <c r="R926" s="3">
        <v>0.493380486965179</v>
      </c>
      <c r="S926" s="3">
        <v>0.47856625914573703</v>
      </c>
      <c r="T926" s="3">
        <v>0.48378193378448497</v>
      </c>
      <c r="U926" s="3">
        <v>0.54947054386138905</v>
      </c>
      <c r="W926" t="s">
        <v>50</v>
      </c>
      <c r="X926" t="s">
        <v>51</v>
      </c>
      <c r="Y926" t="s">
        <v>52</v>
      </c>
      <c r="Z926" t="s">
        <v>53</v>
      </c>
      <c r="AA926" t="s">
        <v>53</v>
      </c>
      <c r="AC926" s="2">
        <v>0.64926913241444495</v>
      </c>
      <c r="AD926" s="2">
        <v>0.55656671524047896</v>
      </c>
      <c r="AE926" s="2">
        <v>0.28383404016494801</v>
      </c>
      <c r="AF926" s="2">
        <v>0.273100405931473</v>
      </c>
      <c r="AG926" s="2">
        <v>0.75990915298461903</v>
      </c>
      <c r="AH926" s="2">
        <v>-0.87153691053390503</v>
      </c>
      <c r="AI926" s="2">
        <v>-1.8733615288510899E-3</v>
      </c>
      <c r="AJ926" s="2">
        <v>0.52578408181343805</v>
      </c>
      <c r="AK926" s="2">
        <v>0.49902765616447098</v>
      </c>
      <c r="AL926" s="2">
        <v>0.38233840015145099</v>
      </c>
      <c r="AM926" s="2">
        <v>0.60786485671997104</v>
      </c>
      <c r="AN926" s="2">
        <v>0.51645988225936901</v>
      </c>
      <c r="AO926" s="2">
        <v>0.36910244822502097</v>
      </c>
      <c r="AP926" s="2">
        <v>0.71641355752945002</v>
      </c>
    </row>
    <row r="927" spans="1:42" x14ac:dyDescent="0.3">
      <c r="A927" t="s">
        <v>330</v>
      </c>
      <c r="B927" s="3">
        <v>2016</v>
      </c>
      <c r="C927" s="3">
        <v>5.4272590000000003</v>
      </c>
      <c r="D927" s="3">
        <v>1740.01</v>
      </c>
      <c r="E927" t="s">
        <v>74</v>
      </c>
      <c r="G927" s="3">
        <v>128855.6328125</v>
      </c>
      <c r="H927" s="3">
        <v>173744.390625</v>
      </c>
      <c r="I927" s="3">
        <v>177048.09375</v>
      </c>
      <c r="J927" s="3">
        <v>157087.375</v>
      </c>
      <c r="K927" s="3">
        <v>769002.625</v>
      </c>
      <c r="L927" s="3">
        <v>8.5565261542797106E-3</v>
      </c>
      <c r="M927" s="3">
        <v>0.64146304130554199</v>
      </c>
      <c r="N927" s="3">
        <v>0.68593543767929099</v>
      </c>
      <c r="O927" s="3">
        <v>133524.703125</v>
      </c>
      <c r="P927" s="3">
        <v>179786.390625</v>
      </c>
      <c r="Q927" s="3">
        <v>0.90502113103866599</v>
      </c>
      <c r="R927" s="3">
        <v>0.51085114479064897</v>
      </c>
      <c r="S927" s="3">
        <v>0.51600974798202504</v>
      </c>
      <c r="T927" s="3">
        <v>0.51029729843139704</v>
      </c>
      <c r="U927" s="3">
        <v>0.57513958215713501</v>
      </c>
      <c r="W927" t="s">
        <v>50</v>
      </c>
      <c r="X927" t="s">
        <v>51</v>
      </c>
      <c r="Y927" t="s">
        <v>52</v>
      </c>
      <c r="Z927" t="s">
        <v>53</v>
      </c>
      <c r="AA927" t="s">
        <v>53</v>
      </c>
      <c r="AC927" s="2">
        <v>0.711098785534103</v>
      </c>
      <c r="AD927" s="2">
        <v>0.53577911853790305</v>
      </c>
      <c r="AE927" s="2">
        <v>0.28575661778450001</v>
      </c>
      <c r="AF927" s="2">
        <v>0.28450092673301702</v>
      </c>
      <c r="AG927" s="2">
        <v>0.81452327966690097</v>
      </c>
      <c r="AH927" s="2">
        <v>-0.91623532772064198</v>
      </c>
      <c r="AI927" s="2">
        <v>-4.3245586566627E-3</v>
      </c>
      <c r="AJ927" s="2">
        <v>0.58168053545066001</v>
      </c>
      <c r="AK927" s="2">
        <v>0.49389954258310698</v>
      </c>
      <c r="AL927" s="2">
        <v>0.39233689178188902</v>
      </c>
      <c r="AM927" s="2">
        <v>0.60176938772201505</v>
      </c>
      <c r="AN927" s="2">
        <v>0.52053862810134899</v>
      </c>
      <c r="AO927" s="2">
        <v>0.36521562933921797</v>
      </c>
      <c r="AP927" s="2">
        <v>0.66853076219558705</v>
      </c>
    </row>
    <row r="928" spans="1:42" x14ac:dyDescent="0.3">
      <c r="A928" t="s">
        <v>330</v>
      </c>
      <c r="B928" s="3">
        <v>2017</v>
      </c>
      <c r="C928" s="3">
        <v>5.4356999999999998</v>
      </c>
      <c r="D928" s="3">
        <v>1713.78</v>
      </c>
      <c r="E928" t="s">
        <v>74</v>
      </c>
      <c r="G928" s="3">
        <v>133015.21875</v>
      </c>
      <c r="H928" s="3">
        <v>178382.125</v>
      </c>
      <c r="I928" s="3">
        <v>180658.6875</v>
      </c>
      <c r="J928" s="3">
        <v>155277.703125</v>
      </c>
      <c r="K928" s="3">
        <v>815474.75</v>
      </c>
      <c r="L928" s="3">
        <v>8.9291390031576209E-3</v>
      </c>
      <c r="M928" s="3">
        <v>0.61022245883941695</v>
      </c>
      <c r="N928" s="3">
        <v>0.67509472370147705</v>
      </c>
      <c r="O928" s="3">
        <v>139701.375</v>
      </c>
      <c r="P928" s="3">
        <v>185137.65625</v>
      </c>
      <c r="Q928" s="3">
        <v>0.91692823171615601</v>
      </c>
      <c r="R928" s="3">
        <v>0.52919459342956499</v>
      </c>
      <c r="S928" s="3">
        <v>0.54249507188796997</v>
      </c>
      <c r="T928" s="3">
        <v>0.53126770257949796</v>
      </c>
      <c r="U928" s="3">
        <v>0.61810636520385698</v>
      </c>
      <c r="W928" t="s">
        <v>51</v>
      </c>
      <c r="X928" t="s">
        <v>51</v>
      </c>
      <c r="Y928" t="s">
        <v>52</v>
      </c>
      <c r="Z928" t="s">
        <v>53</v>
      </c>
      <c r="AA928" t="s">
        <v>53</v>
      </c>
      <c r="AC928" s="2">
        <v>0.71672346504194295</v>
      </c>
      <c r="AD928" s="2">
        <v>0.563595771789551</v>
      </c>
      <c r="AE928" s="2">
        <v>0.29216626286506697</v>
      </c>
      <c r="AF928" s="2">
        <v>0.29303216934204102</v>
      </c>
      <c r="AG928" s="2">
        <v>0.86328887939453103</v>
      </c>
      <c r="AH928" s="2">
        <v>-1.0086363554000899</v>
      </c>
      <c r="AI928" s="2">
        <v>-3.4468274097889701E-3</v>
      </c>
      <c r="AJ928" s="2">
        <v>0.61136270833247797</v>
      </c>
      <c r="AK928" s="2">
        <v>0.49834934978315898</v>
      </c>
      <c r="AL928" s="2">
        <v>0.41004023589293098</v>
      </c>
      <c r="AM928" s="2">
        <v>0.62272047996520996</v>
      </c>
      <c r="AN928" s="2">
        <v>0.52315002679824796</v>
      </c>
      <c r="AO928" s="2">
        <v>0.36814707517623901</v>
      </c>
      <c r="AP928" s="2">
        <v>0.63138985633850098</v>
      </c>
    </row>
    <row r="929" spans="1:42" x14ac:dyDescent="0.3">
      <c r="A929" t="s">
        <v>330</v>
      </c>
      <c r="B929" s="3">
        <v>2018</v>
      </c>
      <c r="C929" s="3">
        <v>5.4432320000000001</v>
      </c>
      <c r="D929" s="3">
        <v>1703.93</v>
      </c>
      <c r="E929" t="s">
        <v>74</v>
      </c>
      <c r="G929" s="3">
        <v>131264.84375</v>
      </c>
      <c r="H929" s="3">
        <v>179999.75</v>
      </c>
      <c r="I929" s="3">
        <v>182039.859375</v>
      </c>
      <c r="J929" s="3">
        <v>153955.03125</v>
      </c>
      <c r="K929" s="3">
        <v>836376.875</v>
      </c>
      <c r="L929" s="3">
        <v>8.9869704097509402E-3</v>
      </c>
      <c r="M929" s="3">
        <v>0.58874660730361905</v>
      </c>
      <c r="N929" s="3">
        <v>0.66260117292404197</v>
      </c>
      <c r="O929" s="3">
        <v>143875.296875</v>
      </c>
      <c r="P929" s="3">
        <v>191836.078125</v>
      </c>
      <c r="Q929" s="3">
        <v>0.93417739868164096</v>
      </c>
      <c r="R929" s="3">
        <v>0.543653905391693</v>
      </c>
      <c r="S929" s="3">
        <v>0.60652446746826205</v>
      </c>
      <c r="T929" s="3">
        <v>0.58565014600753795</v>
      </c>
      <c r="U929" s="3">
        <v>0.69248586893081698</v>
      </c>
      <c r="W929" t="s">
        <v>50</v>
      </c>
      <c r="X929" t="s">
        <v>51</v>
      </c>
      <c r="Y929" t="s">
        <v>52</v>
      </c>
      <c r="Z929" t="s">
        <v>53</v>
      </c>
      <c r="AA929" t="s">
        <v>53</v>
      </c>
      <c r="AC929" s="2">
        <v>0.71461995566145997</v>
      </c>
      <c r="AD929" s="2">
        <v>0.57402837276458696</v>
      </c>
      <c r="AE929" s="2">
        <v>0.31655284762382502</v>
      </c>
      <c r="AF929" s="2">
        <v>0.27858969569206199</v>
      </c>
      <c r="AG929" s="2">
        <v>0.93679720163345304</v>
      </c>
      <c r="AH929" s="2">
        <v>-1.1129510402679399</v>
      </c>
      <c r="AI929" s="2">
        <v>6.9829733110964298E-3</v>
      </c>
      <c r="AJ929" s="2">
        <v>0.67137809740396903</v>
      </c>
      <c r="AK929" s="2">
        <v>0.52942631541766305</v>
      </c>
      <c r="AL929" s="2">
        <v>0.47289486727338398</v>
      </c>
      <c r="AM929" s="2">
        <v>0.64762282371520996</v>
      </c>
      <c r="AN929" s="2">
        <v>0.54249119758606001</v>
      </c>
      <c r="AO929" s="2">
        <v>0.39670610427856401</v>
      </c>
      <c r="AP929" s="2">
        <v>0.64010536670684803</v>
      </c>
    </row>
    <row r="930" spans="1:42" x14ac:dyDescent="0.3">
      <c r="A930" t="s">
        <v>330</v>
      </c>
      <c r="B930" s="3">
        <v>2019</v>
      </c>
      <c r="C930" s="3">
        <v>5.4506259999999997</v>
      </c>
      <c r="D930" s="3">
        <v>1691.99</v>
      </c>
      <c r="E930" t="s">
        <v>74</v>
      </c>
      <c r="G930" s="3">
        <v>130426.9375</v>
      </c>
      <c r="H930" s="3">
        <v>180099.109375</v>
      </c>
      <c r="I930" s="3">
        <v>180037.109375</v>
      </c>
      <c r="J930" s="3">
        <v>152103.390625</v>
      </c>
      <c r="K930" s="3">
        <v>845264.125</v>
      </c>
      <c r="L930" s="3">
        <v>8.8554937392473203E-3</v>
      </c>
      <c r="M930" s="3">
        <v>0.57522642612457298</v>
      </c>
      <c r="N930" s="3">
        <v>0.65540802478790305</v>
      </c>
      <c r="O930" s="3">
        <v>148620</v>
      </c>
      <c r="P930" s="3">
        <v>198044.375</v>
      </c>
      <c r="Q930" s="3">
        <v>0.94127070903778098</v>
      </c>
      <c r="R930" s="3">
        <v>0.55804705619812001</v>
      </c>
      <c r="S930" s="3">
        <v>0.61652892827987704</v>
      </c>
      <c r="T930" s="3">
        <v>0.58789819478988703</v>
      </c>
      <c r="U930" s="3">
        <v>0.69586539268493697</v>
      </c>
      <c r="W930" t="s">
        <v>50</v>
      </c>
      <c r="X930" t="s">
        <v>54</v>
      </c>
      <c r="Y930" t="s">
        <v>52</v>
      </c>
      <c r="Z930" t="s">
        <v>53</v>
      </c>
      <c r="AA930" t="s">
        <v>53</v>
      </c>
      <c r="AC930" s="2">
        <v>0.37782173056179602</v>
      </c>
      <c r="AD930" s="2">
        <v>0.53869414329528797</v>
      </c>
      <c r="AE930" s="2">
        <v>0.32656848430633501</v>
      </c>
      <c r="AF930" s="2">
        <v>0.31879454851150502</v>
      </c>
      <c r="AG930" s="2">
        <v>0.97135627269744895</v>
      </c>
      <c r="AH930" s="2">
        <v>-1.1645077466964699</v>
      </c>
      <c r="AI930" s="2">
        <v>9.0943537652492506E-3</v>
      </c>
      <c r="AJ930" s="2">
        <v>0.72199385706418495</v>
      </c>
      <c r="AK930" s="2">
        <v>0.51272104118573603</v>
      </c>
      <c r="AL930" s="2">
        <v>0.438315866886346</v>
      </c>
      <c r="AM930" s="2">
        <v>0.60853576660156306</v>
      </c>
      <c r="AN930" s="2">
        <v>0.51324099302291903</v>
      </c>
      <c r="AO930" s="2">
        <v>0.38935559988021901</v>
      </c>
      <c r="AP930" s="2">
        <v>0.60081923007965099</v>
      </c>
    </row>
    <row r="931" spans="1:42" x14ac:dyDescent="0.3">
      <c r="A931" t="s">
        <v>330</v>
      </c>
      <c r="B931" s="3">
        <v>2020</v>
      </c>
      <c r="C931" s="3">
        <v>5.4550239999999999</v>
      </c>
      <c r="D931" s="3">
        <v>1571.98</v>
      </c>
      <c r="E931" t="s">
        <v>74</v>
      </c>
      <c r="G931" s="3">
        <v>150089.859375</v>
      </c>
      <c r="H931" s="3">
        <v>191792.796875</v>
      </c>
      <c r="I931" s="3">
        <v>193852.484375</v>
      </c>
      <c r="J931" s="3">
        <v>170176.484375</v>
      </c>
      <c r="K931" s="3">
        <v>866945</v>
      </c>
      <c r="L931" s="3">
        <v>8.6449133232235909E-3</v>
      </c>
      <c r="M931" s="3">
        <v>0.66818654537200906</v>
      </c>
      <c r="N931" s="3">
        <v>0.72242742776870705</v>
      </c>
      <c r="O931" s="3">
        <v>148688.671875</v>
      </c>
      <c r="P931" s="3">
        <v>190156.453125</v>
      </c>
      <c r="Q931" s="3">
        <v>0.95729374885559104</v>
      </c>
      <c r="R931" s="3">
        <v>0.56163406372070301</v>
      </c>
      <c r="S931" s="3">
        <v>0.56497532129287698</v>
      </c>
      <c r="T931" s="3">
        <v>0.55574524402618397</v>
      </c>
      <c r="U931" s="3">
        <v>0.63306397199630704</v>
      </c>
      <c r="W931" t="s">
        <v>50</v>
      </c>
      <c r="X931" t="s">
        <v>54</v>
      </c>
      <c r="Y931" t="s">
        <v>52</v>
      </c>
      <c r="Z931" t="s">
        <v>53</v>
      </c>
      <c r="AA931" t="s">
        <v>53</v>
      </c>
      <c r="AC931" s="2">
        <v>0.72038849578087905</v>
      </c>
      <c r="AD931" s="2">
        <v>0.591785669326782</v>
      </c>
      <c r="AE931" s="2">
        <v>0.24505698680877699</v>
      </c>
      <c r="AF931" s="2">
        <v>0.29018020629882801</v>
      </c>
      <c r="AG931" s="2">
        <v>0.80849599838256803</v>
      </c>
      <c r="AH931" s="2">
        <v>-0.94457930326461803</v>
      </c>
      <c r="AI931" s="2">
        <v>9.0604089200496708E-3</v>
      </c>
      <c r="AJ931" s="2">
        <v>0.61477687087174604</v>
      </c>
      <c r="AK931" s="2">
        <v>0.52252600820114903</v>
      </c>
      <c r="AL931" s="2">
        <v>0.46341134132120398</v>
      </c>
      <c r="AM931" s="2">
        <v>0.61048775911331199</v>
      </c>
      <c r="AN931" s="2">
        <v>0.52148753404617298</v>
      </c>
      <c r="AO931" s="2">
        <v>0.39693185687065102</v>
      </c>
      <c r="AP931" s="2">
        <v>0.648706555366516</v>
      </c>
    </row>
    <row r="932" spans="1:42" x14ac:dyDescent="0.3">
      <c r="A932" t="s">
        <v>331</v>
      </c>
      <c r="B932" s="3">
        <v>2015</v>
      </c>
      <c r="C932" s="3">
        <v>2.0599470000000002</v>
      </c>
      <c r="D932" s="3">
        <v>1687.34</v>
      </c>
      <c r="E932" t="s">
        <v>74</v>
      </c>
      <c r="G932" s="3">
        <v>50889.89453125</v>
      </c>
      <c r="H932" s="3">
        <v>67713.0234375</v>
      </c>
      <c r="I932" s="3">
        <v>73689.1953125</v>
      </c>
      <c r="J932" s="3">
        <v>65862.6328125</v>
      </c>
      <c r="K932" s="3">
        <v>472302.6875</v>
      </c>
      <c r="L932" s="3">
        <v>5.2121938206255401E-3</v>
      </c>
      <c r="M932" s="3">
        <v>0.61213940382003795</v>
      </c>
      <c r="N932" s="3">
        <v>0.60714983940124501</v>
      </c>
      <c r="O932" s="3">
        <v>55120.203125</v>
      </c>
      <c r="P932" s="3">
        <v>74196.21875</v>
      </c>
      <c r="Q932" s="3">
        <v>0.89574855566024802</v>
      </c>
      <c r="R932" s="3">
        <v>0.63247948884964</v>
      </c>
      <c r="S932" s="3">
        <v>0.60779839754104603</v>
      </c>
      <c r="T932" s="3">
        <v>0.57958930730819702</v>
      </c>
      <c r="U932" s="3">
        <v>0.64846283197402999</v>
      </c>
      <c r="W932" t="s">
        <v>50</v>
      </c>
      <c r="X932" t="s">
        <v>51</v>
      </c>
      <c r="Y932" t="s">
        <v>52</v>
      </c>
      <c r="Z932" t="s">
        <v>53</v>
      </c>
      <c r="AA932" t="s">
        <v>53</v>
      </c>
      <c r="AC932" s="2">
        <v>0.75373580326653999</v>
      </c>
      <c r="AD932" s="2">
        <v>0.54757952690124501</v>
      </c>
      <c r="AE932" s="2">
        <v>0.25542750954628002</v>
      </c>
      <c r="AF932" s="2">
        <v>0.22508765757083901</v>
      </c>
      <c r="AG932" s="2">
        <v>0.68841975927352905</v>
      </c>
      <c r="AH932" s="2">
        <v>-0.78083217144012496</v>
      </c>
      <c r="AI932" s="2">
        <v>6.4317740499973297E-2</v>
      </c>
      <c r="AJ932" s="2">
        <v>0.63320063938114302</v>
      </c>
      <c r="AK932" s="2">
        <v>0.49425674278493298</v>
      </c>
      <c r="AL932" s="2">
        <v>0.54600144098300596</v>
      </c>
      <c r="AM932" s="2">
        <v>0.58637648820877097</v>
      </c>
      <c r="AN932" s="2">
        <v>0.50304108858108498</v>
      </c>
      <c r="AO932" s="2">
        <v>0.36039519309997597</v>
      </c>
      <c r="AP932" s="2">
        <v>0.40235295891761802</v>
      </c>
    </row>
    <row r="933" spans="1:42" x14ac:dyDescent="0.3">
      <c r="A933" t="s">
        <v>331</v>
      </c>
      <c r="B933" s="3">
        <v>2016</v>
      </c>
      <c r="C933" s="3">
        <v>2.0613730000000001</v>
      </c>
      <c r="D933" s="3">
        <v>1652.4</v>
      </c>
      <c r="E933" t="s">
        <v>74</v>
      </c>
      <c r="G933" s="3">
        <v>52785.703125</v>
      </c>
      <c r="H933" s="3">
        <v>70079.9375</v>
      </c>
      <c r="I933" s="3">
        <v>76703.03125</v>
      </c>
      <c r="J933" s="3">
        <v>68605.6640625</v>
      </c>
      <c r="K933" s="3">
        <v>490023.125</v>
      </c>
      <c r="L933" s="3">
        <v>5.30704483389854E-3</v>
      </c>
      <c r="M933" s="3">
        <v>0.62806195020675704</v>
      </c>
      <c r="N933" s="3">
        <v>0.62026667594909701</v>
      </c>
      <c r="O933" s="3">
        <v>57121.40234375</v>
      </c>
      <c r="P933" s="3">
        <v>76332.0078125</v>
      </c>
      <c r="Q933" s="3">
        <v>0.91829240322113004</v>
      </c>
      <c r="R933" s="3">
        <v>0.63940936326980602</v>
      </c>
      <c r="S933" s="3">
        <v>0.60846853256225597</v>
      </c>
      <c r="T933" s="3">
        <v>0.57743072509765603</v>
      </c>
      <c r="U933" s="3">
        <v>0.64558351039886497</v>
      </c>
      <c r="W933" t="s">
        <v>50</v>
      </c>
      <c r="X933" t="s">
        <v>51</v>
      </c>
      <c r="Y933" t="s">
        <v>52</v>
      </c>
      <c r="Z933" t="s">
        <v>53</v>
      </c>
      <c r="AA933" t="s">
        <v>53</v>
      </c>
      <c r="AC933" s="2">
        <v>0.75150974441787599</v>
      </c>
      <c r="AD933" s="2">
        <v>0.540446817874908</v>
      </c>
      <c r="AE933" s="2">
        <v>0.25208172202110302</v>
      </c>
      <c r="AF933" s="2">
        <v>0.22896055877208699</v>
      </c>
      <c r="AG933" s="2">
        <v>0.69619387388229403</v>
      </c>
      <c r="AH933" s="2">
        <v>-0.78218913078308105</v>
      </c>
      <c r="AI933" s="2">
        <v>6.4506120979785905E-2</v>
      </c>
      <c r="AJ933" s="2">
        <v>0.636638137925568</v>
      </c>
      <c r="AK933" s="2">
        <v>0.48269659004212301</v>
      </c>
      <c r="AL933" s="2">
        <v>0.54197600574507099</v>
      </c>
      <c r="AM933" s="2">
        <v>0.57906365394592296</v>
      </c>
      <c r="AN933" s="2">
        <v>0.49737370014190702</v>
      </c>
      <c r="AO933" s="2">
        <v>0.352153480052948</v>
      </c>
      <c r="AP933" s="2">
        <v>0.38952684402465798</v>
      </c>
    </row>
    <row r="934" spans="1:42" x14ac:dyDescent="0.3">
      <c r="A934" t="s">
        <v>331</v>
      </c>
      <c r="B934" s="3">
        <v>2017</v>
      </c>
      <c r="C934" s="3">
        <v>2.0624099999999999</v>
      </c>
      <c r="D934" s="3">
        <v>1621.51</v>
      </c>
      <c r="E934" t="s">
        <v>74</v>
      </c>
      <c r="G934" s="3">
        <v>54930.54296875</v>
      </c>
      <c r="H934" s="3">
        <v>74894.640625</v>
      </c>
      <c r="I934" s="3">
        <v>82357.75</v>
      </c>
      <c r="J934" s="3">
        <v>70541.421875</v>
      </c>
      <c r="K934" s="3">
        <v>505077.34375</v>
      </c>
      <c r="L934" s="3">
        <v>5.4125823080539703E-3</v>
      </c>
      <c r="M934" s="3">
        <v>0.62408143281936701</v>
      </c>
      <c r="N934" s="3">
        <v>0.63809072971344005</v>
      </c>
      <c r="O934" s="3">
        <v>58306.921875</v>
      </c>
      <c r="P934" s="3">
        <v>79620.8125</v>
      </c>
      <c r="Q934" s="3">
        <v>0.95425844192504905</v>
      </c>
      <c r="R934" s="3">
        <v>0.63534969091415405</v>
      </c>
      <c r="S934" s="3">
        <v>0.61966359615325906</v>
      </c>
      <c r="T934" s="3">
        <v>0.58468323945999201</v>
      </c>
      <c r="U934" s="3">
        <v>0.68262308835983299</v>
      </c>
      <c r="W934" t="s">
        <v>51</v>
      </c>
      <c r="X934" t="s">
        <v>51</v>
      </c>
      <c r="Y934" t="s">
        <v>52</v>
      </c>
      <c r="Z934" t="s">
        <v>53</v>
      </c>
      <c r="AA934" t="s">
        <v>53</v>
      </c>
      <c r="AC934" s="2">
        <v>0.74601705748657898</v>
      </c>
      <c r="AD934" s="2">
        <v>0.54672104120254505</v>
      </c>
      <c r="AE934" s="2">
        <v>0.28301239013671903</v>
      </c>
      <c r="AF934" s="2">
        <v>0.231978043913841</v>
      </c>
      <c r="AG934" s="2">
        <v>0.75659644603729304</v>
      </c>
      <c r="AH934" s="2">
        <v>-0.89346832036972101</v>
      </c>
      <c r="AI934" s="2">
        <v>7.5160346925258595E-2</v>
      </c>
      <c r="AJ934" s="2">
        <v>0.65018921920252903</v>
      </c>
      <c r="AK934" s="2">
        <v>0.48843604540947899</v>
      </c>
      <c r="AL934" s="2">
        <v>0.54772148862044701</v>
      </c>
      <c r="AM934" s="2">
        <v>0.59758216142654397</v>
      </c>
      <c r="AN934" s="2">
        <v>0.49422749876976002</v>
      </c>
      <c r="AO934" s="2">
        <v>0.35766354203224199</v>
      </c>
      <c r="AP934" s="2">
        <v>0.40475350618362399</v>
      </c>
    </row>
    <row r="935" spans="1:42" x14ac:dyDescent="0.3">
      <c r="A935" t="s">
        <v>331</v>
      </c>
      <c r="B935" s="3">
        <v>2018</v>
      </c>
      <c r="C935" s="3">
        <v>2.0694810000000001</v>
      </c>
      <c r="D935" s="3">
        <v>1602.95</v>
      </c>
      <c r="E935" t="s">
        <v>74</v>
      </c>
      <c r="G935" s="3">
        <v>56187.02734375</v>
      </c>
      <c r="H935" s="3">
        <v>78877.296875</v>
      </c>
      <c r="I935" s="3">
        <v>86227.1015625</v>
      </c>
      <c r="J935" s="3">
        <v>75491.5625</v>
      </c>
      <c r="K935" s="3">
        <v>524198.9375</v>
      </c>
      <c r="L935" s="3">
        <v>5.5109229870140596E-3</v>
      </c>
      <c r="M935" s="3">
        <v>0.64514625072479304</v>
      </c>
      <c r="N935" s="3">
        <v>0.64886999130249001</v>
      </c>
      <c r="O935" s="3">
        <v>60117.42578125</v>
      </c>
      <c r="P935" s="3">
        <v>83573.53125</v>
      </c>
      <c r="Q935" s="3">
        <v>0.97444379329681396</v>
      </c>
      <c r="R935" s="3">
        <v>0.64090573787689198</v>
      </c>
      <c r="S935" s="3">
        <v>0.66807085275650002</v>
      </c>
      <c r="T935" s="3">
        <v>0.622647285461426</v>
      </c>
      <c r="U935" s="3">
        <v>0.71119302511215199</v>
      </c>
      <c r="W935" t="s">
        <v>50</v>
      </c>
      <c r="X935" t="s">
        <v>51</v>
      </c>
      <c r="Y935" t="s">
        <v>52</v>
      </c>
      <c r="Z935" t="s">
        <v>53</v>
      </c>
      <c r="AA935" t="s">
        <v>53</v>
      </c>
      <c r="AC935" s="2">
        <v>0.74880811941242797</v>
      </c>
      <c r="AD935" s="2">
        <v>0.52605313062667902</v>
      </c>
      <c r="AE935" s="2">
        <v>0.30056694149971003</v>
      </c>
      <c r="AF935" s="2">
        <v>0.218229085206985</v>
      </c>
      <c r="AG935" s="2">
        <v>0.77806556224822998</v>
      </c>
      <c r="AH935" s="2">
        <v>-0.90435397624969505</v>
      </c>
      <c r="AI935" s="2">
        <v>8.1439211964607197E-2</v>
      </c>
      <c r="AJ935" s="2">
        <v>0.69633876690330299</v>
      </c>
      <c r="AK935" s="2">
        <v>0.51016660450511198</v>
      </c>
      <c r="AL935" s="2">
        <v>0.59992948852706296</v>
      </c>
      <c r="AM935" s="2">
        <v>0.62092101573944103</v>
      </c>
      <c r="AN935" s="2">
        <v>0.53122538328170799</v>
      </c>
      <c r="AO935" s="2">
        <v>0.37482956051826499</v>
      </c>
      <c r="AP935" s="2">
        <v>0.41365256905555697</v>
      </c>
    </row>
    <row r="936" spans="1:42" x14ac:dyDescent="0.3">
      <c r="A936" t="s">
        <v>331</v>
      </c>
      <c r="B936" s="3">
        <v>2019</v>
      </c>
      <c r="C936" s="3">
        <v>2.0834389999999998</v>
      </c>
      <c r="D936" s="3">
        <v>1601.42</v>
      </c>
      <c r="E936" t="s">
        <v>74</v>
      </c>
      <c r="G936" s="3">
        <v>62087.6015625</v>
      </c>
      <c r="H936" s="3">
        <v>85444.90625</v>
      </c>
      <c r="I936" s="3">
        <v>93556.0703125</v>
      </c>
      <c r="J936" s="3">
        <v>81323.125</v>
      </c>
      <c r="K936" s="3">
        <v>542526.375</v>
      </c>
      <c r="L936" s="3">
        <v>5.5706617422401896E-3</v>
      </c>
      <c r="M936" s="3">
        <v>0.67253625392913796</v>
      </c>
      <c r="N936" s="3">
        <v>0.679967641830444</v>
      </c>
      <c r="O936" s="3">
        <v>62854.30859375</v>
      </c>
      <c r="P936" s="3">
        <v>86553.734375</v>
      </c>
      <c r="Q936" s="3">
        <v>0.98524701595306396</v>
      </c>
      <c r="R936" s="3">
        <v>0.64904171228408802</v>
      </c>
      <c r="S936" s="3">
        <v>0.61210519075393699</v>
      </c>
      <c r="T936" s="3">
        <v>0.57623118162155196</v>
      </c>
      <c r="U936" s="3">
        <v>0.66291010379791304</v>
      </c>
      <c r="W936" t="s">
        <v>50</v>
      </c>
      <c r="X936" t="s">
        <v>54</v>
      </c>
      <c r="Y936" t="s">
        <v>52</v>
      </c>
      <c r="Z936" t="s">
        <v>53</v>
      </c>
      <c r="AA936" t="s">
        <v>53</v>
      </c>
      <c r="AC936" s="2">
        <v>0.76649743675380999</v>
      </c>
      <c r="AD936" s="2">
        <v>0.54195135831832897</v>
      </c>
      <c r="AE936" s="2">
        <v>0.28721600770950301</v>
      </c>
      <c r="AF936" s="2">
        <v>0.221516653895378</v>
      </c>
      <c r="AG936" s="2">
        <v>0.79338443279266402</v>
      </c>
      <c r="AH936" s="2">
        <v>-0.94166392087936401</v>
      </c>
      <c r="AI936" s="2">
        <v>9.7595512866973905E-2</v>
      </c>
      <c r="AJ936" s="2">
        <v>0.63625436553578196</v>
      </c>
      <c r="AK936" s="2">
        <v>0.48087211294078802</v>
      </c>
      <c r="AL936" s="2">
        <v>0.55302298571094899</v>
      </c>
      <c r="AM936" s="2">
        <v>0.58236676454544101</v>
      </c>
      <c r="AN936" s="2">
        <v>0.498335421085358</v>
      </c>
      <c r="AO936" s="2">
        <v>0.35409799218177801</v>
      </c>
      <c r="AP936" s="2">
        <v>0.386308073997498</v>
      </c>
    </row>
    <row r="937" spans="1:42" x14ac:dyDescent="0.3">
      <c r="A937" t="s">
        <v>331</v>
      </c>
      <c r="B937" s="3">
        <v>2020</v>
      </c>
      <c r="C937" s="3">
        <v>2.1024189999999998</v>
      </c>
      <c r="D937" s="3">
        <v>1532.85</v>
      </c>
      <c r="E937" t="s">
        <v>74</v>
      </c>
      <c r="G937" s="3">
        <v>60901.9453125</v>
      </c>
      <c r="H937" s="3">
        <v>82887.4140625</v>
      </c>
      <c r="I937" s="3">
        <v>91079.65625</v>
      </c>
      <c r="J937" s="3">
        <v>80248.765625</v>
      </c>
      <c r="K937" s="3">
        <v>560064</v>
      </c>
      <c r="L937" s="3">
        <v>5.5051501840353003E-3</v>
      </c>
      <c r="M937" s="3">
        <v>0.66903698444366499</v>
      </c>
      <c r="N937" s="3">
        <v>0.66292399168014504</v>
      </c>
      <c r="O937" s="3">
        <v>60704.33203125</v>
      </c>
      <c r="P937" s="3">
        <v>82995.4296875</v>
      </c>
      <c r="Q937" s="3">
        <v>0.96716612577438399</v>
      </c>
      <c r="R937" s="3">
        <v>0.650995433330536</v>
      </c>
      <c r="S937" s="3">
        <v>0.62074881792068504</v>
      </c>
      <c r="T937" s="3">
        <v>0.58613264560699496</v>
      </c>
      <c r="U937" s="3">
        <v>0.66524082422256503</v>
      </c>
      <c r="W937" t="s">
        <v>50</v>
      </c>
      <c r="X937" t="s">
        <v>54</v>
      </c>
      <c r="Y937" t="s">
        <v>52</v>
      </c>
      <c r="Z937" t="s">
        <v>53</v>
      </c>
      <c r="AA937" t="s">
        <v>53</v>
      </c>
      <c r="AC937" s="2">
        <v>0.76826928797538296</v>
      </c>
      <c r="AD937" s="2">
        <v>0.51352232694625899</v>
      </c>
      <c r="AE937" s="2">
        <v>0.27396646142005898</v>
      </c>
      <c r="AF937" s="2">
        <v>0.24539206922054299</v>
      </c>
      <c r="AG937" s="2">
        <v>0.731126248836517</v>
      </c>
      <c r="AH937" s="2">
        <v>-0.85517728328704801</v>
      </c>
      <c r="AI937" s="2">
        <v>9.1170236468315097E-2</v>
      </c>
      <c r="AJ937" s="2">
        <v>0.648978839083175</v>
      </c>
      <c r="AK937" s="2">
        <v>0.49024234267858102</v>
      </c>
      <c r="AL937" s="2">
        <v>0.56167303254039103</v>
      </c>
      <c r="AM937" s="2">
        <v>0.588431656360626</v>
      </c>
      <c r="AN937" s="2">
        <v>0.50402683019638095</v>
      </c>
      <c r="AO937" s="2">
        <v>0.35702165961265597</v>
      </c>
      <c r="AP937" s="2">
        <v>0.40188723802566501</v>
      </c>
    </row>
    <row r="938" spans="1:42" x14ac:dyDescent="0.3">
      <c r="A938" t="s">
        <v>332</v>
      </c>
      <c r="B938" s="3">
        <v>2015</v>
      </c>
      <c r="C938" s="3">
        <v>9.7994810000000001</v>
      </c>
      <c r="D938" s="3">
        <v>1467.16</v>
      </c>
      <c r="E938" t="s">
        <v>333</v>
      </c>
      <c r="G938" s="3">
        <v>381170.625</v>
      </c>
      <c r="H938" s="3">
        <v>525638.1875</v>
      </c>
      <c r="I938" s="3">
        <v>543350.6875</v>
      </c>
      <c r="J938" s="3">
        <v>517925.21875</v>
      </c>
      <c r="K938" s="3">
        <v>2410480.5</v>
      </c>
      <c r="L938" s="3">
        <v>3.37957292795181E-2</v>
      </c>
      <c r="M938" s="3">
        <v>0.91783750057220503</v>
      </c>
      <c r="N938" s="3">
        <v>0.89866626262664795</v>
      </c>
      <c r="O938" s="3">
        <v>415911.4375</v>
      </c>
      <c r="P938" s="3">
        <v>566812.3125</v>
      </c>
      <c r="Q938" s="3">
        <v>0.97955548763275202</v>
      </c>
      <c r="R938" s="3">
        <v>0.617376029491425</v>
      </c>
      <c r="S938" s="3">
        <v>0.96019315719604503</v>
      </c>
      <c r="T938" s="3">
        <v>0.92334151268005404</v>
      </c>
      <c r="U938" s="3">
        <v>0.96866929531097401</v>
      </c>
      <c r="W938" t="s">
        <v>50</v>
      </c>
      <c r="X938" t="s">
        <v>51</v>
      </c>
      <c r="Y938" t="s">
        <v>52</v>
      </c>
      <c r="Z938" t="s">
        <v>53</v>
      </c>
      <c r="AA938" t="s">
        <v>53</v>
      </c>
      <c r="AC938" s="2">
        <v>0.7646927308682</v>
      </c>
      <c r="AD938" s="2">
        <v>0.48947775363922102</v>
      </c>
      <c r="AE938" s="2">
        <v>0.27893522381782498</v>
      </c>
      <c r="AF938" s="2">
        <v>0.24647910892963401</v>
      </c>
      <c r="AG938" s="2">
        <v>0.44913363456726102</v>
      </c>
      <c r="AH938" s="2">
        <v>-0.493355423212051</v>
      </c>
      <c r="AI938" s="2">
        <v>2.9329715296626101E-2</v>
      </c>
      <c r="AJ938" s="2">
        <v>0.93135064982156901</v>
      </c>
      <c r="AK938" s="2">
        <v>0.82611037063840798</v>
      </c>
      <c r="AL938" s="2">
        <v>1.01747091005437</v>
      </c>
      <c r="AM938" s="2">
        <v>0.60185033082962003</v>
      </c>
      <c r="AN938" s="2">
        <v>0.54148536920547496</v>
      </c>
      <c r="AO938" s="2">
        <v>0.77700698375701904</v>
      </c>
      <c r="AP938" s="2">
        <v>0.75888317823410001</v>
      </c>
    </row>
    <row r="939" spans="1:42" x14ac:dyDescent="0.3">
      <c r="A939" t="s">
        <v>332</v>
      </c>
      <c r="B939" s="3">
        <v>2016</v>
      </c>
      <c r="C939" s="3">
        <v>9.9232800000000001</v>
      </c>
      <c r="D939" s="3">
        <v>1478.11</v>
      </c>
      <c r="E939" t="s">
        <v>333</v>
      </c>
      <c r="G939" s="3">
        <v>391634.59375</v>
      </c>
      <c r="H939" s="3">
        <v>543341.5625</v>
      </c>
      <c r="I939" s="3">
        <v>557599.875</v>
      </c>
      <c r="J939" s="3">
        <v>531781.6875</v>
      </c>
      <c r="K939" s="3">
        <v>2468882.25</v>
      </c>
      <c r="L939" s="3">
        <v>3.4078728407621398E-2</v>
      </c>
      <c r="M939" s="3">
        <v>0.92129999399185203</v>
      </c>
      <c r="N939" s="3">
        <v>0.91008639335632302</v>
      </c>
      <c r="O939" s="3">
        <v>427467.09375</v>
      </c>
      <c r="P939" s="3">
        <v>585287.125</v>
      </c>
      <c r="Q939" s="3">
        <v>0.97429656982421897</v>
      </c>
      <c r="R939" s="3">
        <v>0.62726002931594904</v>
      </c>
      <c r="S939" s="3">
        <v>0.96001899242401101</v>
      </c>
      <c r="T939" s="3">
        <v>0.92219918966293302</v>
      </c>
      <c r="U939" s="3">
        <v>0.96697235107421897</v>
      </c>
      <c r="W939" t="s">
        <v>50</v>
      </c>
      <c r="X939" t="s">
        <v>51</v>
      </c>
      <c r="Y939" t="s">
        <v>52</v>
      </c>
      <c r="Z939" t="s">
        <v>53</v>
      </c>
      <c r="AA939" t="s">
        <v>53</v>
      </c>
      <c r="AC939" s="2">
        <v>0.74897931752756797</v>
      </c>
      <c r="AD939" s="2">
        <v>0.47718691825866699</v>
      </c>
      <c r="AE939" s="2">
        <v>0.28528052568435702</v>
      </c>
      <c r="AF939" s="2">
        <v>0.25927054882049599</v>
      </c>
      <c r="AG939" s="2">
        <v>0.44215017557144198</v>
      </c>
      <c r="AH939" s="2">
        <v>-0.49278649687767001</v>
      </c>
      <c r="AI939" s="2">
        <v>2.8898335993289899E-2</v>
      </c>
      <c r="AJ939" s="2">
        <v>0.94578473358959703</v>
      </c>
      <c r="AK939" s="2">
        <v>0.82456670464770498</v>
      </c>
      <c r="AL939" s="2">
        <v>0.98621716507526702</v>
      </c>
      <c r="AM939" s="2">
        <v>0.59232997894287098</v>
      </c>
      <c r="AN939" s="2">
        <v>0.53799426555633501</v>
      </c>
      <c r="AO939" s="2">
        <v>0.78781449794769298</v>
      </c>
      <c r="AP939" s="2">
        <v>0.72800326347351096</v>
      </c>
    </row>
    <row r="940" spans="1:42" x14ac:dyDescent="0.3">
      <c r="A940" t="s">
        <v>332</v>
      </c>
      <c r="B940" s="3">
        <v>2017</v>
      </c>
      <c r="C940" s="3">
        <v>10.057862</v>
      </c>
      <c r="D940" s="3">
        <v>1465.92</v>
      </c>
      <c r="E940" t="s">
        <v>333</v>
      </c>
      <c r="G940" s="3">
        <v>407658.59375</v>
      </c>
      <c r="H940" s="3">
        <v>571324</v>
      </c>
      <c r="I940" s="3">
        <v>582194.875</v>
      </c>
      <c r="J940" s="3">
        <v>550809.6875</v>
      </c>
      <c r="K940" s="3">
        <v>2575892.25</v>
      </c>
      <c r="L940" s="3">
        <v>3.5876430571079303E-2</v>
      </c>
      <c r="M940" s="3">
        <v>0.910719335079193</v>
      </c>
      <c r="N940" s="3">
        <v>0.90970289707183805</v>
      </c>
      <c r="O940" s="3">
        <v>434532.8125</v>
      </c>
      <c r="P940" s="3">
        <v>598637.625</v>
      </c>
      <c r="Q940" s="3">
        <v>0.970472931861877</v>
      </c>
      <c r="R940" s="3">
        <v>0.632584929466248</v>
      </c>
      <c r="S940" s="3">
        <v>0.96072977781295799</v>
      </c>
      <c r="T940" s="3">
        <v>0.92079812288284302</v>
      </c>
      <c r="U940" s="3">
        <v>0.97326534986496005</v>
      </c>
      <c r="W940" t="s">
        <v>51</v>
      </c>
      <c r="X940" t="s">
        <v>51</v>
      </c>
      <c r="Y940" t="s">
        <v>52</v>
      </c>
      <c r="Z940" t="s">
        <v>53</v>
      </c>
      <c r="AA940" t="s">
        <v>53</v>
      </c>
      <c r="AC940" s="2">
        <v>0.74955745244859395</v>
      </c>
      <c r="AD940" s="2">
        <v>0.471190005540848</v>
      </c>
      <c r="AE940" s="2">
        <v>0.29713603854179399</v>
      </c>
      <c r="AF940" s="2">
        <v>0.26891785860061601</v>
      </c>
      <c r="AG940" s="2">
        <v>0.45390996336937001</v>
      </c>
      <c r="AH940" s="2">
        <v>-0.51223808526992798</v>
      </c>
      <c r="AI940" s="2">
        <v>2.1084159612655601E-2</v>
      </c>
      <c r="AJ940" s="2">
        <v>0.96555369795649604</v>
      </c>
      <c r="AK940" s="2">
        <v>0.82133627979592105</v>
      </c>
      <c r="AL940" s="2">
        <v>0.95227738063381595</v>
      </c>
      <c r="AM940" s="2">
        <v>0.611563920974731</v>
      </c>
      <c r="AN940" s="2">
        <v>0.54650843143463101</v>
      </c>
      <c r="AO940" s="2">
        <v>0.80101603269577004</v>
      </c>
      <c r="AP940" s="2">
        <v>0.68497383594512895</v>
      </c>
    </row>
    <row r="941" spans="1:42" x14ac:dyDescent="0.3">
      <c r="A941" t="s">
        <v>332</v>
      </c>
      <c r="B941" s="3">
        <v>2018</v>
      </c>
      <c r="C941" s="3">
        <v>10.175405</v>
      </c>
      <c r="D941" s="3">
        <v>1464.91</v>
      </c>
      <c r="E941" t="s">
        <v>333</v>
      </c>
      <c r="G941" s="3">
        <v>411686.46875</v>
      </c>
      <c r="H941" s="3">
        <v>584882.0625</v>
      </c>
      <c r="I941" s="3">
        <v>594707.8125</v>
      </c>
      <c r="J941" s="3">
        <v>557198</v>
      </c>
      <c r="K941" s="3">
        <v>2766003.5</v>
      </c>
      <c r="L941" s="3">
        <v>3.8041274994611698E-2</v>
      </c>
      <c r="M941" s="3">
        <v>0.87811630964279197</v>
      </c>
      <c r="N941" s="3">
        <v>0.88727170228958097</v>
      </c>
      <c r="O941" s="3">
        <v>441085.15625</v>
      </c>
      <c r="P941" s="3">
        <v>608801.4375</v>
      </c>
      <c r="Q941" s="3">
        <v>0.96717363595962502</v>
      </c>
      <c r="R941" s="3">
        <v>0.63904976844787598</v>
      </c>
      <c r="S941" s="3">
        <v>0.978110611438751</v>
      </c>
      <c r="T941" s="3">
        <v>0.92703086137771595</v>
      </c>
      <c r="U941" s="3">
        <v>0.98943740129470803</v>
      </c>
      <c r="W941" t="s">
        <v>50</v>
      </c>
      <c r="X941" t="s">
        <v>51</v>
      </c>
      <c r="Y941" t="s">
        <v>52</v>
      </c>
      <c r="Z941" t="s">
        <v>53</v>
      </c>
      <c r="AA941" t="s">
        <v>53</v>
      </c>
      <c r="AC941" s="2">
        <v>0.74740949013038505</v>
      </c>
      <c r="AD941" s="2">
        <v>0.47069406509399397</v>
      </c>
      <c r="AE941" s="2">
        <v>0.31083318591117898</v>
      </c>
      <c r="AF941" s="2">
        <v>0.26815724372863797</v>
      </c>
      <c r="AG941" s="2">
        <v>0.47088927030563399</v>
      </c>
      <c r="AH941" s="2">
        <v>-0.54549932479858398</v>
      </c>
      <c r="AI941" s="2">
        <v>2.4925533682107901E-2</v>
      </c>
      <c r="AJ941" s="2">
        <v>0.98226541821644497</v>
      </c>
      <c r="AK941" s="2">
        <v>0.80561412679258504</v>
      </c>
      <c r="AL941" s="2">
        <v>0.97081767189577794</v>
      </c>
      <c r="AM941" s="2">
        <v>0.63251739740371704</v>
      </c>
      <c r="AN941" s="2">
        <v>0.56124812364578303</v>
      </c>
      <c r="AO941" s="2">
        <v>0.77400767803192105</v>
      </c>
      <c r="AP941" s="2">
        <v>0.61852294206619296</v>
      </c>
    </row>
    <row r="942" spans="1:42" x14ac:dyDescent="0.3">
      <c r="A942" t="s">
        <v>332</v>
      </c>
      <c r="B942" s="3">
        <v>2019</v>
      </c>
      <c r="C942" s="3">
        <v>10.279125000000001</v>
      </c>
      <c r="D942" s="3">
        <v>1451.35</v>
      </c>
      <c r="E942" t="s">
        <v>333</v>
      </c>
      <c r="G942" s="3">
        <v>432504.4375</v>
      </c>
      <c r="H942" s="3">
        <v>607333.625</v>
      </c>
      <c r="I942" s="3">
        <v>632384.5625</v>
      </c>
      <c r="J942" s="3">
        <v>598871</v>
      </c>
      <c r="K942" s="3">
        <v>2894729.75</v>
      </c>
      <c r="L942" s="3">
        <v>3.8434229791164398E-2</v>
      </c>
      <c r="M942" s="3">
        <v>0.91454601287841797</v>
      </c>
      <c r="N942" s="3">
        <v>0.89248257875442505</v>
      </c>
      <c r="O942" s="3">
        <v>443228.875</v>
      </c>
      <c r="P942" s="3">
        <v>610511.375</v>
      </c>
      <c r="Q942" s="3">
        <v>0.98320281505584695</v>
      </c>
      <c r="R942" s="3">
        <v>0.62572169303893999</v>
      </c>
      <c r="S942" s="3">
        <v>0.88073539733886697</v>
      </c>
      <c r="T942" s="3">
        <v>0.84152793884277299</v>
      </c>
      <c r="U942" s="3">
        <v>0.88862085342407204</v>
      </c>
      <c r="W942" t="s">
        <v>50</v>
      </c>
      <c r="X942" t="s">
        <v>54</v>
      </c>
      <c r="Y942" t="s">
        <v>52</v>
      </c>
      <c r="Z942" t="s">
        <v>53</v>
      </c>
      <c r="AA942" t="s">
        <v>53</v>
      </c>
      <c r="AC942" s="2">
        <v>0.73511227906682697</v>
      </c>
      <c r="AD942" s="2">
        <v>0.45515739917755099</v>
      </c>
      <c r="AE942" s="2">
        <v>0.29193136096000699</v>
      </c>
      <c r="AF942" s="2">
        <v>0.26704227924346902</v>
      </c>
      <c r="AG942" s="2">
        <v>0.450765401124954</v>
      </c>
      <c r="AH942" s="2">
        <v>-0.50148636102676403</v>
      </c>
      <c r="AI942" s="2">
        <v>3.6589965224266101E-2</v>
      </c>
      <c r="AJ942" s="2">
        <v>0.89328789213557203</v>
      </c>
      <c r="AK942" s="2">
        <v>0.74453382658225098</v>
      </c>
      <c r="AL942" s="2">
        <v>0.85934047568506999</v>
      </c>
      <c r="AM942" s="2">
        <v>0.59480571746826205</v>
      </c>
      <c r="AN942" s="2">
        <v>0.52928882837295499</v>
      </c>
      <c r="AO942" s="2">
        <v>0.70038723945617698</v>
      </c>
      <c r="AP942" s="2">
        <v>0.589444160461426</v>
      </c>
    </row>
    <row r="943" spans="1:42" x14ac:dyDescent="0.3">
      <c r="A943" t="s">
        <v>332</v>
      </c>
      <c r="B943" s="3">
        <v>2020</v>
      </c>
      <c r="C943" s="3">
        <v>10.353686</v>
      </c>
      <c r="D943" s="3">
        <v>1422.56</v>
      </c>
      <c r="E943" t="s">
        <v>333</v>
      </c>
      <c r="G943" s="3">
        <v>426711.8125</v>
      </c>
      <c r="H943" s="3">
        <v>599578.875</v>
      </c>
      <c r="I943" s="3">
        <v>625794.0625</v>
      </c>
      <c r="J943" s="3">
        <v>597144.3125</v>
      </c>
      <c r="K943" s="3">
        <v>3041731.5</v>
      </c>
      <c r="L943" s="3">
        <v>3.8897212594747502E-2</v>
      </c>
      <c r="M943" s="3">
        <v>0.89838892221450795</v>
      </c>
      <c r="N943" s="3">
        <v>0.86535668373107899</v>
      </c>
      <c r="O943" s="3">
        <v>432173.5</v>
      </c>
      <c r="P943" s="3">
        <v>596939.8125</v>
      </c>
      <c r="Q943" s="3">
        <v>0.97329056262970004</v>
      </c>
      <c r="R943" s="3">
        <v>0.61847543716430697</v>
      </c>
      <c r="S943" s="3">
        <v>0.91218298673629805</v>
      </c>
      <c r="T943" s="3">
        <v>0.87112945318222101</v>
      </c>
      <c r="U943" s="3">
        <v>0.91292440891265902</v>
      </c>
      <c r="W943" t="s">
        <v>50</v>
      </c>
      <c r="X943" t="s">
        <v>54</v>
      </c>
      <c r="Y943" t="s">
        <v>52</v>
      </c>
      <c r="Z943" t="s">
        <v>53</v>
      </c>
      <c r="AA943" t="s">
        <v>53</v>
      </c>
      <c r="AC943" s="2">
        <v>0.71460123242208895</v>
      </c>
      <c r="AD943" s="2">
        <v>0.44394001364707902</v>
      </c>
      <c r="AE943" s="2">
        <v>0.28948956727981601</v>
      </c>
      <c r="AF943" s="2">
        <v>0.27064743638038602</v>
      </c>
      <c r="AG943" s="2">
        <v>0.424864441156387</v>
      </c>
      <c r="AH943" s="2">
        <v>-0.46431678533554099</v>
      </c>
      <c r="AI943" s="2">
        <v>3.5375330597162302E-2</v>
      </c>
      <c r="AJ943" s="2">
        <v>0.92208511266162496</v>
      </c>
      <c r="AK943" s="2">
        <v>0.76979122139495404</v>
      </c>
      <c r="AL943" s="2">
        <v>0.89594066956233198</v>
      </c>
      <c r="AM943" s="2">
        <v>0.594820976257324</v>
      </c>
      <c r="AN943" s="2">
        <v>0.53146892786026001</v>
      </c>
      <c r="AO943" s="2">
        <v>0.70238393545150801</v>
      </c>
      <c r="AP943" s="2">
        <v>0.63495522737503096</v>
      </c>
    </row>
    <row r="944" spans="1:42" x14ac:dyDescent="0.3">
      <c r="A944" t="s">
        <v>334</v>
      </c>
      <c r="B944" s="3">
        <v>2015</v>
      </c>
      <c r="C944" s="3">
        <v>1.1428130000000001</v>
      </c>
      <c r="D944" s="3"/>
      <c r="E944" t="s">
        <v>335</v>
      </c>
      <c r="G944" s="3">
        <v>10167.646484375</v>
      </c>
      <c r="H944" s="3">
        <v>11468.498046875</v>
      </c>
      <c r="I944" s="3">
        <v>11309.5048828125</v>
      </c>
      <c r="J944" s="3">
        <v>10686.5986328125</v>
      </c>
      <c r="K944" s="3">
        <v>41516.27734375</v>
      </c>
      <c r="L944" s="3">
        <v>4.7332019312307201E-4</v>
      </c>
      <c r="M944" s="3">
        <v>0.77360779047012296</v>
      </c>
      <c r="N944" s="3">
        <v>0.80094021558761597</v>
      </c>
      <c r="O944" s="3">
        <v>9551.2255859375</v>
      </c>
      <c r="P944" s="3">
        <v>10381.3876953125</v>
      </c>
      <c r="Q944" s="3">
        <v>0.92177969217300404</v>
      </c>
      <c r="R944" s="3">
        <v>0.61207884550094604</v>
      </c>
      <c r="S944" s="3">
        <v>0.35487964749336198</v>
      </c>
      <c r="T944" s="3">
        <v>0.358921378850937</v>
      </c>
      <c r="U944" s="3">
        <v>0.37984240055084201</v>
      </c>
      <c r="W944" t="s">
        <v>50</v>
      </c>
      <c r="X944" t="s">
        <v>51</v>
      </c>
      <c r="Y944" t="s">
        <v>52</v>
      </c>
      <c r="Z944" t="s">
        <v>53</v>
      </c>
      <c r="AA944" t="s">
        <v>53</v>
      </c>
      <c r="AC944" s="2">
        <v>0.445298781257014</v>
      </c>
      <c r="AD944" s="2">
        <v>0.73208457231521595</v>
      </c>
      <c r="AE944" s="2">
        <v>0.121727362275124</v>
      </c>
      <c r="AF944" s="2">
        <v>0.21935439109802199</v>
      </c>
      <c r="AG944" s="2">
        <v>0.29613515734672502</v>
      </c>
      <c r="AH944" s="2">
        <v>-0.278359264135361</v>
      </c>
      <c r="AI944" s="2">
        <v>-9.09421741962433E-2</v>
      </c>
      <c r="AJ944" s="2">
        <v>0.34728477823044901</v>
      </c>
      <c r="AK944" s="2">
        <v>0.39051228728604898</v>
      </c>
      <c r="AL944" s="2">
        <v>0.38022719839104802</v>
      </c>
      <c r="AM944" s="2">
        <v>0.57525557279586803</v>
      </c>
      <c r="AN944" s="2">
        <v>0.50707733631134</v>
      </c>
      <c r="AO944" s="2">
        <v>0.209233999252319</v>
      </c>
      <c r="AP944" s="2">
        <v>0.44448116421699502</v>
      </c>
    </row>
    <row r="945" spans="1:42" x14ac:dyDescent="0.3">
      <c r="A945" t="s">
        <v>334</v>
      </c>
      <c r="B945" s="3">
        <v>2016</v>
      </c>
      <c r="C945" s="3">
        <v>1.1495070000000001</v>
      </c>
      <c r="D945" s="3"/>
      <c r="E945" t="s">
        <v>335</v>
      </c>
      <c r="G945" s="3">
        <v>9965.140625</v>
      </c>
      <c r="H945" s="3">
        <v>11236.583984375</v>
      </c>
      <c r="I945" s="3">
        <v>11194.26171875</v>
      </c>
      <c r="J945" s="3">
        <v>10698.671875</v>
      </c>
      <c r="K945" s="3">
        <v>37452.86328125</v>
      </c>
      <c r="L945" s="3">
        <v>4.2249425314366801E-4</v>
      </c>
      <c r="M945" s="3">
        <v>0.79777234792709395</v>
      </c>
      <c r="N945" s="3">
        <v>0.81007498502731301</v>
      </c>
      <c r="O945" s="3">
        <v>9571.9990234375</v>
      </c>
      <c r="P945" s="3">
        <v>10503.3857421875</v>
      </c>
      <c r="Q945" s="3">
        <v>0.91379815340042103</v>
      </c>
      <c r="R945" s="3">
        <v>0.61207884550094604</v>
      </c>
      <c r="S945" s="3">
        <v>0.33521565794944802</v>
      </c>
      <c r="T945" s="3">
        <v>0.34089064598083502</v>
      </c>
      <c r="U945" s="3">
        <v>0.35668158531188998</v>
      </c>
      <c r="W945" t="s">
        <v>50</v>
      </c>
      <c r="X945" t="s">
        <v>51</v>
      </c>
      <c r="Y945" t="s">
        <v>52</v>
      </c>
      <c r="Z945" t="s">
        <v>53</v>
      </c>
      <c r="AA945" t="s">
        <v>53</v>
      </c>
      <c r="AC945" s="2">
        <v>0.45457086569925997</v>
      </c>
      <c r="AD945" s="2">
        <v>0.67736649513244596</v>
      </c>
      <c r="AE945" s="2">
        <v>0.118841223418713</v>
      </c>
      <c r="AF945" s="2">
        <v>0.25407063961029103</v>
      </c>
      <c r="AG945" s="2">
        <v>0.29423764348030101</v>
      </c>
      <c r="AH945" s="2">
        <v>-0.293615251779556</v>
      </c>
      <c r="AI945" s="2">
        <v>-5.0900761038064998E-2</v>
      </c>
      <c r="AJ945" s="2">
        <v>0.33191733464163597</v>
      </c>
      <c r="AK945" s="2">
        <v>0.385369339477932</v>
      </c>
      <c r="AL945" s="2">
        <v>0.34400915259119902</v>
      </c>
      <c r="AM945" s="2">
        <v>0.54522955417633101</v>
      </c>
      <c r="AN945" s="2">
        <v>0.489144146442413</v>
      </c>
      <c r="AO945" s="2">
        <v>0.20891691744327501</v>
      </c>
      <c r="AP945" s="2">
        <v>0.45352005958557101</v>
      </c>
    </row>
    <row r="946" spans="1:42" x14ac:dyDescent="0.3">
      <c r="A946" t="s">
        <v>334</v>
      </c>
      <c r="B946" s="3">
        <v>2017</v>
      </c>
      <c r="C946" s="3">
        <v>1.1581950000000001</v>
      </c>
      <c r="D946" s="3"/>
      <c r="E946" t="s">
        <v>335</v>
      </c>
      <c r="G946" s="3">
        <v>10191.705078125</v>
      </c>
      <c r="H946" s="3">
        <v>11393.3330078125</v>
      </c>
      <c r="I946" s="3">
        <v>11001.591796875</v>
      </c>
      <c r="J946" s="3">
        <v>10439.7255859375</v>
      </c>
      <c r="K946" s="3">
        <v>35011.515625</v>
      </c>
      <c r="L946" s="3">
        <v>3.9423748967237798E-4</v>
      </c>
      <c r="M946" s="3">
        <v>0.799324810504913</v>
      </c>
      <c r="N946" s="3">
        <v>0.84007722139358498</v>
      </c>
      <c r="O946" s="3">
        <v>10012.4921875</v>
      </c>
      <c r="P946" s="3">
        <v>10906.7119140625</v>
      </c>
      <c r="Q946" s="3">
        <v>0.938973128795624</v>
      </c>
      <c r="R946" s="3">
        <v>0.61207884550094604</v>
      </c>
      <c r="S946" s="3">
        <v>0.39213213324546797</v>
      </c>
      <c r="T946" s="3">
        <v>0.40038016438484197</v>
      </c>
      <c r="U946" s="3">
        <v>0.42192864418029802</v>
      </c>
      <c r="W946" t="s">
        <v>51</v>
      </c>
      <c r="X946" t="s">
        <v>51</v>
      </c>
      <c r="Y946" t="s">
        <v>52</v>
      </c>
      <c r="Z946" t="s">
        <v>53</v>
      </c>
      <c r="AA946" t="s">
        <v>53</v>
      </c>
      <c r="AC946" s="2">
        <v>0.411752167211618</v>
      </c>
      <c r="AD946" s="2">
        <v>0.69516456127166804</v>
      </c>
      <c r="AE946" s="2">
        <v>0.11510144174099</v>
      </c>
      <c r="AF946" s="2">
        <v>0.281078100204468</v>
      </c>
      <c r="AG946" s="2">
        <v>0.30539175868034402</v>
      </c>
      <c r="AH946" s="2">
        <v>-0.31817156076431302</v>
      </c>
      <c r="AI946" s="2">
        <v>-7.85642564296722E-2</v>
      </c>
      <c r="AJ946" s="2">
        <v>0.39800939600248803</v>
      </c>
      <c r="AK946" s="2">
        <v>0.47033672527479098</v>
      </c>
      <c r="AL946" s="2">
        <v>0.377596391901175</v>
      </c>
      <c r="AM946" s="2">
        <v>0.56489461660385099</v>
      </c>
      <c r="AN946" s="2">
        <v>0.48523989319801297</v>
      </c>
      <c r="AO946" s="2">
        <v>0.262903422117233</v>
      </c>
      <c r="AP946" s="2">
        <v>0.540763139724731</v>
      </c>
    </row>
    <row r="947" spans="1:42" x14ac:dyDescent="0.3">
      <c r="A947" t="s">
        <v>334</v>
      </c>
      <c r="B947" s="3">
        <v>2018</v>
      </c>
      <c r="C947" s="3">
        <v>1.1689290000000001</v>
      </c>
      <c r="D947" s="3"/>
      <c r="E947" t="s">
        <v>335</v>
      </c>
      <c r="G947" s="3">
        <v>9832.2265625</v>
      </c>
      <c r="H947" s="3">
        <v>11075.8603515625</v>
      </c>
      <c r="I947" s="3">
        <v>10862.330078125</v>
      </c>
      <c r="J947" s="3">
        <v>10315.494140625</v>
      </c>
      <c r="K947" s="3">
        <v>27045.982421875</v>
      </c>
      <c r="L947" s="3">
        <v>3.0477563268504999E-4</v>
      </c>
      <c r="M947" s="3">
        <v>0.87686258554458596</v>
      </c>
      <c r="N947" s="3">
        <v>0.90628439188003496</v>
      </c>
      <c r="O947" s="3">
        <v>9979.5166015625</v>
      </c>
      <c r="P947" s="3">
        <v>11307.0166015625</v>
      </c>
      <c r="Q947" s="3">
        <v>0.95494616031646695</v>
      </c>
      <c r="R947" s="3">
        <v>0.61207884550094604</v>
      </c>
      <c r="S947" s="3">
        <v>0.421281307935715</v>
      </c>
      <c r="T947" s="3">
        <v>0.42981335520744302</v>
      </c>
      <c r="U947" s="3">
        <v>0.45259830355644198</v>
      </c>
      <c r="W947" t="s">
        <v>50</v>
      </c>
      <c r="X947" t="s">
        <v>51</v>
      </c>
      <c r="Y947" t="s">
        <v>52</v>
      </c>
      <c r="Z947" t="s">
        <v>53</v>
      </c>
      <c r="AA947" t="s">
        <v>53</v>
      </c>
      <c r="AC947" s="2">
        <v>0.380164890073173</v>
      </c>
      <c r="AD947" s="2">
        <v>0.70321995019912698</v>
      </c>
      <c r="AE947" s="2">
        <v>0.12055981904268299</v>
      </c>
      <c r="AF947" s="2">
        <v>0.249931320548058</v>
      </c>
      <c r="AG947" s="2">
        <v>0.30964699387550398</v>
      </c>
      <c r="AH947" s="2">
        <v>-0.36693483591079701</v>
      </c>
      <c r="AI947" s="2">
        <v>-1.6423288732767102E-2</v>
      </c>
      <c r="AJ947" s="2">
        <v>0.42232529219374199</v>
      </c>
      <c r="AK947" s="2">
        <v>0.49726826227751803</v>
      </c>
      <c r="AL947" s="2">
        <v>0.41834387588857602</v>
      </c>
      <c r="AM947" s="2">
        <v>0.57681423425674405</v>
      </c>
      <c r="AN947" s="2">
        <v>0.49074858427047702</v>
      </c>
      <c r="AO947" s="2">
        <v>0.28302782773971602</v>
      </c>
      <c r="AP947" s="2">
        <v>0.70263832807540905</v>
      </c>
    </row>
    <row r="948" spans="1:42" x14ac:dyDescent="0.3">
      <c r="A948" t="s">
        <v>334</v>
      </c>
      <c r="B948" s="3">
        <v>2019</v>
      </c>
      <c r="C948" s="3">
        <v>1.1798740000000001</v>
      </c>
      <c r="D948" s="3"/>
      <c r="E948" t="s">
        <v>335</v>
      </c>
      <c r="G948" s="3">
        <v>9886.4462890625</v>
      </c>
      <c r="H948" s="3">
        <v>11171.85546875</v>
      </c>
      <c r="I948" s="3">
        <v>11284.5693359375</v>
      </c>
      <c r="J948" s="3">
        <v>10544.353515625</v>
      </c>
      <c r="K948" s="3">
        <v>27780.34765625</v>
      </c>
      <c r="L948" s="3">
        <v>3.0859984690323499E-4</v>
      </c>
      <c r="M948" s="3">
        <v>0.88540017604827903</v>
      </c>
      <c r="N948" s="3">
        <v>0.90270376205444303</v>
      </c>
      <c r="O948" s="3">
        <v>9791.4833984375</v>
      </c>
      <c r="P948" s="3">
        <v>11137.662109375</v>
      </c>
      <c r="Q948" s="3">
        <v>0.98128950595855702</v>
      </c>
      <c r="R948" s="3">
        <v>0.61207884550094604</v>
      </c>
      <c r="S948" s="3">
        <v>0.38844883441925099</v>
      </c>
      <c r="T948" s="3">
        <v>0.39835524559021002</v>
      </c>
      <c r="U948" s="3">
        <v>0.42631983757018999</v>
      </c>
      <c r="W948" t="s">
        <v>50</v>
      </c>
      <c r="X948" t="s">
        <v>54</v>
      </c>
      <c r="Y948" t="s">
        <v>52</v>
      </c>
      <c r="Z948" t="s">
        <v>53</v>
      </c>
      <c r="AA948" t="s">
        <v>53</v>
      </c>
      <c r="AC948" s="2">
        <v>0.38349970826479002</v>
      </c>
      <c r="AD948" s="2">
        <v>0.69068819284439098</v>
      </c>
      <c r="AE948" s="2">
        <v>0.121904984116554</v>
      </c>
      <c r="AF948" s="2">
        <v>0.24691751599311801</v>
      </c>
      <c r="AG948" s="2">
        <v>0.35508215427398698</v>
      </c>
      <c r="AH948" s="2">
        <v>-0.38694149255752602</v>
      </c>
      <c r="AI948" s="2">
        <v>-2.7651384472846999E-2</v>
      </c>
      <c r="AJ948" s="2">
        <v>0.39363018635985902</v>
      </c>
      <c r="AK948" s="2">
        <v>0.47454828193633303</v>
      </c>
      <c r="AL948" s="2">
        <v>0.37395530848075897</v>
      </c>
      <c r="AM948" s="2">
        <v>0.53460919857025202</v>
      </c>
      <c r="AN948" s="2">
        <v>0.44912117719650302</v>
      </c>
      <c r="AO948" s="2">
        <v>0.2748162150383</v>
      </c>
      <c r="AP948" s="2">
        <v>0.642716825008392</v>
      </c>
    </row>
    <row r="949" spans="1:42" x14ac:dyDescent="0.3">
      <c r="A949" t="s">
        <v>334</v>
      </c>
      <c r="B949" s="3">
        <v>2020</v>
      </c>
      <c r="C949" s="3">
        <v>1.1927289999999999</v>
      </c>
      <c r="D949" s="3"/>
      <c r="E949" t="s">
        <v>335</v>
      </c>
      <c r="G949" s="3">
        <v>10100.41015625</v>
      </c>
      <c r="H949" s="3">
        <v>11225.5322265625</v>
      </c>
      <c r="I949" s="3">
        <v>11105.568359375</v>
      </c>
      <c r="J949" s="3">
        <v>10367.974609375</v>
      </c>
      <c r="K949" s="3">
        <v>26681.603515625</v>
      </c>
      <c r="L949" s="3">
        <v>2.8570182621479002E-4</v>
      </c>
      <c r="M949" s="3">
        <v>0.89464902877807595</v>
      </c>
      <c r="N949" s="3">
        <v>0.92924237251281705</v>
      </c>
      <c r="O949" s="3">
        <v>10049.484375</v>
      </c>
      <c r="P949" s="3">
        <v>11267.83203125</v>
      </c>
      <c r="Q949" s="3">
        <v>0.97488141059875499</v>
      </c>
      <c r="R949" s="3">
        <v>0.61207884550094604</v>
      </c>
      <c r="S949" s="3">
        <v>0.35017502307891801</v>
      </c>
      <c r="T949" s="3">
        <v>0.35858017206192</v>
      </c>
      <c r="U949" s="3">
        <v>0.384090125560761</v>
      </c>
      <c r="W949" t="s">
        <v>50</v>
      </c>
      <c r="X949" t="s">
        <v>54</v>
      </c>
      <c r="Y949" t="s">
        <v>52</v>
      </c>
      <c r="Z949" t="s">
        <v>53</v>
      </c>
      <c r="AA949" t="s">
        <v>53</v>
      </c>
      <c r="AC949" s="2">
        <v>0.37120628117261301</v>
      </c>
      <c r="AD949" s="2">
        <v>0.71107083559036299</v>
      </c>
      <c r="AE949" s="2">
        <v>0.108519017696381</v>
      </c>
      <c r="AF949" s="2">
        <v>0.26312232017517101</v>
      </c>
      <c r="AG949" s="2">
        <v>0.35059243440628102</v>
      </c>
      <c r="AH949" s="2">
        <v>-0.38254401087760898</v>
      </c>
      <c r="AI949" s="2">
        <v>-5.0760544836521197E-2</v>
      </c>
      <c r="AJ949" s="2">
        <v>0.35657934363475202</v>
      </c>
      <c r="AK949" s="2">
        <v>0.43403473542775101</v>
      </c>
      <c r="AL949" s="2">
        <v>0.33286776220700898</v>
      </c>
      <c r="AM949" s="2">
        <v>0.48000493645668002</v>
      </c>
      <c r="AN949" s="2">
        <v>0.39979311823844899</v>
      </c>
      <c r="AO949" s="2">
        <v>0.25300940871238697</v>
      </c>
      <c r="AP949" s="2">
        <v>0.64207011461257901</v>
      </c>
    </row>
    <row r="950" spans="1:42" x14ac:dyDescent="0.3">
      <c r="A950" t="s">
        <v>336</v>
      </c>
      <c r="B950" s="3">
        <v>2015</v>
      </c>
      <c r="C950" s="3">
        <v>3.7470999999999997E-2</v>
      </c>
      <c r="D950" s="3"/>
      <c r="E950" t="s">
        <v>136</v>
      </c>
      <c r="G950" s="3">
        <v>1418.59680175781</v>
      </c>
      <c r="H950" s="3">
        <v>1722.98120117188</v>
      </c>
      <c r="I950" s="3">
        <v>1849.11328125</v>
      </c>
      <c r="J950" s="3">
        <v>435.17074584960898</v>
      </c>
      <c r="K950" s="3"/>
      <c r="L950" s="3"/>
      <c r="M950" s="3"/>
      <c r="N950" s="3"/>
      <c r="O950" s="3">
        <v>1423.25061035156</v>
      </c>
      <c r="P950" s="3">
        <v>1725.96044921875</v>
      </c>
      <c r="Q950" s="3"/>
      <c r="R950" s="3"/>
      <c r="S950" s="3">
        <v>0.73119717836380005</v>
      </c>
      <c r="T950" s="3">
        <v>0.73926419019699097</v>
      </c>
      <c r="U950" s="3">
        <v>3.14125728607178</v>
      </c>
      <c r="W950" t="s">
        <v>50</v>
      </c>
      <c r="X950" t="s">
        <v>54</v>
      </c>
      <c r="Y950" t="s">
        <v>52</v>
      </c>
      <c r="Z950" t="s">
        <v>53</v>
      </c>
      <c r="AC950" s="2">
        <v>0.647843030325706</v>
      </c>
      <c r="AD950" s="2">
        <v>2.56065106391907</v>
      </c>
      <c r="AE950" s="2">
        <v>0.69945955276489302</v>
      </c>
      <c r="AF950" s="2">
        <v>0.69921141862869296</v>
      </c>
      <c r="AG950" s="2">
        <v>0.32798594236373901</v>
      </c>
      <c r="AH950" s="2">
        <v>-3.9689395427703902</v>
      </c>
      <c r="AI950" s="2">
        <v>0.68163144588470503</v>
      </c>
      <c r="AJ950" s="2">
        <v>0.73045956268787005</v>
      </c>
      <c r="AK950" s="2">
        <v>0.77686102512955801</v>
      </c>
      <c r="AL950" s="2">
        <v>0.73389835914772505</v>
      </c>
      <c r="AM950" s="2">
        <v>0.58922302722930897</v>
      </c>
      <c r="AN950" s="2">
        <v>0.53418922424316395</v>
      </c>
      <c r="AO950" s="2"/>
      <c r="AP950" s="2"/>
    </row>
    <row r="951" spans="1:42" x14ac:dyDescent="0.3">
      <c r="A951" t="s">
        <v>336</v>
      </c>
      <c r="B951" s="3">
        <v>2016</v>
      </c>
      <c r="C951" s="3">
        <v>3.8248999999999998E-2</v>
      </c>
      <c r="D951" s="3"/>
      <c r="E951" t="s">
        <v>136</v>
      </c>
      <c r="G951" s="3">
        <v>1490.47119140625</v>
      </c>
      <c r="H951" s="3">
        <v>1838.34191894531</v>
      </c>
      <c r="I951" s="3">
        <v>1894.45532226563</v>
      </c>
      <c r="J951" s="3">
        <v>1174.83508300781</v>
      </c>
      <c r="K951" s="3"/>
      <c r="L951" s="3"/>
      <c r="M951" s="3"/>
      <c r="N951" s="3"/>
      <c r="O951" s="3">
        <v>1432.42761230469</v>
      </c>
      <c r="P951" s="3">
        <v>1773.90002441406</v>
      </c>
      <c r="Q951" s="3"/>
      <c r="R951" s="3"/>
      <c r="S951" s="3">
        <v>0.73139029741287198</v>
      </c>
      <c r="T951" s="3">
        <v>0.73997187614440896</v>
      </c>
      <c r="U951" s="3">
        <v>1.19322574138641</v>
      </c>
      <c r="W951" t="s">
        <v>50</v>
      </c>
      <c r="X951" t="s">
        <v>54</v>
      </c>
      <c r="Y951" t="s">
        <v>52</v>
      </c>
      <c r="Z951" t="s">
        <v>53</v>
      </c>
      <c r="AC951" s="2">
        <v>0.64270124103302495</v>
      </c>
      <c r="AD951" s="2">
        <v>1.0073865652084399</v>
      </c>
      <c r="AE951" s="2">
        <v>0.29610174894332902</v>
      </c>
      <c r="AF951" s="2">
        <v>0.261277675628662</v>
      </c>
      <c r="AG951" s="2">
        <v>0.18822371959686299</v>
      </c>
      <c r="AH951" s="2">
        <v>-1.2974666357040401</v>
      </c>
      <c r="AI951" s="2">
        <v>0.54447704553604104</v>
      </c>
      <c r="AJ951" s="2">
        <v>0.72704135747229903</v>
      </c>
      <c r="AK951" s="2">
        <v>0.77673983746485997</v>
      </c>
      <c r="AL951" s="2">
        <v>0.74815818170807902</v>
      </c>
      <c r="AM951" s="2">
        <v>0.58657902479171797</v>
      </c>
      <c r="AN951" s="2">
        <v>0.55858772993087802</v>
      </c>
      <c r="AO951" s="2"/>
      <c r="AP951" s="2"/>
    </row>
    <row r="952" spans="1:42" x14ac:dyDescent="0.3">
      <c r="A952" t="s">
        <v>336</v>
      </c>
      <c r="B952" s="3">
        <v>2017</v>
      </c>
      <c r="C952" s="3">
        <v>3.8996000000000003E-2</v>
      </c>
      <c r="D952" s="3"/>
      <c r="E952" t="s">
        <v>136</v>
      </c>
      <c r="G952" s="3">
        <v>1499.09301757813</v>
      </c>
      <c r="H952" s="3">
        <v>1932.01123046875</v>
      </c>
      <c r="I952" s="3">
        <v>1787.84375</v>
      </c>
      <c r="J952" s="3">
        <v>1326.04614257813</v>
      </c>
      <c r="K952" s="3"/>
      <c r="L952" s="3"/>
      <c r="M952" s="3"/>
      <c r="N952" s="3"/>
      <c r="O952" s="3">
        <v>1404.27722167969</v>
      </c>
      <c r="P952" s="3">
        <v>1780.12451171875</v>
      </c>
      <c r="Q952" s="3"/>
      <c r="R952" s="3"/>
      <c r="S952" s="3">
        <v>0.72136461734771695</v>
      </c>
      <c r="T952" s="3">
        <v>0.72116458415985096</v>
      </c>
      <c r="U952" s="3">
        <v>0.97231119871139504</v>
      </c>
      <c r="W952" t="s">
        <v>51</v>
      </c>
      <c r="X952" t="s">
        <v>54</v>
      </c>
      <c r="Y952" t="s">
        <v>52</v>
      </c>
      <c r="Z952" t="s">
        <v>53</v>
      </c>
      <c r="AC952" s="2">
        <v>0.64727029528409497</v>
      </c>
      <c r="AD952" s="2">
        <v>0.86337703466415405</v>
      </c>
      <c r="AE952" s="2">
        <v>0.326472938060761</v>
      </c>
      <c r="AF952" s="2">
        <v>0.26712134480476402</v>
      </c>
      <c r="AG952" s="2">
        <v>0.12887342274189001</v>
      </c>
      <c r="AH952" s="2">
        <v>-1.02381563186646</v>
      </c>
      <c r="AI952" s="2">
        <v>0.43797087669372597</v>
      </c>
      <c r="AJ952" s="2">
        <v>0.74486026876008804</v>
      </c>
      <c r="AK952" s="2">
        <v>0.72047177554392905</v>
      </c>
      <c r="AL952" s="2">
        <v>0.64542315729872801</v>
      </c>
      <c r="AM952" s="2">
        <v>0.60817176103591897</v>
      </c>
      <c r="AN952" s="2">
        <v>0.56907320022582997</v>
      </c>
      <c r="AO952" s="2"/>
      <c r="AP952" s="2"/>
    </row>
    <row r="953" spans="1:42" x14ac:dyDescent="0.3">
      <c r="A953" t="s">
        <v>336</v>
      </c>
      <c r="B953" s="3">
        <v>2018</v>
      </c>
      <c r="C953" s="3">
        <v>3.9711999999999997E-2</v>
      </c>
      <c r="D953" s="3"/>
      <c r="E953" t="s">
        <v>136</v>
      </c>
      <c r="G953" s="3">
        <v>1690.34008789063</v>
      </c>
      <c r="H953" s="3">
        <v>2388.26416015625</v>
      </c>
      <c r="I953" s="3">
        <v>1746.94799804688</v>
      </c>
      <c r="J953" s="3">
        <v>1397.97082519531</v>
      </c>
      <c r="K953" s="3"/>
      <c r="L953" s="3"/>
      <c r="M953" s="3"/>
      <c r="N953" s="3"/>
      <c r="O953" s="3">
        <v>1800.86743164063</v>
      </c>
      <c r="P953" s="3">
        <v>2555.91040039063</v>
      </c>
      <c r="Q953" s="3"/>
      <c r="R953" s="3"/>
      <c r="S953" s="3">
        <v>0.71967309713363703</v>
      </c>
      <c r="T953" s="3">
        <v>0.72081011533737205</v>
      </c>
      <c r="U953" s="3">
        <v>0.90074694156646695</v>
      </c>
      <c r="W953" t="s">
        <v>67</v>
      </c>
      <c r="X953" t="s">
        <v>54</v>
      </c>
      <c r="Y953" t="s">
        <v>52</v>
      </c>
      <c r="Z953" t="s">
        <v>53</v>
      </c>
      <c r="AC953" s="2">
        <v>0.64365568430350295</v>
      </c>
      <c r="AD953" s="2">
        <v>0.89686238765716597</v>
      </c>
      <c r="AE953" s="2">
        <v>0.49924075603485102</v>
      </c>
      <c r="AF953" s="2">
        <v>0.31227594614028897</v>
      </c>
      <c r="AG953" s="2">
        <v>8.3704240620136303E-2</v>
      </c>
      <c r="AH953" s="2">
        <v>-1.08553743362427</v>
      </c>
      <c r="AI953" s="2">
        <v>0.29345405101776101</v>
      </c>
      <c r="AJ953" s="2">
        <v>0.76411922287335199</v>
      </c>
      <c r="AK953" s="2">
        <v>0.72356393404105901</v>
      </c>
      <c r="AL953" s="2">
        <v>0.59202304663889604</v>
      </c>
      <c r="AM953" s="2">
        <v>0.74056082963943504</v>
      </c>
      <c r="AN953" s="2">
        <v>0.60521727800369296</v>
      </c>
      <c r="AO953" s="2"/>
      <c r="AP953" s="2"/>
    </row>
    <row r="954" spans="1:42" x14ac:dyDescent="0.3">
      <c r="A954" t="s">
        <v>336</v>
      </c>
      <c r="B954" s="3">
        <v>2019</v>
      </c>
      <c r="C954" s="3">
        <v>4.0384999999999997E-2</v>
      </c>
      <c r="D954" s="3"/>
      <c r="E954" t="s">
        <v>136</v>
      </c>
      <c r="G954" s="3">
        <v>1744.66613769531</v>
      </c>
      <c r="H954" s="3">
        <v>2303.53881835938</v>
      </c>
      <c r="I954" s="3">
        <v>2021.7568359375</v>
      </c>
      <c r="J954" s="3">
        <v>1721.63305664063</v>
      </c>
      <c r="K954" s="3"/>
      <c r="L954" s="3"/>
      <c r="M954" s="3"/>
      <c r="N954" s="3"/>
      <c r="O954" s="3">
        <v>1745.96240234375</v>
      </c>
      <c r="P954" s="3">
        <v>2317.74169921875</v>
      </c>
      <c r="Q954" s="3"/>
      <c r="R954" s="3"/>
      <c r="S954" s="3">
        <v>0.72024542093277</v>
      </c>
      <c r="T954" s="3">
        <v>0.72203367948532104</v>
      </c>
      <c r="U954" s="3">
        <v>0.84790223836898804</v>
      </c>
      <c r="W954" t="s">
        <v>67</v>
      </c>
      <c r="X954" t="s">
        <v>54</v>
      </c>
      <c r="Y954" t="s">
        <v>52</v>
      </c>
      <c r="Z954" t="s">
        <v>53</v>
      </c>
      <c r="AC954" s="2">
        <v>0.64323530140301999</v>
      </c>
      <c r="AD954" s="2">
        <v>0.75117534399032604</v>
      </c>
      <c r="AE954" s="2">
        <v>0.32461777329444902</v>
      </c>
      <c r="AF954" s="2">
        <v>0.26220327615737898</v>
      </c>
      <c r="AG954" s="2">
        <v>8.7391830980777699E-2</v>
      </c>
      <c r="AH954" s="2">
        <v>-0.84258693456649802</v>
      </c>
      <c r="AI954" s="2">
        <v>0.417198777198792</v>
      </c>
      <c r="AJ954" s="2">
        <v>0.76613676970348399</v>
      </c>
      <c r="AK954" s="2">
        <v>0.72761612148085397</v>
      </c>
      <c r="AL954" s="2">
        <v>0.58877324463512404</v>
      </c>
      <c r="AM954" s="2">
        <v>0.78353714942932096</v>
      </c>
      <c r="AN954" s="2">
        <v>0.641351819038391</v>
      </c>
      <c r="AO954" s="2"/>
      <c r="AP954" s="2"/>
    </row>
    <row r="955" spans="1:42" x14ac:dyDescent="0.3">
      <c r="A955" t="s">
        <v>336</v>
      </c>
      <c r="B955" s="3">
        <v>2020</v>
      </c>
      <c r="C955" s="3">
        <v>4.1008000000000003E-2</v>
      </c>
      <c r="D955" s="3"/>
      <c r="E955" t="s">
        <v>136</v>
      </c>
      <c r="G955" s="3">
        <v>1531.04748535156</v>
      </c>
      <c r="H955" s="3">
        <v>2048.33520507813</v>
      </c>
      <c r="I955" s="3">
        <v>1713.07543945313</v>
      </c>
      <c r="J955" s="3">
        <v>1609.181640625</v>
      </c>
      <c r="K955" s="3"/>
      <c r="L955" s="3"/>
      <c r="M955" s="3"/>
      <c r="N955" s="3"/>
      <c r="O955" s="3">
        <v>1505.32263183594</v>
      </c>
      <c r="P955" s="3">
        <v>2031.65454101563</v>
      </c>
      <c r="Q955" s="3"/>
      <c r="R955" s="3"/>
      <c r="S955" s="3">
        <v>0.71978873014450095</v>
      </c>
      <c r="T955" s="3">
        <v>0.724007427692413</v>
      </c>
      <c r="U955" s="3">
        <v>0.77075165510177601</v>
      </c>
      <c r="W955" t="s">
        <v>67</v>
      </c>
      <c r="X955" t="s">
        <v>54</v>
      </c>
      <c r="Y955" t="s">
        <v>52</v>
      </c>
      <c r="Z955" t="s">
        <v>53</v>
      </c>
      <c r="AC955" s="2">
        <v>0.64118224118002098</v>
      </c>
      <c r="AD955" s="2">
        <v>0.70425057411193903</v>
      </c>
      <c r="AE955" s="2">
        <v>0.32146003842353799</v>
      </c>
      <c r="AF955" s="2">
        <v>0.24719418585300401</v>
      </c>
      <c r="AG955" s="2">
        <v>4.3956253677606603E-2</v>
      </c>
      <c r="AH955" s="2">
        <v>-0.53658080101013195</v>
      </c>
      <c r="AI955" s="2">
        <v>0.219719752669334</v>
      </c>
      <c r="AJ955" s="2">
        <v>0.76648207952431102</v>
      </c>
      <c r="AK955" s="2">
        <v>0.73649374990570804</v>
      </c>
      <c r="AL955" s="2">
        <v>0.58676045945521704</v>
      </c>
      <c r="AM955" s="2">
        <v>0.80574613809585605</v>
      </c>
      <c r="AN955" s="2">
        <v>0.66272938251495395</v>
      </c>
      <c r="AO955" s="2"/>
      <c r="AP955" s="2"/>
    </row>
    <row r="956" spans="1:42" x14ac:dyDescent="0.3">
      <c r="A956" t="s">
        <v>337</v>
      </c>
      <c r="B956" s="3">
        <v>2015</v>
      </c>
      <c r="C956" s="3">
        <v>0.10723000000000001</v>
      </c>
      <c r="D956" s="3"/>
      <c r="E956" t="s">
        <v>338</v>
      </c>
      <c r="G956" s="3">
        <v>2460.81396484375</v>
      </c>
      <c r="H956" s="3">
        <v>3095.25756835938</v>
      </c>
      <c r="I956" s="3">
        <v>2844.13330078125</v>
      </c>
      <c r="J956" s="3">
        <v>2630.904296875</v>
      </c>
      <c r="K956" s="3">
        <v>12137.392578125</v>
      </c>
      <c r="L956" s="3"/>
      <c r="M956" s="3"/>
      <c r="N956" s="3"/>
      <c r="O956" s="3">
        <v>1898.25805664063</v>
      </c>
      <c r="P956" s="3">
        <v>2487.119140625</v>
      </c>
      <c r="Q956" s="3"/>
      <c r="R956" s="3"/>
      <c r="S956" s="3">
        <v>0.477027118206024</v>
      </c>
      <c r="T956" s="3">
        <v>0.50363671779632602</v>
      </c>
      <c r="U956" s="3">
        <v>0.54445540904998802</v>
      </c>
      <c r="W956" t="s">
        <v>50</v>
      </c>
      <c r="X956" t="s">
        <v>51</v>
      </c>
      <c r="Y956" t="s">
        <v>52</v>
      </c>
      <c r="Z956" t="s">
        <v>53</v>
      </c>
      <c r="AC956" s="2">
        <v>0.528948719712657</v>
      </c>
      <c r="AD956" s="2">
        <v>0.56208240985870395</v>
      </c>
      <c r="AE956" s="2">
        <v>0.24115040898323101</v>
      </c>
      <c r="AF956" s="2">
        <v>0.37326663732528698</v>
      </c>
      <c r="AG956" s="2">
        <v>0.32344686985015902</v>
      </c>
      <c r="AH956" s="2">
        <v>-0.76168912649154696</v>
      </c>
      <c r="AI956" s="2">
        <v>0.26174283027648898</v>
      </c>
      <c r="AJ956" s="2">
        <v>0.57789683264715497</v>
      </c>
      <c r="AK956" s="2">
        <v>0.60684732990145196</v>
      </c>
      <c r="AL956" s="2">
        <v>0.32513279934574402</v>
      </c>
      <c r="AM956" s="2">
        <v>0.55684244632721003</v>
      </c>
      <c r="AN956" s="2">
        <v>0.48666730523109403</v>
      </c>
      <c r="AO956" s="2">
        <v>0.38405060768127403</v>
      </c>
      <c r="AP956" s="2"/>
    </row>
    <row r="957" spans="1:42" x14ac:dyDescent="0.3">
      <c r="A957" t="s">
        <v>337</v>
      </c>
      <c r="B957" s="3">
        <v>2016</v>
      </c>
      <c r="C957" s="3">
        <v>0.109821</v>
      </c>
      <c r="D957" s="3"/>
      <c r="E957" t="s">
        <v>338</v>
      </c>
      <c r="G957" s="3">
        <v>2882.11254882813</v>
      </c>
      <c r="H957" s="3">
        <v>3557.11865234375</v>
      </c>
      <c r="I957" s="3">
        <v>3187.73974609375</v>
      </c>
      <c r="J957" s="3">
        <v>2755.42822265625</v>
      </c>
      <c r="K957" s="3">
        <v>13402.583984375</v>
      </c>
      <c r="L957" s="3"/>
      <c r="M957" s="3"/>
      <c r="N957" s="3"/>
      <c r="O957" s="3">
        <v>2198.61157226563</v>
      </c>
      <c r="P957" s="3">
        <v>2795.53100585938</v>
      </c>
      <c r="Q957" s="3"/>
      <c r="R957" s="3"/>
      <c r="S957" s="3">
        <v>0.47051775455474898</v>
      </c>
      <c r="T957" s="3">
        <v>0.492064148187637</v>
      </c>
      <c r="U957" s="3">
        <v>0.56926631927490201</v>
      </c>
      <c r="W957" t="s">
        <v>50</v>
      </c>
      <c r="X957" t="s">
        <v>51</v>
      </c>
      <c r="Y957" t="s">
        <v>52</v>
      </c>
      <c r="Z957" t="s">
        <v>53</v>
      </c>
      <c r="AC957" s="2">
        <v>0.53889279058214901</v>
      </c>
      <c r="AD957" s="2">
        <v>0.64489787817001298</v>
      </c>
      <c r="AE957" s="2">
        <v>0.24497316777706099</v>
      </c>
      <c r="AF957" s="2">
        <v>0.40107837319374101</v>
      </c>
      <c r="AG957" s="2">
        <v>0.31378254294395402</v>
      </c>
      <c r="AH957" s="2">
        <v>-1.23112285137177</v>
      </c>
      <c r="AI957" s="2">
        <v>0.62639093399047896</v>
      </c>
      <c r="AJ957" s="2">
        <v>0.56574460515359004</v>
      </c>
      <c r="AK957" s="2">
        <v>0.58406202742825597</v>
      </c>
      <c r="AL957" s="2">
        <v>0.31740156326082603</v>
      </c>
      <c r="AM957" s="2">
        <v>0.559437036514282</v>
      </c>
      <c r="AN957" s="2">
        <v>0.48580726981163003</v>
      </c>
      <c r="AO957" s="2">
        <v>0.354286789894104</v>
      </c>
      <c r="AP957" s="2"/>
    </row>
    <row r="958" spans="1:42" x14ac:dyDescent="0.3">
      <c r="A958" t="s">
        <v>337</v>
      </c>
      <c r="B958" s="3">
        <v>2017</v>
      </c>
      <c r="C958" s="3">
        <v>0.112427</v>
      </c>
      <c r="D958" s="3"/>
      <c r="E958" t="s">
        <v>338</v>
      </c>
      <c r="G958" s="3">
        <v>2968.90112304688</v>
      </c>
      <c r="H958" s="3">
        <v>3689.36401367188</v>
      </c>
      <c r="I958" s="3">
        <v>3327.34155273438</v>
      </c>
      <c r="J958" s="3">
        <v>2891.69189453125</v>
      </c>
      <c r="K958" s="3">
        <v>13483.8623046875</v>
      </c>
      <c r="L958" s="3"/>
      <c r="M958" s="3"/>
      <c r="N958" s="3"/>
      <c r="O958" s="3">
        <v>2412.01391601563</v>
      </c>
      <c r="P958" s="3">
        <v>3049.81762695313</v>
      </c>
      <c r="Q958" s="3"/>
      <c r="R958" s="3"/>
      <c r="S958" s="3">
        <v>0.48727330565452598</v>
      </c>
      <c r="T958" s="3">
        <v>0.50353401899337802</v>
      </c>
      <c r="U958" s="3">
        <v>0.57939422130584695</v>
      </c>
      <c r="W958" t="s">
        <v>51</v>
      </c>
      <c r="X958" t="s">
        <v>51</v>
      </c>
      <c r="Y958" t="s">
        <v>52</v>
      </c>
      <c r="Z958" t="s">
        <v>53</v>
      </c>
      <c r="AC958" s="2">
        <v>0.52903343014847504</v>
      </c>
      <c r="AD958" s="2">
        <v>0.64240366220474199</v>
      </c>
      <c r="AE958" s="2">
        <v>0.24914926290512099</v>
      </c>
      <c r="AF958" s="2">
        <v>0.384296655654907</v>
      </c>
      <c r="AG958" s="2">
        <v>0.351568102836609</v>
      </c>
      <c r="AH958" s="2">
        <v>-0.97036665678024303</v>
      </c>
      <c r="AI958" s="2">
        <v>0.34294897317886402</v>
      </c>
      <c r="AJ958" s="2">
        <v>0.58399614278866696</v>
      </c>
      <c r="AK958" s="2">
        <v>0.57054153480815095</v>
      </c>
      <c r="AL958" s="2">
        <v>0.32558806161687998</v>
      </c>
      <c r="AM958" s="2">
        <v>0.58191013336181596</v>
      </c>
      <c r="AN958" s="2">
        <v>0.48056381940841703</v>
      </c>
      <c r="AO958" s="2">
        <v>0.35070279240608199</v>
      </c>
      <c r="AP958" s="2"/>
    </row>
    <row r="959" spans="1:42" x14ac:dyDescent="0.3">
      <c r="A959" t="s">
        <v>337</v>
      </c>
      <c r="B959" s="3">
        <v>2018</v>
      </c>
      <c r="C959" s="3">
        <v>0.11504</v>
      </c>
      <c r="D959" s="3"/>
      <c r="E959" t="s">
        <v>338</v>
      </c>
      <c r="G959" s="3">
        <v>3310.29833984375</v>
      </c>
      <c r="H959" s="3">
        <v>3977.29028320313</v>
      </c>
      <c r="I959" s="3">
        <v>3524.42944335938</v>
      </c>
      <c r="J959" s="3">
        <v>3155.60131835938</v>
      </c>
      <c r="K959" s="3">
        <v>12732.681640625</v>
      </c>
      <c r="L959" s="3"/>
      <c r="M959" s="3"/>
      <c r="N959" s="3"/>
      <c r="O959" s="3">
        <v>2755.73022460938</v>
      </c>
      <c r="P959" s="3">
        <v>3367.87182617188</v>
      </c>
      <c r="Q959" s="3"/>
      <c r="R959" s="3"/>
      <c r="S959" s="3">
        <v>0.48978462815284701</v>
      </c>
      <c r="T959" s="3">
        <v>0.50629478693008401</v>
      </c>
      <c r="U959" s="3">
        <v>0.56547075510025002</v>
      </c>
      <c r="W959" t="s">
        <v>50</v>
      </c>
      <c r="X959" t="s">
        <v>51</v>
      </c>
      <c r="Y959" t="s">
        <v>52</v>
      </c>
      <c r="Z959" t="s">
        <v>53</v>
      </c>
      <c r="AC959" s="2">
        <v>0.50297836858336598</v>
      </c>
      <c r="AD959" s="2">
        <v>0.64831799268722501</v>
      </c>
      <c r="AE959" s="2">
        <v>0.21136762201786</v>
      </c>
      <c r="AF959" s="2">
        <v>0.40070497989654502</v>
      </c>
      <c r="AG959" s="2">
        <v>0.442804545164108</v>
      </c>
      <c r="AH959" s="2">
        <v>-0.73698681592941295</v>
      </c>
      <c r="AI959" s="2">
        <v>3.3791732043027899E-2</v>
      </c>
      <c r="AJ959" s="2">
        <v>0.592855255656491</v>
      </c>
      <c r="AK959" s="2">
        <v>0.58823510603849605</v>
      </c>
      <c r="AL959" s="2">
        <v>0.32302218938485799</v>
      </c>
      <c r="AM959" s="2">
        <v>0.606142997741699</v>
      </c>
      <c r="AN959" s="2">
        <v>0.48870551586151101</v>
      </c>
      <c r="AO959" s="2">
        <v>0.37189731001853898</v>
      </c>
      <c r="AP959" s="2"/>
    </row>
    <row r="960" spans="1:42" x14ac:dyDescent="0.3">
      <c r="A960" t="s">
        <v>337</v>
      </c>
      <c r="B960" s="3">
        <v>2019</v>
      </c>
      <c r="C960" s="3">
        <v>0.11765</v>
      </c>
      <c r="D960" s="3"/>
      <c r="E960" t="s">
        <v>338</v>
      </c>
      <c r="G960" s="3">
        <v>3408.13842773438</v>
      </c>
      <c r="H960" s="3">
        <v>4113.388671875</v>
      </c>
      <c r="I960" s="3">
        <v>3743.62915039063</v>
      </c>
      <c r="J960" s="3">
        <v>3285.00512695313</v>
      </c>
      <c r="K960" s="3">
        <v>12680.9267578125</v>
      </c>
      <c r="L960" s="3"/>
      <c r="M960" s="3"/>
      <c r="N960" s="3"/>
      <c r="O960" s="3">
        <v>2810.84497070313</v>
      </c>
      <c r="P960" s="3">
        <v>3461.48120117188</v>
      </c>
      <c r="Q960" s="3"/>
      <c r="R960" s="3"/>
      <c r="S960" s="3">
        <v>0.48138347268104598</v>
      </c>
      <c r="T960" s="3">
        <v>0.49918836355209401</v>
      </c>
      <c r="U960" s="3">
        <v>0.56888067722320601</v>
      </c>
      <c r="W960" t="s">
        <v>50</v>
      </c>
      <c r="X960" t="s">
        <v>54</v>
      </c>
      <c r="Y960" t="s">
        <v>52</v>
      </c>
      <c r="Z960" t="s">
        <v>53</v>
      </c>
      <c r="AC960" s="2">
        <v>0.49384926427216502</v>
      </c>
      <c r="AD960" s="2">
        <v>0.63908207416534402</v>
      </c>
      <c r="AE960" s="2">
        <v>0.214687675237656</v>
      </c>
      <c r="AF960" s="2">
        <v>0.398401379585266</v>
      </c>
      <c r="AG960" s="2">
        <v>0.42099916934967002</v>
      </c>
      <c r="AH960" s="2">
        <v>-0.90279537439346302</v>
      </c>
      <c r="AI960" s="2">
        <v>0.22962512075901001</v>
      </c>
      <c r="AJ960" s="2">
        <v>0.58399632616416297</v>
      </c>
      <c r="AK960" s="2">
        <v>0.585230738493281</v>
      </c>
      <c r="AL960" s="2">
        <v>0.31678058864063402</v>
      </c>
      <c r="AM960" s="2">
        <v>0.59584069252014205</v>
      </c>
      <c r="AN960" s="2">
        <v>0.48479011654853799</v>
      </c>
      <c r="AO960" s="2">
        <v>0.378104478120804</v>
      </c>
      <c r="AP960" s="2"/>
    </row>
    <row r="961" spans="1:42" x14ac:dyDescent="0.3">
      <c r="A961" t="s">
        <v>337</v>
      </c>
      <c r="B961" s="3">
        <v>2020</v>
      </c>
      <c r="C961" s="3">
        <v>0.120291</v>
      </c>
      <c r="D961" s="3"/>
      <c r="E961" t="s">
        <v>338</v>
      </c>
      <c r="G961" s="3">
        <v>3439.11108398438</v>
      </c>
      <c r="H961" s="3">
        <v>4034.44165039063</v>
      </c>
      <c r="I961" s="3">
        <v>3313.80249023438</v>
      </c>
      <c r="J961" s="3">
        <v>2944.18237304688</v>
      </c>
      <c r="K961" s="3">
        <v>11969.3466796875</v>
      </c>
      <c r="L961" s="3"/>
      <c r="M961" s="3"/>
      <c r="N961" s="3"/>
      <c r="O961" s="3">
        <v>2986.97436523438</v>
      </c>
      <c r="P961" s="3">
        <v>3565.3642578125</v>
      </c>
      <c r="Q961" s="3"/>
      <c r="R961" s="3"/>
      <c r="S961" s="3">
        <v>0.403722584247589</v>
      </c>
      <c r="T961" s="3">
        <v>0.41721433401107799</v>
      </c>
      <c r="U961" s="3">
        <v>0.46959254145622298</v>
      </c>
      <c r="W961" t="s">
        <v>50</v>
      </c>
      <c r="X961" t="s">
        <v>54</v>
      </c>
      <c r="Y961" t="s">
        <v>52</v>
      </c>
      <c r="Z961" t="s">
        <v>53</v>
      </c>
      <c r="AC961" s="2">
        <v>0.48006117794672198</v>
      </c>
      <c r="AD961" s="2">
        <v>0.710563063621521</v>
      </c>
      <c r="AE961" s="2">
        <v>0.20220577716827401</v>
      </c>
      <c r="AF961" s="2">
        <v>0.45754089951515198</v>
      </c>
      <c r="AG961" s="2">
        <v>0.35233280062675498</v>
      </c>
      <c r="AH961" s="2">
        <v>-0.88346654176712003</v>
      </c>
      <c r="AI961" s="2">
        <v>0.16082397103309601</v>
      </c>
      <c r="AJ961" s="2">
        <v>0.48937654442119999</v>
      </c>
      <c r="AK961" s="2">
        <v>0.495153631569966</v>
      </c>
      <c r="AL961" s="2">
        <v>0.27070158650332998</v>
      </c>
      <c r="AM961" s="2">
        <v>0.47490179538726801</v>
      </c>
      <c r="AN961" s="2">
        <v>0.390468180179596</v>
      </c>
      <c r="AO961" s="2">
        <v>0.32216262817382801</v>
      </c>
      <c r="AP961" s="2"/>
    </row>
    <row r="962" spans="1:42" x14ac:dyDescent="0.3">
      <c r="A962" t="s">
        <v>339</v>
      </c>
      <c r="B962" s="3">
        <v>2015</v>
      </c>
      <c r="C962" s="3">
        <v>19.424617999999999</v>
      </c>
      <c r="D962" s="3">
        <v>1717.46</v>
      </c>
      <c r="E962" t="s">
        <v>340</v>
      </c>
      <c r="G962" s="3">
        <v>82931.3046875</v>
      </c>
      <c r="H962" s="3">
        <v>86200.296875</v>
      </c>
      <c r="I962" s="3">
        <v>70365.296875</v>
      </c>
      <c r="J962" s="3">
        <v>76798.546875</v>
      </c>
      <c r="K962" s="3">
        <v>72705.421875</v>
      </c>
      <c r="L962" s="3"/>
      <c r="M962" s="3"/>
      <c r="N962" s="3"/>
      <c r="O962" s="3">
        <v>402340</v>
      </c>
      <c r="P962" s="3">
        <v>372816.1875</v>
      </c>
      <c r="Q962" s="3"/>
      <c r="R962" s="3"/>
      <c r="S962" s="3">
        <v>0.26657205820083602</v>
      </c>
      <c r="T962" s="3">
        <v>0.286813825368881</v>
      </c>
      <c r="U962" s="3">
        <v>0.26278805732727101</v>
      </c>
      <c r="W962" t="s">
        <v>230</v>
      </c>
      <c r="X962" t="s">
        <v>51</v>
      </c>
      <c r="Y962" t="s">
        <v>52</v>
      </c>
      <c r="Z962" t="s">
        <v>53</v>
      </c>
      <c r="AC962" s="2"/>
      <c r="AD962" s="2">
        <v>0.69230955839157104</v>
      </c>
      <c r="AE962" s="2">
        <v>4.2565803974866902E-2</v>
      </c>
      <c r="AF962" s="2">
        <v>0.387545585632324</v>
      </c>
      <c r="AG962" s="2">
        <v>1.6666159033775298E-2</v>
      </c>
      <c r="AH962" s="2">
        <v>-0.13038879632949801</v>
      </c>
      <c r="AI962" s="2">
        <v>-8.6982930079102499E-3</v>
      </c>
      <c r="AJ962" s="2">
        <v>0.352316050904668</v>
      </c>
      <c r="AK962" s="2">
        <v>0.80032893782273695</v>
      </c>
      <c r="AL962" s="2">
        <v>0.113399403202362</v>
      </c>
      <c r="AM962" s="2">
        <v>0.55120849609375</v>
      </c>
      <c r="AN962" s="2">
        <v>0.50647401809692405</v>
      </c>
      <c r="AO962" s="2">
        <v>0.47793975472450301</v>
      </c>
      <c r="AP962" s="2"/>
    </row>
    <row r="963" spans="1:42" x14ac:dyDescent="0.3">
      <c r="A963" t="s">
        <v>339</v>
      </c>
      <c r="B963" s="3">
        <v>2016</v>
      </c>
      <c r="C963" s="3">
        <v>19.193833999999999</v>
      </c>
      <c r="D963" s="3">
        <v>1678.71</v>
      </c>
      <c r="E963" t="s">
        <v>340</v>
      </c>
      <c r="G963" s="3">
        <v>90878.5625</v>
      </c>
      <c r="H963" s="3">
        <v>93494.3203125</v>
      </c>
      <c r="I963" s="3">
        <v>75769.109375</v>
      </c>
      <c r="J963" s="3">
        <v>88849.4296875</v>
      </c>
      <c r="K963" s="3">
        <v>66499.625</v>
      </c>
      <c r="L963" s="3"/>
      <c r="M963" s="3"/>
      <c r="N963" s="3"/>
      <c r="O963" s="3">
        <v>408029.3125</v>
      </c>
      <c r="P963" s="3">
        <v>373710.125</v>
      </c>
      <c r="Q963" s="3"/>
      <c r="R963" s="3"/>
      <c r="S963" s="3">
        <v>0.17202866077423101</v>
      </c>
      <c r="T963" s="3">
        <v>0.17843987047672299</v>
      </c>
      <c r="U963" s="3">
        <v>0.15217013657093001</v>
      </c>
      <c r="W963" t="s">
        <v>230</v>
      </c>
      <c r="X963" t="s">
        <v>51</v>
      </c>
      <c r="Y963" t="s">
        <v>52</v>
      </c>
      <c r="Z963" t="s">
        <v>62</v>
      </c>
      <c r="AC963" s="2"/>
      <c r="AD963" s="2">
        <v>0.72064119577407804</v>
      </c>
      <c r="AE963" s="2">
        <v>2.9440315440297099E-2</v>
      </c>
      <c r="AF963" s="2">
        <v>0.30219671130180398</v>
      </c>
      <c r="AG963" s="2">
        <v>1.1525643058121199E-2</v>
      </c>
      <c r="AH963" s="2">
        <v>-9.2994928359985393E-2</v>
      </c>
      <c r="AI963" s="2">
        <v>2.9191097244620299E-2</v>
      </c>
      <c r="AJ963" s="2">
        <v>0.20937573144702401</v>
      </c>
      <c r="AK963" s="2">
        <v>0.40118284704158202</v>
      </c>
      <c r="AL963" s="2">
        <v>8.2968032469591793E-2</v>
      </c>
      <c r="AM963" s="2">
        <v>0.53866773843765303</v>
      </c>
      <c r="AN963" s="2">
        <v>0.497325599193573</v>
      </c>
      <c r="AO963" s="2">
        <v>0.24142450094223</v>
      </c>
      <c r="AP963" s="2"/>
    </row>
    <row r="964" spans="1:42" x14ac:dyDescent="0.3">
      <c r="A964" t="s">
        <v>339</v>
      </c>
      <c r="B964" s="3">
        <v>2017</v>
      </c>
      <c r="C964" s="3">
        <v>19.224668000000001</v>
      </c>
      <c r="D964" s="3">
        <v>1673.58</v>
      </c>
      <c r="E964" t="s">
        <v>340</v>
      </c>
      <c r="G964" s="3">
        <v>75640.5078125</v>
      </c>
      <c r="H964" s="3">
        <v>79662.28125</v>
      </c>
      <c r="I964" s="3">
        <v>65448.91015625</v>
      </c>
      <c r="J964" s="3">
        <v>73093.3515625</v>
      </c>
      <c r="K964" s="3">
        <v>63476.86328125</v>
      </c>
      <c r="L964" s="3"/>
      <c r="M964" s="3"/>
      <c r="N964" s="3"/>
      <c r="O964" s="3">
        <v>280669.625</v>
      </c>
      <c r="P964" s="3">
        <v>274063.90625</v>
      </c>
      <c r="Q964" s="3"/>
      <c r="R964" s="3"/>
      <c r="S964" s="3">
        <v>0.26109772920608498</v>
      </c>
      <c r="T964" s="3">
        <v>0.26702016592025801</v>
      </c>
      <c r="U964" s="3">
        <v>0.23909394443035101</v>
      </c>
      <c r="W964" t="s">
        <v>230</v>
      </c>
      <c r="X964" t="s">
        <v>51</v>
      </c>
      <c r="Y964" t="s">
        <v>52</v>
      </c>
      <c r="Z964" t="s">
        <v>62</v>
      </c>
      <c r="AC964" s="2"/>
      <c r="AD964" s="2">
        <v>0.68744081258773804</v>
      </c>
      <c r="AE964" s="2">
        <v>5.5022384971380199E-2</v>
      </c>
      <c r="AF964" s="2">
        <v>0.34740716218948398</v>
      </c>
      <c r="AG964" s="2">
        <v>1.5959396958351101E-2</v>
      </c>
      <c r="AH964" s="2">
        <v>-0.12780797481536901</v>
      </c>
      <c r="AI964" s="2">
        <v>2.1978195756673799E-2</v>
      </c>
      <c r="AJ964" s="2">
        <v>0.33736864125344201</v>
      </c>
      <c r="AK964" s="2">
        <v>0.37840778060570102</v>
      </c>
      <c r="AL964" s="2">
        <v>0.110174713529286</v>
      </c>
      <c r="AM964" s="2">
        <v>0.53739362955093395</v>
      </c>
      <c r="AN964" s="2">
        <v>0.51448082923889205</v>
      </c>
      <c r="AO964" s="2">
        <v>0.23217032849788699</v>
      </c>
      <c r="AP964" s="2"/>
    </row>
    <row r="965" spans="1:42" x14ac:dyDescent="0.3">
      <c r="A965" t="s">
        <v>339</v>
      </c>
      <c r="B965" s="3">
        <v>2018</v>
      </c>
      <c r="C965" s="3">
        <v>19.577845</v>
      </c>
      <c r="D965" s="3">
        <v>1671.42</v>
      </c>
      <c r="E965" t="s">
        <v>340</v>
      </c>
      <c r="G965" s="3">
        <v>65894.796875</v>
      </c>
      <c r="H965" s="3">
        <v>70346.359375</v>
      </c>
      <c r="I965" s="3">
        <v>58657.65625</v>
      </c>
      <c r="J965" s="3">
        <v>61535.11328125</v>
      </c>
      <c r="K965" s="3">
        <v>62621.9375</v>
      </c>
      <c r="L965" s="3"/>
      <c r="M965" s="3"/>
      <c r="N965" s="3"/>
      <c r="O965" s="3">
        <v>188772.734375</v>
      </c>
      <c r="P965" s="3">
        <v>192105.265625</v>
      </c>
      <c r="Q965" s="3"/>
      <c r="R965" s="3"/>
      <c r="S965" s="3">
        <v>0.38819068670272799</v>
      </c>
      <c r="T965" s="3">
        <v>0.39185971021652199</v>
      </c>
      <c r="U965" s="3">
        <v>0.37353590130806003</v>
      </c>
      <c r="W965" t="s">
        <v>230</v>
      </c>
      <c r="X965" t="s">
        <v>51</v>
      </c>
      <c r="Y965" t="s">
        <v>52</v>
      </c>
      <c r="Z965" t="s">
        <v>62</v>
      </c>
      <c r="AC965" s="2"/>
      <c r="AD965" s="2">
        <v>0.632249355316162</v>
      </c>
      <c r="AE965" s="2">
        <v>7.23417773842812E-2</v>
      </c>
      <c r="AF965" s="2">
        <v>0.43859940767288202</v>
      </c>
      <c r="AG965" s="2">
        <v>1.84893943369389E-2</v>
      </c>
      <c r="AH965" s="2">
        <v>-0.167433395981789</v>
      </c>
      <c r="AI965" s="2">
        <v>5.7534622028469996E-3</v>
      </c>
      <c r="AJ965" s="2">
        <v>0.567238890265364</v>
      </c>
      <c r="AK965" s="2">
        <v>0.44617090381639202</v>
      </c>
      <c r="AL965" s="2">
        <v>0.130089332134562</v>
      </c>
      <c r="AM965" s="2">
        <v>0.55098432302474998</v>
      </c>
      <c r="AN965" s="2">
        <v>0.51824146509170499</v>
      </c>
      <c r="AO965" s="2">
        <v>0.27676931023597701</v>
      </c>
      <c r="AP965" s="2"/>
    </row>
    <row r="966" spans="1:42" x14ac:dyDescent="0.3">
      <c r="A966" t="s">
        <v>339</v>
      </c>
      <c r="B966" s="3">
        <v>2019</v>
      </c>
      <c r="C966" s="3">
        <v>20.353534</v>
      </c>
      <c r="D966" s="3">
        <v>1654.52</v>
      </c>
      <c r="E966" t="s">
        <v>340</v>
      </c>
      <c r="G966" s="3">
        <v>101092.96875</v>
      </c>
      <c r="H966" s="3">
        <v>104730.21875</v>
      </c>
      <c r="I966" s="3">
        <v>90998.2109375</v>
      </c>
      <c r="J966" s="3">
        <v>96974.7109375</v>
      </c>
      <c r="K966" s="3">
        <v>62034.625</v>
      </c>
      <c r="L966" s="3"/>
      <c r="M966" s="3"/>
      <c r="N966" s="3"/>
      <c r="O966" s="3">
        <v>255749.21875</v>
      </c>
      <c r="P966" s="3">
        <v>252721.34375</v>
      </c>
      <c r="Q966" s="3"/>
      <c r="R966" s="3"/>
      <c r="S966" s="3">
        <v>0.30278313159942599</v>
      </c>
      <c r="T966" s="3">
        <v>0.31113064289093001</v>
      </c>
      <c r="U966" s="3">
        <v>0.29195582866668701</v>
      </c>
      <c r="W966" t="s">
        <v>230</v>
      </c>
      <c r="X966" t="s">
        <v>54</v>
      </c>
      <c r="Y966" t="s">
        <v>52</v>
      </c>
      <c r="Z966" t="s">
        <v>53</v>
      </c>
      <c r="AC966" s="2"/>
      <c r="AD966" s="2">
        <v>0.76130580902099598</v>
      </c>
      <c r="AE966" s="2">
        <v>3.7507191300392199E-2</v>
      </c>
      <c r="AF966" s="2">
        <v>0.28116151690483099</v>
      </c>
      <c r="AG966" s="2">
        <v>1.31437722593546E-2</v>
      </c>
      <c r="AH966" s="2">
        <v>-0.10468528419733</v>
      </c>
      <c r="AI966" s="2">
        <v>1.1567014269530799E-2</v>
      </c>
      <c r="AJ966" s="2">
        <v>0.35894169654920799</v>
      </c>
      <c r="AK966" s="2">
        <v>0.54313982417363005</v>
      </c>
      <c r="AL966" s="2">
        <v>0.150721656271874</v>
      </c>
      <c r="AM966" s="2">
        <v>0.52144753932952903</v>
      </c>
      <c r="AN966" s="2">
        <v>0.51858460903167702</v>
      </c>
      <c r="AO966" s="2">
        <v>0.33095505833625799</v>
      </c>
      <c r="AP966" s="2"/>
    </row>
    <row r="967" spans="1:42" x14ac:dyDescent="0.3">
      <c r="A967" t="s">
        <v>339</v>
      </c>
      <c r="B967" s="3">
        <v>2020</v>
      </c>
      <c r="C967" s="3">
        <v>21.049429</v>
      </c>
      <c r="D967" s="3">
        <v>1626.75</v>
      </c>
      <c r="E967" t="s">
        <v>340</v>
      </c>
      <c r="G967" s="3">
        <v>91040.2578125</v>
      </c>
      <c r="H967" s="3">
        <v>94785.171875</v>
      </c>
      <c r="I967" s="3">
        <v>80705.1015625</v>
      </c>
      <c r="J967" s="3">
        <v>88819.7109375</v>
      </c>
      <c r="K967" s="3">
        <v>62588.81640625</v>
      </c>
      <c r="L967" s="3"/>
      <c r="M967" s="3"/>
      <c r="N967" s="3"/>
      <c r="O967" s="3">
        <v>158652.21875</v>
      </c>
      <c r="P967" s="3">
        <v>162260.9375</v>
      </c>
      <c r="Q967" s="3"/>
      <c r="R967" s="3"/>
      <c r="S967" s="3">
        <v>0.25914472341537498</v>
      </c>
      <c r="T967" s="3">
        <v>0.26317009329795799</v>
      </c>
      <c r="U967" s="3">
        <v>0.239126726984978</v>
      </c>
      <c r="W967" t="s">
        <v>230</v>
      </c>
      <c r="X967" t="s">
        <v>54</v>
      </c>
      <c r="Y967" t="s">
        <v>52</v>
      </c>
      <c r="Z967" t="s">
        <v>53</v>
      </c>
      <c r="AC967" s="2"/>
      <c r="AD967" s="2">
        <v>0.743413805961609</v>
      </c>
      <c r="AE967" s="2">
        <v>4.21630814671516E-2</v>
      </c>
      <c r="AF967" s="2">
        <v>0.28158676624298101</v>
      </c>
      <c r="AG967" s="2">
        <v>2.1015586331486698E-2</v>
      </c>
      <c r="AH967" s="2">
        <v>-9.9021263420581804E-2</v>
      </c>
      <c r="AI967" s="2">
        <v>1.0842040181159999E-2</v>
      </c>
      <c r="AJ967" s="2">
        <v>0.322944961539402</v>
      </c>
      <c r="AK967" s="2">
        <v>0.36102767649029299</v>
      </c>
      <c r="AL967" s="2">
        <v>9.0706538400189302E-2</v>
      </c>
      <c r="AM967" s="2">
        <v>0.29754665493965199</v>
      </c>
      <c r="AN967" s="2">
        <v>0.51064342260360696</v>
      </c>
      <c r="AO967" s="2">
        <v>0.21267452836036699</v>
      </c>
      <c r="AP967" s="2"/>
    </row>
    <row r="968" spans="1:42" x14ac:dyDescent="0.3">
      <c r="A968" t="s">
        <v>341</v>
      </c>
      <c r="B968" s="3">
        <v>2015</v>
      </c>
      <c r="C968" s="3">
        <v>3.6604999999999999E-2</v>
      </c>
      <c r="D968" s="3"/>
      <c r="E968" t="s">
        <v>153</v>
      </c>
      <c r="G968" s="3">
        <v>610.55651855468795</v>
      </c>
      <c r="H968" s="3">
        <v>791.00915527343795</v>
      </c>
      <c r="I968" s="3">
        <v>1000.2607421875</v>
      </c>
      <c r="J968" s="3">
        <v>380.02420043945301</v>
      </c>
      <c r="K968" s="3">
        <v>3352.24584960938</v>
      </c>
      <c r="L968" s="3"/>
      <c r="M968" s="3"/>
      <c r="N968" s="3"/>
      <c r="O968" s="3">
        <v>688.15637207031295</v>
      </c>
      <c r="P968" s="3">
        <v>906.13470458984398</v>
      </c>
      <c r="Q968" s="3"/>
      <c r="R968" s="3"/>
      <c r="S968" s="3">
        <v>0.96649581193923995</v>
      </c>
      <c r="T968" s="3">
        <v>0.94182443618774403</v>
      </c>
      <c r="U968" s="3">
        <v>2.4789738655090301</v>
      </c>
      <c r="W968" t="s">
        <v>50</v>
      </c>
      <c r="X968" t="s">
        <v>51</v>
      </c>
      <c r="Y968" t="s">
        <v>52</v>
      </c>
      <c r="Z968" t="s">
        <v>62</v>
      </c>
      <c r="AC968" s="2">
        <v>0.54345812608051902</v>
      </c>
      <c r="AD968" s="2">
        <v>0.99099439382553101</v>
      </c>
      <c r="AE968" s="2">
        <v>0.474845141172409</v>
      </c>
      <c r="AF968" s="2">
        <v>0.61563092470169101</v>
      </c>
      <c r="AG968" s="2">
        <v>0.19278454780578599</v>
      </c>
      <c r="AH968" s="2">
        <v>-1.7852538824081401</v>
      </c>
      <c r="AI968" s="2">
        <v>0.51099884510040305</v>
      </c>
      <c r="AJ968" s="2">
        <v>1.0319833603258299</v>
      </c>
      <c r="AK968" s="2">
        <v>0.85834943847661305</v>
      </c>
      <c r="AL968" s="2">
        <v>0.861079156301225</v>
      </c>
      <c r="AM968" s="2">
        <v>0.56346666812896695</v>
      </c>
      <c r="AN968" s="2">
        <v>0.47992420196533198</v>
      </c>
      <c r="AO968" s="2">
        <v>0.74989670515060403</v>
      </c>
      <c r="AP968" s="2"/>
    </row>
    <row r="969" spans="1:42" x14ac:dyDescent="0.3">
      <c r="A969" t="s">
        <v>341</v>
      </c>
      <c r="B969" s="3">
        <v>2016</v>
      </c>
      <c r="C969" s="3">
        <v>3.8315000000000002E-2</v>
      </c>
      <c r="D969" s="3"/>
      <c r="E969" t="s">
        <v>153</v>
      </c>
      <c r="G969" s="3">
        <v>647.29113769531295</v>
      </c>
      <c r="H969" s="3">
        <v>852.97399902343795</v>
      </c>
      <c r="I969" s="3">
        <v>1095.84228515625</v>
      </c>
      <c r="J969" s="3">
        <v>392.09167480468801</v>
      </c>
      <c r="K969" s="3">
        <v>3691.52294921875</v>
      </c>
      <c r="L969" s="3"/>
      <c r="M969" s="3"/>
      <c r="N969" s="3"/>
      <c r="O969" s="3">
        <v>722.82586669921898</v>
      </c>
      <c r="P969" s="3">
        <v>956.564453125</v>
      </c>
      <c r="Q969" s="3"/>
      <c r="R969" s="3"/>
      <c r="S969" s="3">
        <v>0.97849231958389304</v>
      </c>
      <c r="T969" s="3">
        <v>0.94215375185012795</v>
      </c>
      <c r="U969" s="3">
        <v>2.6331901550293</v>
      </c>
      <c r="W969" t="s">
        <v>50</v>
      </c>
      <c r="X969" t="s">
        <v>51</v>
      </c>
      <c r="Y969" t="s">
        <v>52</v>
      </c>
      <c r="Z969" t="s">
        <v>62</v>
      </c>
      <c r="AC969" s="2">
        <v>0.53529910313271201</v>
      </c>
      <c r="AD969" s="2">
        <v>0.99004757404327404</v>
      </c>
      <c r="AE969" s="2">
        <v>0.52457845211029097</v>
      </c>
      <c r="AF969" s="2">
        <v>0.66081917285919201</v>
      </c>
      <c r="AG969" s="2">
        <v>0.119703039526939</v>
      </c>
      <c r="AH969" s="2">
        <v>-1.8144118785858201</v>
      </c>
      <c r="AI969" s="2">
        <v>0.51926356554031405</v>
      </c>
      <c r="AJ969" s="2">
        <v>1.05172913428184</v>
      </c>
      <c r="AK969" s="2">
        <v>0.82779526343392695</v>
      </c>
      <c r="AL969" s="2">
        <v>0.868767949573932</v>
      </c>
      <c r="AM969" s="2">
        <v>0.57182061672210704</v>
      </c>
      <c r="AN969" s="2">
        <v>0.46967402100563099</v>
      </c>
      <c r="AO969" s="2">
        <v>0.71765810251235995</v>
      </c>
      <c r="AP969" s="2"/>
    </row>
    <row r="970" spans="1:42" x14ac:dyDescent="0.3">
      <c r="A970" t="s">
        <v>341</v>
      </c>
      <c r="B970" s="3">
        <v>2017</v>
      </c>
      <c r="C970" s="3">
        <v>3.9912999999999997E-2</v>
      </c>
      <c r="D970" s="3"/>
      <c r="E970" t="s">
        <v>153</v>
      </c>
      <c r="G970" s="3">
        <v>660.13720703125</v>
      </c>
      <c r="H970" s="3">
        <v>885.19024658203102</v>
      </c>
      <c r="I970" s="3">
        <v>1128.693359375</v>
      </c>
      <c r="J970" s="3">
        <v>607.40423583984398</v>
      </c>
      <c r="K970" s="3">
        <v>4255.025390625</v>
      </c>
      <c r="L970" s="3"/>
      <c r="M970" s="3"/>
      <c r="N970" s="3"/>
      <c r="O970" s="3">
        <v>713.83679199218795</v>
      </c>
      <c r="P970" s="3">
        <v>939.79974365234398</v>
      </c>
      <c r="Q970" s="3"/>
      <c r="R970" s="3"/>
      <c r="S970" s="3">
        <v>0.96222358942031905</v>
      </c>
      <c r="T970" s="3">
        <v>0.90579515695571899</v>
      </c>
      <c r="U970" s="3">
        <v>1.6831707954406701</v>
      </c>
      <c r="W970" t="s">
        <v>51</v>
      </c>
      <c r="X970" t="s">
        <v>51</v>
      </c>
      <c r="Y970" t="s">
        <v>52</v>
      </c>
      <c r="Z970" t="s">
        <v>62</v>
      </c>
      <c r="AC970" s="2">
        <v>0.53852641632889198</v>
      </c>
      <c r="AD970" s="2">
        <v>0.63435584306716897</v>
      </c>
      <c r="AE970" s="2">
        <v>0.37051606178283703</v>
      </c>
      <c r="AF970" s="2">
        <v>0.45246106386184698</v>
      </c>
      <c r="AG970" s="2">
        <v>7.1535892784595503E-2</v>
      </c>
      <c r="AH970" s="2">
        <v>-1.04447674751282</v>
      </c>
      <c r="AI970" s="2">
        <v>0.51560783386230502</v>
      </c>
      <c r="AJ970" s="2">
        <v>1.0753280123083799</v>
      </c>
      <c r="AK970" s="2">
        <v>0.74027622465723697</v>
      </c>
      <c r="AL970" s="2">
        <v>0.80364986914902703</v>
      </c>
      <c r="AM970" s="2">
        <v>0.60993200540542603</v>
      </c>
      <c r="AN970" s="2">
        <v>0.52501165866851796</v>
      </c>
      <c r="AO970" s="2">
        <v>0.64992624521255504</v>
      </c>
      <c r="AP970" s="2"/>
    </row>
    <row r="971" spans="1:42" x14ac:dyDescent="0.3">
      <c r="A971" t="s">
        <v>341</v>
      </c>
      <c r="B971" s="3">
        <v>2018</v>
      </c>
      <c r="C971" s="3">
        <v>4.1558999999999999E-2</v>
      </c>
      <c r="D971" s="3"/>
      <c r="E971" t="s">
        <v>153</v>
      </c>
      <c r="G971" s="3">
        <v>728.53161621093795</v>
      </c>
      <c r="H971" s="3">
        <v>969.29748535156295</v>
      </c>
      <c r="I971" s="3">
        <v>1235.59399414063</v>
      </c>
      <c r="J971" s="3">
        <v>688.48205566406295</v>
      </c>
      <c r="K971" s="3">
        <v>4320.51806640625</v>
      </c>
      <c r="L971" s="3"/>
      <c r="M971" s="3"/>
      <c r="N971" s="3"/>
      <c r="O971" s="3">
        <v>752.77349853515602</v>
      </c>
      <c r="P971" s="3">
        <v>992.80731201171898</v>
      </c>
      <c r="Q971" s="3"/>
      <c r="R971" s="3"/>
      <c r="S971" s="3">
        <v>0.94793128967285201</v>
      </c>
      <c r="T971" s="3">
        <v>0.90092533826828003</v>
      </c>
      <c r="U971" s="3">
        <v>1.6168583631515501</v>
      </c>
      <c r="W971" t="s">
        <v>67</v>
      </c>
      <c r="X971" t="s">
        <v>51</v>
      </c>
      <c r="Y971" t="s">
        <v>52</v>
      </c>
      <c r="Z971" t="s">
        <v>62</v>
      </c>
      <c r="AC971" s="2">
        <v>0.53775544564830502</v>
      </c>
      <c r="AD971" s="2">
        <v>0.580050408840179</v>
      </c>
      <c r="AE971" s="2">
        <v>0.34970536828041099</v>
      </c>
      <c r="AF971" s="2">
        <v>0.47812044620513899</v>
      </c>
      <c r="AG971" s="2">
        <v>6.8019561469554901E-2</v>
      </c>
      <c r="AH971" s="2">
        <v>-0.99158179759979304</v>
      </c>
      <c r="AI971" s="2">
        <v>0.51568603515625</v>
      </c>
      <c r="AJ971" s="2">
        <v>1.1272929978992601</v>
      </c>
      <c r="AK971" s="2">
        <v>0.75869037325995103</v>
      </c>
      <c r="AL971" s="2">
        <v>0.73033172559319404</v>
      </c>
      <c r="AM971" s="2">
        <v>0.61643731594085704</v>
      </c>
      <c r="AN971" s="2">
        <v>0.53173035383224498</v>
      </c>
      <c r="AO971" s="2">
        <v>0.67972582578659102</v>
      </c>
      <c r="AP971" s="2"/>
    </row>
    <row r="972" spans="1:42" x14ac:dyDescent="0.3">
      <c r="A972" t="s">
        <v>341</v>
      </c>
      <c r="B972" s="3">
        <v>2019</v>
      </c>
      <c r="C972" s="3">
        <v>4.3166000000000003E-2</v>
      </c>
      <c r="D972" s="3"/>
      <c r="E972" t="s">
        <v>153</v>
      </c>
      <c r="G972" s="3">
        <v>778.54064941406295</v>
      </c>
      <c r="H972" s="3">
        <v>1029.44763183594</v>
      </c>
      <c r="I972" s="3">
        <v>1315.80505371094</v>
      </c>
      <c r="J972" s="3">
        <v>743.35272216796898</v>
      </c>
      <c r="K972" s="3">
        <v>4326.4990234375</v>
      </c>
      <c r="L972" s="3"/>
      <c r="M972" s="3"/>
      <c r="N972" s="3"/>
      <c r="O972" s="3">
        <v>790.298095703125</v>
      </c>
      <c r="P972" s="3">
        <v>1042.85998535156</v>
      </c>
      <c r="Q972" s="3"/>
      <c r="R972" s="3"/>
      <c r="S972" s="3">
        <v>0.95108884572982799</v>
      </c>
      <c r="T972" s="3">
        <v>0.91002464294433605</v>
      </c>
      <c r="U972" s="3">
        <v>1.6108300685882599</v>
      </c>
      <c r="W972" t="s">
        <v>67</v>
      </c>
      <c r="X972" t="s">
        <v>54</v>
      </c>
      <c r="Y972" t="s">
        <v>52</v>
      </c>
      <c r="Z972" t="s">
        <v>62</v>
      </c>
      <c r="AC972" s="2">
        <v>0.53902442145012797</v>
      </c>
      <c r="AD972" s="2">
        <v>0.56886482238769498</v>
      </c>
      <c r="AE972" s="2">
        <v>0.337534219026566</v>
      </c>
      <c r="AF972" s="2">
        <v>0.47847193479538003</v>
      </c>
      <c r="AG972" s="2">
        <v>6.7222669720649705E-2</v>
      </c>
      <c r="AH972" s="2">
        <v>-0.96894615888595603</v>
      </c>
      <c r="AI972" s="2">
        <v>0.51685249805450395</v>
      </c>
      <c r="AJ972" s="2">
        <v>1.1375018687626199</v>
      </c>
      <c r="AK972" s="2">
        <v>0.78260635459966099</v>
      </c>
      <c r="AL972" s="2">
        <v>0.72945869118945506</v>
      </c>
      <c r="AM972" s="2">
        <v>0.62182939052581798</v>
      </c>
      <c r="AN972" s="2">
        <v>0.54058647155761697</v>
      </c>
      <c r="AO972" s="2">
        <v>0.715226531028748</v>
      </c>
      <c r="AP972" s="2"/>
    </row>
    <row r="973" spans="1:42" x14ac:dyDescent="0.3">
      <c r="A973" t="s">
        <v>341</v>
      </c>
      <c r="B973" s="3">
        <v>2020</v>
      </c>
      <c r="C973" s="3">
        <v>4.4386000000000002E-2</v>
      </c>
      <c r="D973" s="3"/>
      <c r="E973" t="s">
        <v>153</v>
      </c>
      <c r="G973" s="3">
        <v>590.97717285156295</v>
      </c>
      <c r="H973" s="3">
        <v>773.118408203125</v>
      </c>
      <c r="I973" s="3">
        <v>986.49328613281295</v>
      </c>
      <c r="J973" s="3">
        <v>596.45831298828102</v>
      </c>
      <c r="K973" s="3">
        <v>4301.5439453125</v>
      </c>
      <c r="L973" s="3"/>
      <c r="M973" s="3"/>
      <c r="N973" s="3"/>
      <c r="O973" s="3">
        <v>580.16876220703102</v>
      </c>
      <c r="P973" s="3">
        <v>764.85284423828102</v>
      </c>
      <c r="Q973" s="3"/>
      <c r="R973" s="3"/>
      <c r="S973" s="3">
        <v>0.97002649307250999</v>
      </c>
      <c r="T973" s="3">
        <v>0.937242031097412</v>
      </c>
      <c r="U973" s="3">
        <v>1.55012190341949</v>
      </c>
      <c r="W973" t="s">
        <v>67</v>
      </c>
      <c r="X973" t="s">
        <v>54</v>
      </c>
      <c r="Y973" t="s">
        <v>52</v>
      </c>
      <c r="Z973" t="s">
        <v>62</v>
      </c>
      <c r="AC973" s="2">
        <v>0.53866359314291101</v>
      </c>
      <c r="AD973" s="2">
        <v>0.54882007837295499</v>
      </c>
      <c r="AE973" s="2">
        <v>0.305371254682541</v>
      </c>
      <c r="AF973" s="2">
        <v>0.44199043512344399</v>
      </c>
      <c r="AG973" s="2">
        <v>6.1148144304752398E-2</v>
      </c>
      <c r="AH973" s="2">
        <v>-0.87337869405746504</v>
      </c>
      <c r="AI973" s="2">
        <v>0.51604878902435303</v>
      </c>
      <c r="AJ973" s="2">
        <v>1.1405163071834199</v>
      </c>
      <c r="AK973" s="2">
        <v>0.83086944825641695</v>
      </c>
      <c r="AL973" s="2">
        <v>0.75832904140587998</v>
      </c>
      <c r="AM973" s="2">
        <v>0.657462477684021</v>
      </c>
      <c r="AN973" s="2">
        <v>0.57804864645004295</v>
      </c>
      <c r="AO973" s="2">
        <v>0.76936107873916604</v>
      </c>
      <c r="AP973" s="2"/>
    </row>
    <row r="974" spans="1:42" x14ac:dyDescent="0.3">
      <c r="A974" t="s">
        <v>342</v>
      </c>
      <c r="B974" s="3">
        <v>2015</v>
      </c>
      <c r="C974" s="3">
        <v>14.647620999999999</v>
      </c>
      <c r="D974" s="3">
        <v>1571.8</v>
      </c>
      <c r="E974" t="s">
        <v>113</v>
      </c>
      <c r="G974" s="3">
        <v>29697.869140625</v>
      </c>
      <c r="H974" s="3">
        <v>35103.2578125</v>
      </c>
      <c r="I974" s="3">
        <v>38671.16796875</v>
      </c>
      <c r="J974" s="3">
        <v>38402.66015625</v>
      </c>
      <c r="K974" s="3">
        <v>65315.93359375</v>
      </c>
      <c r="L974" s="3">
        <v>1.1839963262900699E-3</v>
      </c>
      <c r="M974" s="3"/>
      <c r="N974" s="3"/>
      <c r="O974" s="3">
        <v>28563.80078125</v>
      </c>
      <c r="P974" s="3">
        <v>35392.67578125</v>
      </c>
      <c r="Q974" s="3"/>
      <c r="R974" s="3">
        <v>0.48539406061172502</v>
      </c>
      <c r="S974" s="3">
        <v>0.35244131088256803</v>
      </c>
      <c r="T974" s="3">
        <v>0.37267345190048201</v>
      </c>
      <c r="U974" s="3">
        <v>0.37527915835380599</v>
      </c>
      <c r="W974" t="s">
        <v>50</v>
      </c>
      <c r="X974" t="s">
        <v>51</v>
      </c>
      <c r="Y974" t="s">
        <v>52</v>
      </c>
      <c r="Z974" t="s">
        <v>53</v>
      </c>
      <c r="AA974" t="s">
        <v>53</v>
      </c>
      <c r="AC974" s="2">
        <v>0.43242156108209301</v>
      </c>
      <c r="AD974" s="2">
        <v>0.69183349609375</v>
      </c>
      <c r="AE974" s="2">
        <v>0.14075557887554199</v>
      </c>
      <c r="AF974" s="2">
        <v>8.1494957208633395E-2</v>
      </c>
      <c r="AG974" s="2">
        <v>0.13458697497844699</v>
      </c>
      <c r="AH974" s="2">
        <v>-4.3439906090497998E-2</v>
      </c>
      <c r="AI974" s="2">
        <v>-5.2310521714389298E-3</v>
      </c>
      <c r="AJ974" s="2">
        <v>0.35492344477265397</v>
      </c>
      <c r="AK974" s="2">
        <v>0.48383130528256502</v>
      </c>
      <c r="AL974" s="2">
        <v>0.331369785662675</v>
      </c>
      <c r="AM974" s="2">
        <v>0.45085439085960399</v>
      </c>
      <c r="AN974" s="2">
        <v>0.55459862947464</v>
      </c>
      <c r="AO974" s="2">
        <v>0.31563973426818898</v>
      </c>
      <c r="AP974" s="2">
        <v>0.836878001689911</v>
      </c>
    </row>
    <row r="975" spans="1:42" x14ac:dyDescent="0.3">
      <c r="A975" t="s">
        <v>342</v>
      </c>
      <c r="B975" s="3">
        <v>2016</v>
      </c>
      <c r="C975" s="3">
        <v>15.114655000000001</v>
      </c>
      <c r="D975" s="3">
        <v>1571.88</v>
      </c>
      <c r="E975" t="s">
        <v>113</v>
      </c>
      <c r="G975" s="3">
        <v>28842.416015625</v>
      </c>
      <c r="H975" s="3">
        <v>33632.2578125</v>
      </c>
      <c r="I975" s="3">
        <v>35519.5390625</v>
      </c>
      <c r="J975" s="3">
        <v>35161.0078125</v>
      </c>
      <c r="K975" s="3">
        <v>80203.578125</v>
      </c>
      <c r="L975" s="3">
        <v>1.3963035307824601E-3</v>
      </c>
      <c r="M975" s="3"/>
      <c r="N975" s="3"/>
      <c r="O975" s="3">
        <v>29253.04296875</v>
      </c>
      <c r="P975" s="3">
        <v>33346.20703125</v>
      </c>
      <c r="Q975" s="3"/>
      <c r="R975" s="3">
        <v>0.48539406061172502</v>
      </c>
      <c r="S975" s="3">
        <v>0.34589010477066001</v>
      </c>
      <c r="T975" s="3">
        <v>0.36801198124885598</v>
      </c>
      <c r="U975" s="3">
        <v>0.37176451086998002</v>
      </c>
      <c r="W975" t="s">
        <v>50</v>
      </c>
      <c r="X975" t="s">
        <v>51</v>
      </c>
      <c r="Y975" t="s">
        <v>52</v>
      </c>
      <c r="Z975" t="s">
        <v>53</v>
      </c>
      <c r="AA975" t="s">
        <v>53</v>
      </c>
      <c r="AC975" s="2">
        <v>0.37972675148954199</v>
      </c>
      <c r="AD975" s="2">
        <v>0.71658539772033703</v>
      </c>
      <c r="AE975" s="2">
        <v>0.13622601330280301</v>
      </c>
      <c r="AF975" s="2">
        <v>0.103710070252419</v>
      </c>
      <c r="AG975" s="2">
        <v>0.100815400481224</v>
      </c>
      <c r="AH975" s="2">
        <v>-2.79552191495895E-2</v>
      </c>
      <c r="AI975" s="2">
        <v>-2.9381707310676599E-2</v>
      </c>
      <c r="AJ975" s="2">
        <v>0.34720354874980802</v>
      </c>
      <c r="AK975" s="2">
        <v>0.50122048860138302</v>
      </c>
      <c r="AL975" s="2">
        <v>0.33681478014407701</v>
      </c>
      <c r="AM975" s="2">
        <v>0.46011799573898299</v>
      </c>
      <c r="AN975" s="2">
        <v>0.56199645996093806</v>
      </c>
      <c r="AO975" s="2">
        <v>0.30953449010848999</v>
      </c>
      <c r="AP975" s="2">
        <v>0.62357324361801203</v>
      </c>
    </row>
    <row r="976" spans="1:42" x14ac:dyDescent="0.3">
      <c r="A976" t="s">
        <v>342</v>
      </c>
      <c r="B976" s="3">
        <v>2017</v>
      </c>
      <c r="C976" s="3">
        <v>15.622759</v>
      </c>
      <c r="D976" s="3">
        <v>1572.34</v>
      </c>
      <c r="E976" t="s">
        <v>113</v>
      </c>
      <c r="G976" s="3">
        <v>29683.2265625</v>
      </c>
      <c r="H976" s="3">
        <v>34682.3125</v>
      </c>
      <c r="I976" s="3">
        <v>35784.90625</v>
      </c>
      <c r="J976" s="3">
        <v>35396.8515625</v>
      </c>
      <c r="K976" s="3">
        <v>85354.65625</v>
      </c>
      <c r="L976" s="3">
        <v>1.4352800790220499E-3</v>
      </c>
      <c r="M976" s="3"/>
      <c r="N976" s="3"/>
      <c r="O976" s="3">
        <v>29897.1953125</v>
      </c>
      <c r="P976" s="3">
        <v>33360.98828125</v>
      </c>
      <c r="Q976" s="3"/>
      <c r="R976" s="3">
        <v>0.48539406061172502</v>
      </c>
      <c r="S976" s="3">
        <v>0.35249772667884799</v>
      </c>
      <c r="T976" s="3">
        <v>0.37303552031517001</v>
      </c>
      <c r="U976" s="3">
        <v>0.377125114202499</v>
      </c>
      <c r="W976" t="s">
        <v>51</v>
      </c>
      <c r="X976" t="s">
        <v>51</v>
      </c>
      <c r="Y976" t="s">
        <v>52</v>
      </c>
      <c r="Z976" t="s">
        <v>53</v>
      </c>
      <c r="AA976" t="s">
        <v>53</v>
      </c>
      <c r="AC976" s="2">
        <v>0.40271085730221801</v>
      </c>
      <c r="AD976" s="2">
        <v>0.73195064067840598</v>
      </c>
      <c r="AE976" s="2">
        <v>0.14122967422008501</v>
      </c>
      <c r="AF976" s="2">
        <v>0.10663316398859</v>
      </c>
      <c r="AG976" s="2">
        <v>8.9202284812927302E-2</v>
      </c>
      <c r="AH976" s="2">
        <v>-2.8513910248875601E-2</v>
      </c>
      <c r="AI976" s="2">
        <v>-4.0501847863197299E-2</v>
      </c>
      <c r="AJ976" s="2">
        <v>0.35455267497160903</v>
      </c>
      <c r="AK976" s="2">
        <v>0.49498357429022599</v>
      </c>
      <c r="AL976" s="2">
        <v>0.33839212061991703</v>
      </c>
      <c r="AM976" s="2">
        <v>0.47924959659576399</v>
      </c>
      <c r="AN976" s="2">
        <v>0.55608040094375599</v>
      </c>
      <c r="AO976" s="2">
        <v>0.305827766656876</v>
      </c>
      <c r="AP976" s="2">
        <v>0.59714758396148704</v>
      </c>
    </row>
    <row r="977" spans="1:42" x14ac:dyDescent="0.3">
      <c r="A977" t="s">
        <v>342</v>
      </c>
      <c r="B977" s="3">
        <v>2018</v>
      </c>
      <c r="C977" s="3">
        <v>16.156531000000001</v>
      </c>
      <c r="D977" s="3">
        <v>1573.82</v>
      </c>
      <c r="E977" t="s">
        <v>113</v>
      </c>
      <c r="G977" s="3">
        <v>29711.13671875</v>
      </c>
      <c r="H977" s="3">
        <v>35893</v>
      </c>
      <c r="I977" s="3">
        <v>38145.9453125</v>
      </c>
      <c r="J977" s="3">
        <v>37810.14453125</v>
      </c>
      <c r="K977" s="3">
        <v>87015.890625</v>
      </c>
      <c r="L977" s="3">
        <v>1.4332584105432001E-3</v>
      </c>
      <c r="M977" s="3"/>
      <c r="N977" s="3"/>
      <c r="O977" s="3">
        <v>30667.646484375</v>
      </c>
      <c r="P977" s="3">
        <v>35544.75390625</v>
      </c>
      <c r="Q977" s="3"/>
      <c r="R977" s="3">
        <v>0.48539406061172502</v>
      </c>
      <c r="S977" s="3">
        <v>0.37640613317489602</v>
      </c>
      <c r="T977" s="3">
        <v>0.40272396802902199</v>
      </c>
      <c r="U977" s="3">
        <v>0.40630069375038103</v>
      </c>
      <c r="W977" t="s">
        <v>50</v>
      </c>
      <c r="X977" t="s">
        <v>51</v>
      </c>
      <c r="Y977" t="s">
        <v>52</v>
      </c>
      <c r="Z977" t="s">
        <v>53</v>
      </c>
      <c r="AA977" t="s">
        <v>53</v>
      </c>
      <c r="AC977" s="2">
        <v>0.41750802077152699</v>
      </c>
      <c r="AD977" s="2">
        <v>0.69627302885055498</v>
      </c>
      <c r="AE977" s="2">
        <v>0.16349747776985199</v>
      </c>
      <c r="AF977" s="2">
        <v>8.9525021612644196E-2</v>
      </c>
      <c r="AG977" s="2">
        <v>0.105074465274811</v>
      </c>
      <c r="AH977" s="2">
        <v>-2.90621891617775E-2</v>
      </c>
      <c r="AI977" s="2">
        <v>-2.5307785719633099E-2</v>
      </c>
      <c r="AJ977" s="2">
        <v>0.37732421340004302</v>
      </c>
      <c r="AK977" s="2">
        <v>0.52921225292427898</v>
      </c>
      <c r="AL977" s="2">
        <v>0.369265784666793</v>
      </c>
      <c r="AM977" s="2">
        <v>0.48662897944450401</v>
      </c>
      <c r="AN977" s="2">
        <v>0.579897880554199</v>
      </c>
      <c r="AO977" s="2">
        <v>0.32620429992675798</v>
      </c>
      <c r="AP977" s="2">
        <v>0.65218663215637196</v>
      </c>
    </row>
    <row r="978" spans="1:42" x14ac:dyDescent="0.3">
      <c r="A978" t="s">
        <v>342</v>
      </c>
      <c r="B978" s="3">
        <v>2019</v>
      </c>
      <c r="C978" s="3">
        <v>16.685223000000001</v>
      </c>
      <c r="D978" s="3">
        <v>1575.6</v>
      </c>
      <c r="E978" t="s">
        <v>113</v>
      </c>
      <c r="G978" s="3">
        <v>29946.32421875</v>
      </c>
      <c r="H978" s="3">
        <v>38165.2421875</v>
      </c>
      <c r="I978" s="3">
        <v>40195.8125</v>
      </c>
      <c r="J978" s="3">
        <v>39928.94140625</v>
      </c>
      <c r="K978" s="3">
        <v>92585.890625</v>
      </c>
      <c r="L978" s="3">
        <v>1.51309766806662E-3</v>
      </c>
      <c r="M978" s="3"/>
      <c r="N978" s="3"/>
      <c r="O978" s="3">
        <v>29866.51953125</v>
      </c>
      <c r="P978" s="3">
        <v>37310.44140625</v>
      </c>
      <c r="Q978" s="3"/>
      <c r="R978" s="3">
        <v>0.48539406061172502</v>
      </c>
      <c r="S978" s="3">
        <v>0.34038046002388</v>
      </c>
      <c r="T978" s="3">
        <v>0.371953755617142</v>
      </c>
      <c r="U978" s="3">
        <v>0.374439716339111</v>
      </c>
      <c r="W978" t="s">
        <v>50</v>
      </c>
      <c r="X978" t="s">
        <v>54</v>
      </c>
      <c r="Y978" t="s">
        <v>52</v>
      </c>
      <c r="Z978" t="s">
        <v>53</v>
      </c>
      <c r="AA978" t="s">
        <v>53</v>
      </c>
      <c r="AC978" s="2">
        <v>0.43366804656674701</v>
      </c>
      <c r="AD978" s="2">
        <v>0.65866953134536699</v>
      </c>
      <c r="AE978" s="2">
        <v>0.20583865046501201</v>
      </c>
      <c r="AF978" s="2">
        <v>9.1320894658565493E-2</v>
      </c>
      <c r="AG978" s="2">
        <v>0.116038955748081</v>
      </c>
      <c r="AH978" s="2">
        <v>-2.7859237045049699E-2</v>
      </c>
      <c r="AI978" s="2">
        <v>-4.4008772820234299E-2</v>
      </c>
      <c r="AJ978" s="2">
        <v>0.34145757573056901</v>
      </c>
      <c r="AK978" s="2">
        <v>0.48699373689848202</v>
      </c>
      <c r="AL978" s="2">
        <v>0.332611451635699</v>
      </c>
      <c r="AM978" s="2">
        <v>0.43703740835189803</v>
      </c>
      <c r="AN978" s="2">
        <v>0.54987835884094205</v>
      </c>
      <c r="AO978" s="2">
        <v>0.29905650019645702</v>
      </c>
      <c r="AP978" s="2">
        <v>0.57835423946380604</v>
      </c>
    </row>
    <row r="979" spans="1:42" x14ac:dyDescent="0.3">
      <c r="A979" t="s">
        <v>342</v>
      </c>
      <c r="B979" s="3">
        <v>2020</v>
      </c>
      <c r="C979" s="3">
        <v>17.224678999999998</v>
      </c>
      <c r="D979" s="3">
        <v>1486.91</v>
      </c>
      <c r="E979" t="s">
        <v>113</v>
      </c>
      <c r="G979" s="3">
        <v>29355.21484375</v>
      </c>
      <c r="H979" s="3">
        <v>34955.44921875</v>
      </c>
      <c r="I979" s="3">
        <v>37536.9140625</v>
      </c>
      <c r="J979" s="3">
        <v>38200.69140625</v>
      </c>
      <c r="K979" s="3">
        <v>81542.5625</v>
      </c>
      <c r="L979" s="3">
        <v>1.25741877127439E-3</v>
      </c>
      <c r="M979" s="3"/>
      <c r="N979" s="3"/>
      <c r="O979" s="3">
        <v>28970.54296875</v>
      </c>
      <c r="P979" s="3">
        <v>34531.21875</v>
      </c>
      <c r="Q979" s="3"/>
      <c r="R979" s="3">
        <v>0.48539406061172502</v>
      </c>
      <c r="S979" s="3">
        <v>0.365252315998077</v>
      </c>
      <c r="T979" s="3">
        <v>0.38967707753181502</v>
      </c>
      <c r="U979" s="3">
        <v>0.38290604948997498</v>
      </c>
      <c r="W979" t="s">
        <v>50</v>
      </c>
      <c r="X979" t="s">
        <v>54</v>
      </c>
      <c r="Y979" t="s">
        <v>52</v>
      </c>
      <c r="Z979" t="s">
        <v>53</v>
      </c>
      <c r="AA979" t="s">
        <v>53</v>
      </c>
      <c r="AC979" s="2">
        <v>0.44541432646382301</v>
      </c>
      <c r="AD979" s="2">
        <v>0.67640167474746704</v>
      </c>
      <c r="AE979" s="2">
        <v>0.14660038053989399</v>
      </c>
      <c r="AF979" s="2">
        <v>9.2045567929744707E-2</v>
      </c>
      <c r="AG979" s="2">
        <v>0.113365516066551</v>
      </c>
      <c r="AH979" s="2">
        <v>-2.5295529514551201E-2</v>
      </c>
      <c r="AI979" s="2">
        <v>-3.1175992917269499E-3</v>
      </c>
      <c r="AJ979" s="2">
        <v>0.36615447306198701</v>
      </c>
      <c r="AK979" s="2">
        <v>0.51770643608740297</v>
      </c>
      <c r="AL979" s="2">
        <v>0.35862272392649702</v>
      </c>
      <c r="AM979" s="2">
        <v>0.367810428142548</v>
      </c>
      <c r="AN979" s="2">
        <v>0.56019145250320401</v>
      </c>
      <c r="AO979" s="2">
        <v>0.31139236688613903</v>
      </c>
      <c r="AP979" s="2">
        <v>0.71085864305496205</v>
      </c>
    </row>
    <row r="980" spans="1:42" x14ac:dyDescent="0.3">
      <c r="A980" t="s">
        <v>343</v>
      </c>
      <c r="B980" s="3">
        <v>2015</v>
      </c>
      <c r="C980" s="3">
        <v>7.663195</v>
      </c>
      <c r="D980" s="3"/>
      <c r="E980" t="s">
        <v>82</v>
      </c>
      <c r="G980" s="3">
        <v>15382.201171875</v>
      </c>
      <c r="H980" s="3">
        <v>18568.87890625</v>
      </c>
      <c r="I980" s="3">
        <v>16048.2060546875</v>
      </c>
      <c r="J980" s="3">
        <v>16980.689453125</v>
      </c>
      <c r="K980" s="3">
        <v>49950.19140625</v>
      </c>
      <c r="L980" s="3">
        <v>6.3595507526770202E-4</v>
      </c>
      <c r="M980" s="3">
        <v>0.30941554903984098</v>
      </c>
      <c r="N980" s="3">
        <v>0.32642620801925698</v>
      </c>
      <c r="O980" s="3">
        <v>15667.611328125</v>
      </c>
      <c r="P980" s="3">
        <v>19530.2734375</v>
      </c>
      <c r="Q980" s="3">
        <v>0.96353644132614102</v>
      </c>
      <c r="R980" s="3">
        <v>0.50545626878738403</v>
      </c>
      <c r="S980" s="3">
        <v>0.33869975805282598</v>
      </c>
      <c r="T980" s="3">
        <v>0.358635574579239</v>
      </c>
      <c r="U980" s="3">
        <v>0.33894136548042297</v>
      </c>
      <c r="W980" t="s">
        <v>50</v>
      </c>
      <c r="X980" t="s">
        <v>51</v>
      </c>
      <c r="Y980" t="s">
        <v>52</v>
      </c>
      <c r="Z980" t="s">
        <v>53</v>
      </c>
      <c r="AA980" t="s">
        <v>53</v>
      </c>
      <c r="AC980" s="2">
        <v>0.48003123644557599</v>
      </c>
      <c r="AD980" s="2">
        <v>0.75851345062255904</v>
      </c>
      <c r="AE980" s="2">
        <v>0.18766479194164301</v>
      </c>
      <c r="AF980" s="2">
        <v>0.14735087752342199</v>
      </c>
      <c r="AG980" s="2">
        <v>8.5579939186573001E-2</v>
      </c>
      <c r="AH980" s="2">
        <v>-0.21047320961952201</v>
      </c>
      <c r="AI980" s="2">
        <v>3.1364072114229202E-2</v>
      </c>
      <c r="AJ980" s="2">
        <v>0.34628000373650503</v>
      </c>
      <c r="AK980" s="2">
        <v>0.45486650370936998</v>
      </c>
      <c r="AL980" s="2">
        <v>0.29967909724901298</v>
      </c>
      <c r="AM980" s="2">
        <v>0.54529023170471203</v>
      </c>
      <c r="AN980" s="2">
        <v>0.52516704797744795</v>
      </c>
      <c r="AO980" s="2">
        <v>0.27780938148498502</v>
      </c>
      <c r="AP980" s="2">
        <v>0.59797096252441395</v>
      </c>
    </row>
    <row r="981" spans="1:42" x14ac:dyDescent="0.3">
      <c r="A981" t="s">
        <v>343</v>
      </c>
      <c r="B981" s="3">
        <v>2016</v>
      </c>
      <c r="C981" s="3">
        <v>7.8582890000000001</v>
      </c>
      <c r="D981" s="3"/>
      <c r="E981" t="s">
        <v>82</v>
      </c>
      <c r="G981" s="3">
        <v>16662.373046875</v>
      </c>
      <c r="H981" s="3">
        <v>19298.244140625</v>
      </c>
      <c r="I981" s="3">
        <v>17080.806640625</v>
      </c>
      <c r="J981" s="3">
        <v>17746</v>
      </c>
      <c r="K981" s="3">
        <v>51913.62890625</v>
      </c>
      <c r="L981" s="3">
        <v>6.2815181445330403E-4</v>
      </c>
      <c r="M981" s="3">
        <v>0.31451863050460799</v>
      </c>
      <c r="N981" s="3">
        <v>0.33067828416824302</v>
      </c>
      <c r="O981" s="3">
        <v>16987.45703125</v>
      </c>
      <c r="P981" s="3">
        <v>20163.859375</v>
      </c>
      <c r="Q981" s="3">
        <v>0.96338671445846602</v>
      </c>
      <c r="R981" s="3">
        <v>0.498621165752411</v>
      </c>
      <c r="S981" s="3">
        <v>0.33822005987167397</v>
      </c>
      <c r="T981" s="3">
        <v>0.35543796420097401</v>
      </c>
      <c r="U981" s="3">
        <v>0.34211468696594199</v>
      </c>
      <c r="W981" t="s">
        <v>50</v>
      </c>
      <c r="X981" t="s">
        <v>51</v>
      </c>
      <c r="Y981" t="s">
        <v>52</v>
      </c>
      <c r="Z981" t="s">
        <v>53</v>
      </c>
      <c r="AA981" t="s">
        <v>53</v>
      </c>
      <c r="AC981" s="2">
        <v>0.51641398924001902</v>
      </c>
      <c r="AD981" s="2">
        <v>0.75989460945129395</v>
      </c>
      <c r="AE981" s="2">
        <v>0.148533284664154</v>
      </c>
      <c r="AF981" s="2">
        <v>0.17904224991798401</v>
      </c>
      <c r="AG981" s="2">
        <v>8.2846283912658705E-2</v>
      </c>
      <c r="AH981" s="2">
        <v>-0.19374744594097101</v>
      </c>
      <c r="AI981" s="2">
        <v>2.34310310333967E-2</v>
      </c>
      <c r="AJ981" s="2">
        <v>0.34821319427163699</v>
      </c>
      <c r="AK981" s="2">
        <v>0.46427909476920798</v>
      </c>
      <c r="AL981" s="2">
        <v>0.29580702302540501</v>
      </c>
      <c r="AM981" s="2">
        <v>0.54550045728683505</v>
      </c>
      <c r="AN981" s="2">
        <v>0.50386351346969604</v>
      </c>
      <c r="AO981" s="2">
        <v>0.28063866496086098</v>
      </c>
      <c r="AP981" s="2">
        <v>0.62724459171295199</v>
      </c>
    </row>
    <row r="982" spans="1:42" x14ac:dyDescent="0.3">
      <c r="A982" t="s">
        <v>343</v>
      </c>
      <c r="B982" s="3">
        <v>2017</v>
      </c>
      <c r="C982" s="3">
        <v>8.0571400000000004</v>
      </c>
      <c r="D982" s="3"/>
      <c r="E982" t="s">
        <v>82</v>
      </c>
      <c r="G982" s="3">
        <v>16854.779296875</v>
      </c>
      <c r="H982" s="3">
        <v>19183.93359375</v>
      </c>
      <c r="I982" s="3">
        <v>17828.154296875</v>
      </c>
      <c r="J982" s="3">
        <v>18289.18359375</v>
      </c>
      <c r="K982" s="3">
        <v>55245.46875</v>
      </c>
      <c r="L982" s="3">
        <v>6.3310284167528196E-4</v>
      </c>
      <c r="M982" s="3">
        <v>0.31198424100875899</v>
      </c>
      <c r="N982" s="3">
        <v>0.31514489650726302</v>
      </c>
      <c r="O982" s="3">
        <v>17298.576171875</v>
      </c>
      <c r="P982" s="3">
        <v>20017.162109375</v>
      </c>
      <c r="Q982" s="3">
        <v>0.96153455972671498</v>
      </c>
      <c r="R982" s="3">
        <v>0.49211746454238903</v>
      </c>
      <c r="S982" s="3">
        <v>0.34398421645164501</v>
      </c>
      <c r="T982" s="3">
        <v>0.35827735066413902</v>
      </c>
      <c r="U982" s="3">
        <v>0.349245965480804</v>
      </c>
      <c r="W982" t="s">
        <v>51</v>
      </c>
      <c r="X982" t="s">
        <v>51</v>
      </c>
      <c r="Y982" t="s">
        <v>52</v>
      </c>
      <c r="Z982" t="s">
        <v>53</v>
      </c>
      <c r="AA982" t="s">
        <v>53</v>
      </c>
      <c r="AC982" s="2">
        <v>0.50538924517960704</v>
      </c>
      <c r="AD982" s="2">
        <v>0.75336301326751698</v>
      </c>
      <c r="AE982" s="2">
        <v>0.12735147774219499</v>
      </c>
      <c r="AF982" s="2">
        <v>0.16820786893367801</v>
      </c>
      <c r="AG982" s="2">
        <v>8.2834444940090193E-2</v>
      </c>
      <c r="AH982" s="2">
        <v>-0.176026791334152</v>
      </c>
      <c r="AI982" s="2">
        <v>4.42700237035751E-2</v>
      </c>
      <c r="AJ982" s="2">
        <v>0.35598433086088899</v>
      </c>
      <c r="AK982" s="2">
        <v>0.46170870358621602</v>
      </c>
      <c r="AL982" s="2">
        <v>0.29023859072671199</v>
      </c>
      <c r="AM982" s="2">
        <v>0.57232457399368297</v>
      </c>
      <c r="AN982" s="2">
        <v>0.50803881883621205</v>
      </c>
      <c r="AO982" s="2">
        <v>0.27336338162422202</v>
      </c>
      <c r="AP982" s="2">
        <v>0.63930517435073897</v>
      </c>
    </row>
    <row r="983" spans="1:42" x14ac:dyDescent="0.3">
      <c r="A983" t="s">
        <v>343</v>
      </c>
      <c r="B983" s="3">
        <v>2018</v>
      </c>
      <c r="C983" s="3">
        <v>8.2587779999999995</v>
      </c>
      <c r="D983" s="3"/>
      <c r="E983" t="s">
        <v>82</v>
      </c>
      <c r="G983" s="3">
        <v>17264.537109375</v>
      </c>
      <c r="H983" s="3">
        <v>20118.529296875</v>
      </c>
      <c r="I983" s="3">
        <v>18472.001953125</v>
      </c>
      <c r="J983" s="3">
        <v>19072.37109375</v>
      </c>
      <c r="K983" s="3">
        <v>58739.890625</v>
      </c>
      <c r="L983" s="3">
        <v>6.4118939917534601E-4</v>
      </c>
      <c r="M983" s="3">
        <v>0.31415838003158603</v>
      </c>
      <c r="N983" s="3">
        <v>0.31899654865264898</v>
      </c>
      <c r="O983" s="3">
        <v>17946.892578125</v>
      </c>
      <c r="P983" s="3">
        <v>21212.365234375</v>
      </c>
      <c r="Q983" s="3">
        <v>0.970245361328125</v>
      </c>
      <c r="R983" s="3">
        <v>0.48428836464881903</v>
      </c>
      <c r="S983" s="3">
        <v>0.36552754044532798</v>
      </c>
      <c r="T983" s="3">
        <v>0.38053351640701299</v>
      </c>
      <c r="U983" s="3">
        <v>0.36855491995811501</v>
      </c>
      <c r="W983" t="s">
        <v>50</v>
      </c>
      <c r="X983" t="s">
        <v>51</v>
      </c>
      <c r="Y983" t="s">
        <v>52</v>
      </c>
      <c r="Z983" t="s">
        <v>62</v>
      </c>
      <c r="AA983" t="s">
        <v>53</v>
      </c>
      <c r="AC983" s="2">
        <v>0.49348645259256002</v>
      </c>
      <c r="AD983" s="2">
        <v>0.74598741531372104</v>
      </c>
      <c r="AE983" s="2">
        <v>0.149640098214149</v>
      </c>
      <c r="AF983" s="2">
        <v>0.15922455489635501</v>
      </c>
      <c r="AG983" s="2">
        <v>9.6390374004840906E-2</v>
      </c>
      <c r="AH983" s="2">
        <v>-0.18773968517780301</v>
      </c>
      <c r="AI983" s="2">
        <v>3.6497276276350001E-2</v>
      </c>
      <c r="AJ983" s="2">
        <v>0.37831793879301601</v>
      </c>
      <c r="AK983" s="2">
        <v>0.47130862361496101</v>
      </c>
      <c r="AL983" s="2">
        <v>0.30560287234535</v>
      </c>
      <c r="AM983" s="2">
        <v>0.55702871084213301</v>
      </c>
      <c r="AN983" s="2">
        <v>0.53262645006179798</v>
      </c>
      <c r="AO983" s="2">
        <v>0.28143838047981301</v>
      </c>
      <c r="AP983" s="2">
        <v>0.66848731040954601</v>
      </c>
    </row>
    <row r="984" spans="1:42" x14ac:dyDescent="0.3">
      <c r="A984" t="s">
        <v>343</v>
      </c>
      <c r="B984" s="3">
        <v>2019</v>
      </c>
      <c r="C984" s="3">
        <v>8.4630679999999998</v>
      </c>
      <c r="D984" s="3"/>
      <c r="E984" t="s">
        <v>82</v>
      </c>
      <c r="G984" s="3">
        <v>18556.18359375</v>
      </c>
      <c r="H984" s="3">
        <v>21604.6953125</v>
      </c>
      <c r="I984" s="3">
        <v>19907.25</v>
      </c>
      <c r="J984" s="3">
        <v>20633.798828125</v>
      </c>
      <c r="K984" s="3">
        <v>63281.078125</v>
      </c>
      <c r="L984" s="3">
        <v>6.6072534536942796E-4</v>
      </c>
      <c r="M984" s="3">
        <v>0.31821113824844399</v>
      </c>
      <c r="N984" s="3">
        <v>0.32061561942100503</v>
      </c>
      <c r="O984" s="3">
        <v>18808.416015625</v>
      </c>
      <c r="P984" s="3">
        <v>22212.390625</v>
      </c>
      <c r="Q984" s="3">
        <v>0.98241394758224498</v>
      </c>
      <c r="R984" s="3">
        <v>0.50076085329055797</v>
      </c>
      <c r="S984" s="3">
        <v>0.33887082338333102</v>
      </c>
      <c r="T984" s="3">
        <v>0.35126167535781899</v>
      </c>
      <c r="U984" s="3">
        <v>0.33889317512512201</v>
      </c>
      <c r="W984" t="s">
        <v>50</v>
      </c>
      <c r="X984" t="s">
        <v>54</v>
      </c>
      <c r="Y984" t="s">
        <v>52</v>
      </c>
      <c r="Z984" t="s">
        <v>53</v>
      </c>
      <c r="AA984" t="s">
        <v>53</v>
      </c>
      <c r="AC984" s="2">
        <v>0.49938050165372899</v>
      </c>
      <c r="AD984" s="2">
        <v>0.74201643466949496</v>
      </c>
      <c r="AE984" s="2">
        <v>0.14774362742900801</v>
      </c>
      <c r="AF984" s="2">
        <v>0.15729367733001701</v>
      </c>
      <c r="AG984" s="2">
        <v>8.4603562951087993E-2</v>
      </c>
      <c r="AH984" s="2">
        <v>-0.17900477349758101</v>
      </c>
      <c r="AI984" s="2">
        <v>4.7347504645586E-2</v>
      </c>
      <c r="AJ984" s="2">
        <v>0.350209933123173</v>
      </c>
      <c r="AK984" s="2">
        <v>0.42668422722509403</v>
      </c>
      <c r="AL984" s="2">
        <v>0.285379837676833</v>
      </c>
      <c r="AM984" s="2">
        <v>0.52534133195877097</v>
      </c>
      <c r="AN984" s="2">
        <v>0.49936175346374501</v>
      </c>
      <c r="AO984" s="2">
        <v>0.25726532936096203</v>
      </c>
      <c r="AP984" s="2">
        <v>0.60096073150634799</v>
      </c>
    </row>
    <row r="985" spans="1:42" x14ac:dyDescent="0.3">
      <c r="A985" t="s">
        <v>343</v>
      </c>
      <c r="B985" s="3">
        <v>2020</v>
      </c>
      <c r="C985" s="3">
        <v>8.6697199999999999</v>
      </c>
      <c r="D985" s="3"/>
      <c r="E985" t="s">
        <v>82</v>
      </c>
      <c r="G985" s="3">
        <v>19468.64453125</v>
      </c>
      <c r="H985" s="3">
        <v>23001.908203125</v>
      </c>
      <c r="I985" s="3">
        <v>21117.11328125</v>
      </c>
      <c r="J985" s="3">
        <v>21932.052734375</v>
      </c>
      <c r="K985" s="3">
        <v>68673.2109375</v>
      </c>
      <c r="L985" s="3">
        <v>6.7175581352785197E-4</v>
      </c>
      <c r="M985" s="3">
        <v>0.327495276927948</v>
      </c>
      <c r="N985" s="3">
        <v>0.32949823141098</v>
      </c>
      <c r="O985" s="3">
        <v>19092.626953125</v>
      </c>
      <c r="P985" s="3">
        <v>22859.287109375</v>
      </c>
      <c r="Q985" s="3">
        <v>0.97495180368423495</v>
      </c>
      <c r="R985" s="3">
        <v>0.50076085329055797</v>
      </c>
      <c r="S985" s="3">
        <v>0.34266227483749401</v>
      </c>
      <c r="T985" s="3">
        <v>0.35450068116188099</v>
      </c>
      <c r="U985" s="3">
        <v>0.34132835268974299</v>
      </c>
      <c r="W985" t="s">
        <v>50</v>
      </c>
      <c r="X985" t="s">
        <v>54</v>
      </c>
      <c r="Y985" t="s">
        <v>52</v>
      </c>
      <c r="Z985" t="s">
        <v>53</v>
      </c>
      <c r="AA985" t="s">
        <v>53</v>
      </c>
      <c r="AC985" s="2">
        <v>0.49584250243403999</v>
      </c>
      <c r="AD985" s="2">
        <v>0.73088699579238903</v>
      </c>
      <c r="AE985" s="2">
        <v>0.16110044717788699</v>
      </c>
      <c r="AF985" s="2">
        <v>0.156793013215065</v>
      </c>
      <c r="AG985" s="2">
        <v>7.9648479819297804E-2</v>
      </c>
      <c r="AH985" s="2">
        <v>-0.172815427184105</v>
      </c>
      <c r="AI985" s="2">
        <v>4.4386532157659503E-2</v>
      </c>
      <c r="AJ985" s="2">
        <v>0.35397317545581902</v>
      </c>
      <c r="AK985" s="2">
        <v>0.41973163102106498</v>
      </c>
      <c r="AL985" s="2">
        <v>0.289936703826771</v>
      </c>
      <c r="AM985" s="2">
        <v>0.54234653711319003</v>
      </c>
      <c r="AN985" s="2">
        <v>0.51391530036926303</v>
      </c>
      <c r="AO985" s="2">
        <v>0.25067198276519798</v>
      </c>
      <c r="AP985" s="2">
        <v>0.66065359115600597</v>
      </c>
    </row>
    <row r="986" spans="1:42" x14ac:dyDescent="0.3">
      <c r="A986" t="s">
        <v>344</v>
      </c>
      <c r="B986" s="3">
        <v>2015</v>
      </c>
      <c r="C986" s="3">
        <v>70.540795000000003</v>
      </c>
      <c r="D986" s="3">
        <v>2235.9699999999998</v>
      </c>
      <c r="E986" t="s">
        <v>345</v>
      </c>
      <c r="G986" s="3">
        <v>895334.9375</v>
      </c>
      <c r="H986" s="3">
        <v>1135647.125</v>
      </c>
      <c r="I986" s="3">
        <v>1250416.625</v>
      </c>
      <c r="J986" s="3">
        <v>1208480.5</v>
      </c>
      <c r="K986" s="3">
        <v>4863158.5</v>
      </c>
      <c r="L986" s="3">
        <v>5.65297976136208E-2</v>
      </c>
      <c r="M986" s="3">
        <v>0.50365477800369296</v>
      </c>
      <c r="N986" s="3">
        <v>0.45661386847495999</v>
      </c>
      <c r="O986" s="3">
        <v>915948.6875</v>
      </c>
      <c r="P986" s="3">
        <v>1184636.375</v>
      </c>
      <c r="Q986" s="3">
        <v>1.0054526329040501</v>
      </c>
      <c r="R986" s="3">
        <v>0.46680554747581499</v>
      </c>
      <c r="S986" s="3">
        <v>0.30686932802200301</v>
      </c>
      <c r="T986" s="3">
        <v>0.32092997431755099</v>
      </c>
      <c r="U986" s="3">
        <v>0.33206674456596402</v>
      </c>
      <c r="W986" t="s">
        <v>50</v>
      </c>
      <c r="X986" t="s">
        <v>51</v>
      </c>
      <c r="Y986" t="s">
        <v>52</v>
      </c>
      <c r="Z986" t="s">
        <v>53</v>
      </c>
      <c r="AA986" t="s">
        <v>53</v>
      </c>
      <c r="AC986" s="2">
        <v>0.59547277022773404</v>
      </c>
      <c r="AD986" s="2">
        <v>0.55200511217117298</v>
      </c>
      <c r="AE986" s="2">
        <v>0.19885486364364599</v>
      </c>
      <c r="AF986" s="2">
        <v>0.18887148797512099</v>
      </c>
      <c r="AG986" s="2">
        <v>0.29727891087531999</v>
      </c>
      <c r="AH986" s="2">
        <v>-0.29972207546234098</v>
      </c>
      <c r="AI986" s="2">
        <v>6.2711708247661604E-2</v>
      </c>
      <c r="AJ986" s="2">
        <v>0.30887148249657498</v>
      </c>
      <c r="AK986" s="2">
        <v>0.373316018760671</v>
      </c>
      <c r="AL986" s="2">
        <v>0.30101768114322602</v>
      </c>
      <c r="AM986" s="2">
        <v>0.59653598070144698</v>
      </c>
      <c r="AN986" s="2">
        <v>0.55946260690689098</v>
      </c>
      <c r="AO986" s="2">
        <v>0.20443636178970301</v>
      </c>
      <c r="AP986" s="2">
        <v>0.50570255517959595</v>
      </c>
    </row>
    <row r="987" spans="1:42" x14ac:dyDescent="0.3">
      <c r="A987" t="s">
        <v>344</v>
      </c>
      <c r="B987" s="3">
        <v>2016</v>
      </c>
      <c r="C987" s="3">
        <v>70.859841000000003</v>
      </c>
      <c r="D987" s="3">
        <v>2220.7199999999998</v>
      </c>
      <c r="E987" t="s">
        <v>345</v>
      </c>
      <c r="G987" s="3">
        <v>912696.75</v>
      </c>
      <c r="H987" s="3">
        <v>1149711.5</v>
      </c>
      <c r="I987" s="3">
        <v>1306784.75</v>
      </c>
      <c r="J987" s="3">
        <v>1255939.75</v>
      </c>
      <c r="K987" s="3">
        <v>4947739</v>
      </c>
      <c r="L987" s="3">
        <v>5.6339941918849903E-2</v>
      </c>
      <c r="M987" s="3">
        <v>0.52060359716415405</v>
      </c>
      <c r="N987" s="3">
        <v>0.46075397729873702</v>
      </c>
      <c r="O987" s="3">
        <v>940681.125</v>
      </c>
      <c r="P987" s="3">
        <v>1197568.125</v>
      </c>
      <c r="Q987" s="3">
        <v>1.0239727497100799</v>
      </c>
      <c r="R987" s="3">
        <v>0.45634353160858199</v>
      </c>
      <c r="S987" s="3">
        <v>0.30287969112396201</v>
      </c>
      <c r="T987" s="3">
        <v>0.31632319092750599</v>
      </c>
      <c r="U987" s="3">
        <v>0.32912912964820901</v>
      </c>
      <c r="W987" t="s">
        <v>50</v>
      </c>
      <c r="X987" t="s">
        <v>51</v>
      </c>
      <c r="Y987" t="s">
        <v>52</v>
      </c>
      <c r="Z987" t="s">
        <v>53</v>
      </c>
      <c r="AA987" t="s">
        <v>53</v>
      </c>
      <c r="AC987" s="2">
        <v>0.56616017321188805</v>
      </c>
      <c r="AD987" s="2">
        <v>0.54353821277618397</v>
      </c>
      <c r="AE987" s="2">
        <v>0.18871508538723</v>
      </c>
      <c r="AF987" s="2">
        <v>0.18316602706909199</v>
      </c>
      <c r="AG987" s="2">
        <v>0.28983208537101701</v>
      </c>
      <c r="AH987" s="2">
        <v>-0.27417072653770402</v>
      </c>
      <c r="AI987" s="2">
        <v>6.8919278681278201E-2</v>
      </c>
      <c r="AJ987" s="2">
        <v>0.30282279658481798</v>
      </c>
      <c r="AK987" s="2">
        <v>0.36809140891285302</v>
      </c>
      <c r="AL987" s="2">
        <v>0.30304858228098602</v>
      </c>
      <c r="AM987" s="2">
        <v>0.59170359373092696</v>
      </c>
      <c r="AN987" s="2">
        <v>0.563945293426514</v>
      </c>
      <c r="AO987" s="2">
        <v>0.19832420349121099</v>
      </c>
      <c r="AP987" s="2">
        <v>0.51630532741546598</v>
      </c>
    </row>
    <row r="988" spans="1:42" x14ac:dyDescent="0.3">
      <c r="A988" t="s">
        <v>344</v>
      </c>
      <c r="B988" s="3">
        <v>2017</v>
      </c>
      <c r="C988" s="3">
        <v>71.160186999999993</v>
      </c>
      <c r="D988" s="3">
        <v>2216.4699999999998</v>
      </c>
      <c r="E988" t="s">
        <v>345</v>
      </c>
      <c r="G988" s="3">
        <v>916824</v>
      </c>
      <c r="H988" s="3">
        <v>1188362.875</v>
      </c>
      <c r="I988" s="3">
        <v>1347907.625</v>
      </c>
      <c r="J988" s="3">
        <v>1326553.25</v>
      </c>
      <c r="K988" s="3">
        <v>5070319</v>
      </c>
      <c r="L988" s="3">
        <v>5.6901380419731099E-2</v>
      </c>
      <c r="M988" s="3">
        <v>0.541359543800354</v>
      </c>
      <c r="N988" s="3">
        <v>0.46702969074249301</v>
      </c>
      <c r="O988" s="3">
        <v>962978.4375</v>
      </c>
      <c r="P988" s="3">
        <v>1250919</v>
      </c>
      <c r="Q988" s="3">
        <v>1.05003809928894</v>
      </c>
      <c r="R988" s="3">
        <v>0.44618886709213301</v>
      </c>
      <c r="S988" s="3">
        <v>0.32468399405479398</v>
      </c>
      <c r="T988" s="3">
        <v>0.33856683969497697</v>
      </c>
      <c r="U988" s="3">
        <v>0.34401696920394897</v>
      </c>
      <c r="W988" t="s">
        <v>51</v>
      </c>
      <c r="X988" t="s">
        <v>51</v>
      </c>
      <c r="Y988" t="s">
        <v>52</v>
      </c>
      <c r="Z988" t="s">
        <v>53</v>
      </c>
      <c r="AA988" t="s">
        <v>53</v>
      </c>
      <c r="AC988" s="2">
        <v>0.543218235782297</v>
      </c>
      <c r="AD988" s="2">
        <v>0.51658624410629295</v>
      </c>
      <c r="AE988" s="2">
        <v>0.20469507575035101</v>
      </c>
      <c r="AF988" s="2">
        <v>0.17454621195793199</v>
      </c>
      <c r="AG988" s="2">
        <v>0.29075405001640298</v>
      </c>
      <c r="AH988" s="2">
        <v>-0.27181428670883201</v>
      </c>
      <c r="AI988" s="2">
        <v>8.5232749581337003E-2</v>
      </c>
      <c r="AJ988" s="2">
        <v>0.32585153080942603</v>
      </c>
      <c r="AK988" s="2">
        <v>0.38544086079881101</v>
      </c>
      <c r="AL988" s="2">
        <v>0.321228557452158</v>
      </c>
      <c r="AM988" s="2">
        <v>0.613517105579376</v>
      </c>
      <c r="AN988" s="2">
        <v>0.61433351039886497</v>
      </c>
      <c r="AO988" s="2">
        <v>0.20937716960906999</v>
      </c>
      <c r="AP988" s="2">
        <v>0.55416214466095004</v>
      </c>
    </row>
    <row r="989" spans="1:42" x14ac:dyDescent="0.3">
      <c r="A989" t="s">
        <v>344</v>
      </c>
      <c r="B989" s="3">
        <v>2018</v>
      </c>
      <c r="C989" s="3">
        <v>71.376079000000004</v>
      </c>
      <c r="D989" s="3">
        <v>2209.27</v>
      </c>
      <c r="E989" t="s">
        <v>345</v>
      </c>
      <c r="G989" s="3">
        <v>958695.6875</v>
      </c>
      <c r="H989" s="3">
        <v>1273724</v>
      </c>
      <c r="I989" s="3">
        <v>1410826.375</v>
      </c>
      <c r="J989" s="3">
        <v>1390158.875</v>
      </c>
      <c r="K989" s="3">
        <v>5260142</v>
      </c>
      <c r="L989" s="3">
        <v>5.7258136570453602E-2</v>
      </c>
      <c r="M989" s="3">
        <v>0.55390381813049305</v>
      </c>
      <c r="N989" s="3">
        <v>0.48852995038032498</v>
      </c>
      <c r="O989" s="3">
        <v>1002417.9375</v>
      </c>
      <c r="P989" s="3">
        <v>1341562.125</v>
      </c>
      <c r="Q989" s="3">
        <v>1.0691534280777</v>
      </c>
      <c r="R989" s="3">
        <v>0.439727813005447</v>
      </c>
      <c r="S989" s="3">
        <v>0.34391200542450001</v>
      </c>
      <c r="T989" s="3">
        <v>0.35918956995010398</v>
      </c>
      <c r="U989" s="3">
        <v>0.364529669284821</v>
      </c>
      <c r="W989" t="s">
        <v>50</v>
      </c>
      <c r="X989" t="s">
        <v>51</v>
      </c>
      <c r="Y989" t="s">
        <v>52</v>
      </c>
      <c r="Z989" t="s">
        <v>53</v>
      </c>
      <c r="AA989" t="s">
        <v>53</v>
      </c>
      <c r="AC989" s="2">
        <v>0.53946092202974905</v>
      </c>
      <c r="AD989" s="2">
        <v>0.51033312082290705</v>
      </c>
      <c r="AE989" s="2">
        <v>0.226613193750381</v>
      </c>
      <c r="AF989" s="2">
        <v>0.17929719388484999</v>
      </c>
      <c r="AG989" s="2">
        <v>0.28708839416503901</v>
      </c>
      <c r="AH989" s="2">
        <v>-0.29397693276405301</v>
      </c>
      <c r="AI989" s="2">
        <v>9.0645000338554396E-2</v>
      </c>
      <c r="AJ989" s="2">
        <v>0.34920955441060098</v>
      </c>
      <c r="AK989" s="2">
        <v>0.40568232360562501</v>
      </c>
      <c r="AL989" s="2">
        <v>0.32883355127304997</v>
      </c>
      <c r="AM989" s="2">
        <v>0.63263833522796598</v>
      </c>
      <c r="AN989" s="2">
        <v>0.60971236228942904</v>
      </c>
      <c r="AO989" s="2">
        <v>0.21937789022922499</v>
      </c>
      <c r="AP989" s="2">
        <v>0.58630669116973899</v>
      </c>
    </row>
    <row r="990" spans="1:42" x14ac:dyDescent="0.3">
      <c r="A990" t="s">
        <v>344</v>
      </c>
      <c r="B990" s="3">
        <v>2019</v>
      </c>
      <c r="C990" s="3">
        <v>71.522271000000003</v>
      </c>
      <c r="D990" s="3">
        <v>2199.04</v>
      </c>
      <c r="E990" t="s">
        <v>345</v>
      </c>
      <c r="G990" s="3">
        <v>1015605.875</v>
      </c>
      <c r="H990" s="3">
        <v>1324549</v>
      </c>
      <c r="I990" s="3">
        <v>1475690</v>
      </c>
      <c r="J990" s="3">
        <v>1442812.5</v>
      </c>
      <c r="K990" s="3">
        <v>5462679.5</v>
      </c>
      <c r="L990" s="3">
        <v>5.7491909712552997E-2</v>
      </c>
      <c r="M990" s="3">
        <v>0.55870878696441695</v>
      </c>
      <c r="N990" s="3">
        <v>0.49356451630592302</v>
      </c>
      <c r="O990" s="3">
        <v>1036165.875</v>
      </c>
      <c r="P990" s="3">
        <v>1361544.375</v>
      </c>
      <c r="Q990" s="3">
        <v>1.06620049476624</v>
      </c>
      <c r="R990" s="3">
        <v>0.45004326105117798</v>
      </c>
      <c r="S990" s="3">
        <v>0.353203415870667</v>
      </c>
      <c r="T990" s="3">
        <v>0.36862519383430498</v>
      </c>
      <c r="U990" s="3">
        <v>0.37702506780624401</v>
      </c>
      <c r="W990" t="s">
        <v>50</v>
      </c>
      <c r="X990" t="s">
        <v>54</v>
      </c>
      <c r="Y990" t="s">
        <v>52</v>
      </c>
      <c r="Z990" t="s">
        <v>53</v>
      </c>
      <c r="AA990" t="s">
        <v>53</v>
      </c>
      <c r="AC990" s="2">
        <v>0.53850466110525996</v>
      </c>
      <c r="AD990" s="2">
        <v>0.52009969949722301</v>
      </c>
      <c r="AE990" s="2">
        <v>0.21412564814090701</v>
      </c>
      <c r="AF990" s="2">
        <v>0.183807328343391</v>
      </c>
      <c r="AG990" s="2">
        <v>0.25453183054924</v>
      </c>
      <c r="AH990" s="2">
        <v>-0.24397452175617201</v>
      </c>
      <c r="AI990" s="2">
        <v>7.1410030126571697E-2</v>
      </c>
      <c r="AJ990" s="2">
        <v>0.360815020249242</v>
      </c>
      <c r="AK990" s="2">
        <v>0.419322127893487</v>
      </c>
      <c r="AL990" s="2">
        <v>0.33166566506741901</v>
      </c>
      <c r="AM990" s="2">
        <v>0.63629484176635698</v>
      </c>
      <c r="AN990" s="2">
        <v>0.61590665578842196</v>
      </c>
      <c r="AO990" s="2">
        <v>0.22582896053790999</v>
      </c>
      <c r="AP990" s="2">
        <v>0.59185910224914595</v>
      </c>
    </row>
    <row r="991" spans="1:42" x14ac:dyDescent="0.3">
      <c r="A991" t="s">
        <v>344</v>
      </c>
      <c r="B991" s="3">
        <v>2020</v>
      </c>
      <c r="C991" s="3">
        <v>71.641484000000005</v>
      </c>
      <c r="D991" s="3">
        <v>2095.41</v>
      </c>
      <c r="E991" t="s">
        <v>345</v>
      </c>
      <c r="G991" s="3">
        <v>1027940.25</v>
      </c>
      <c r="H991" s="3">
        <v>1316361.875</v>
      </c>
      <c r="I991" s="3">
        <v>1391534.125</v>
      </c>
      <c r="J991" s="3">
        <v>1381442.125</v>
      </c>
      <c r="K991" s="3">
        <v>5723398.5</v>
      </c>
      <c r="L991" s="3">
        <v>5.73019236326218E-2</v>
      </c>
      <c r="M991" s="3">
        <v>0.53468561172485396</v>
      </c>
      <c r="N991" s="3">
        <v>0.48877021670341497</v>
      </c>
      <c r="O991" s="3">
        <v>1033519.5</v>
      </c>
      <c r="P991" s="3">
        <v>1342158.25</v>
      </c>
      <c r="Q991" s="3">
        <v>1.00624239444733</v>
      </c>
      <c r="R991" s="3">
        <v>0.46402096748352101</v>
      </c>
      <c r="S991" s="3">
        <v>0.34490299224853499</v>
      </c>
      <c r="T991" s="3">
        <v>0.35964766144752502</v>
      </c>
      <c r="U991" s="3">
        <v>0.36227503418922402</v>
      </c>
      <c r="W991" t="s">
        <v>50</v>
      </c>
      <c r="X991" t="s">
        <v>54</v>
      </c>
      <c r="Y991" t="s">
        <v>52</v>
      </c>
      <c r="Z991" t="s">
        <v>53</v>
      </c>
      <c r="AA991" t="s">
        <v>53</v>
      </c>
      <c r="AC991" s="2">
        <v>0.53544481562306601</v>
      </c>
      <c r="AD991" s="2">
        <v>0.54202640056610096</v>
      </c>
      <c r="AE991" s="2">
        <v>0.20878297090530401</v>
      </c>
      <c r="AF991" s="2">
        <v>0.20208020508289301</v>
      </c>
      <c r="AG991" s="2">
        <v>0.21258437633514399</v>
      </c>
      <c r="AH991" s="2">
        <v>-0.215701594948769</v>
      </c>
      <c r="AI991" s="2">
        <v>5.0227615982294103E-2</v>
      </c>
      <c r="AJ991" s="2">
        <v>0.35455502996096999</v>
      </c>
      <c r="AK991" s="2">
        <v>0.41219781654521997</v>
      </c>
      <c r="AL991" s="2">
        <v>0.31901402092339298</v>
      </c>
      <c r="AM991" s="2">
        <v>0.63334822654724099</v>
      </c>
      <c r="AN991" s="2">
        <v>0.61782395839691195</v>
      </c>
      <c r="AO991" s="2">
        <v>0.217948272824287</v>
      </c>
      <c r="AP991" s="2">
        <v>0.55587178468704201</v>
      </c>
    </row>
    <row r="992" spans="1:42" x14ac:dyDescent="0.3">
      <c r="A992" t="s">
        <v>346</v>
      </c>
      <c r="B992" s="3">
        <v>2015</v>
      </c>
      <c r="C992" s="3">
        <v>8.6438400000000009</v>
      </c>
      <c r="D992" s="3">
        <v>2089.16</v>
      </c>
      <c r="E992" t="s">
        <v>347</v>
      </c>
      <c r="G992" s="3">
        <v>26098.6796875</v>
      </c>
      <c r="H992" s="3">
        <v>32925.4296875</v>
      </c>
      <c r="I992" s="3">
        <v>25827.3203125</v>
      </c>
      <c r="J992" s="3">
        <v>29399.650390625</v>
      </c>
      <c r="K992" s="3">
        <v>442294.09375</v>
      </c>
      <c r="L992" s="3">
        <v>2.7002827264368499E-3</v>
      </c>
      <c r="M992" s="3">
        <v>0.215210646390915</v>
      </c>
      <c r="N992" s="3">
        <v>0.23252272605895999</v>
      </c>
      <c r="O992" s="3">
        <v>26627.908203125</v>
      </c>
      <c r="P992" s="3">
        <v>37494.03125</v>
      </c>
      <c r="Q992" s="3">
        <v>0.70401304960250899</v>
      </c>
      <c r="R992" s="3">
        <v>0.43632623553276101</v>
      </c>
      <c r="S992" s="3">
        <v>0.26239669322967502</v>
      </c>
      <c r="T992" s="3">
        <v>0.32025900483131398</v>
      </c>
      <c r="U992" s="3">
        <v>0.28134459257125899</v>
      </c>
      <c r="W992" t="s">
        <v>50</v>
      </c>
      <c r="X992" t="s">
        <v>51</v>
      </c>
      <c r="Y992" t="s">
        <v>52</v>
      </c>
      <c r="Z992" t="s">
        <v>53</v>
      </c>
      <c r="AA992" t="s">
        <v>61</v>
      </c>
      <c r="AC992" s="2">
        <v>0.25668757379572599</v>
      </c>
      <c r="AD992" s="2">
        <v>0.65804398059845004</v>
      </c>
      <c r="AE992" s="2">
        <v>0.23220507800579099</v>
      </c>
      <c r="AF992" s="2">
        <v>0.229676783084869</v>
      </c>
      <c r="AG992" s="2">
        <v>4.8775069415569298E-2</v>
      </c>
      <c r="AH992" s="2">
        <v>-0.197195678949356</v>
      </c>
      <c r="AI992" s="2">
        <v>2.8494754806160899E-2</v>
      </c>
      <c r="AJ992" s="2">
        <v>0.304560951739687</v>
      </c>
      <c r="AK992" s="2">
        <v>0.54146682845625604</v>
      </c>
      <c r="AL992" s="2">
        <v>0.141592399868535</v>
      </c>
      <c r="AM992" s="2">
        <v>0.56543970108032204</v>
      </c>
      <c r="AN992" s="2">
        <v>0.57261890172958396</v>
      </c>
      <c r="AO992" s="2">
        <v>0.387842237949371</v>
      </c>
      <c r="AP992" s="2">
        <v>0.23068602383136799</v>
      </c>
    </row>
    <row r="993" spans="1:42" x14ac:dyDescent="0.3">
      <c r="A993" t="s">
        <v>346</v>
      </c>
      <c r="B993" s="3">
        <v>2016</v>
      </c>
      <c r="C993" s="3">
        <v>8.8656310000000005</v>
      </c>
      <c r="D993" s="3">
        <v>2095.1999999999998</v>
      </c>
      <c r="E993" t="s">
        <v>347</v>
      </c>
      <c r="G993" s="3">
        <v>28624.56640625</v>
      </c>
      <c r="H993" s="3">
        <v>34528.55078125</v>
      </c>
      <c r="I993" s="3">
        <v>26162.080078125</v>
      </c>
      <c r="J993" s="3">
        <v>30102.046875</v>
      </c>
      <c r="K993" s="3">
        <v>426274</v>
      </c>
      <c r="L993" s="3">
        <v>2.6154431980103302E-3</v>
      </c>
      <c r="M993" s="3">
        <v>0.22057805955410001</v>
      </c>
      <c r="N993" s="3">
        <v>0.244617000222206</v>
      </c>
      <c r="O993" s="3">
        <v>29710.841796875</v>
      </c>
      <c r="P993" s="3">
        <v>39465.30859375</v>
      </c>
      <c r="Q993" s="3">
        <v>0.74683481454849199</v>
      </c>
      <c r="R993" s="3">
        <v>0.43632623553276101</v>
      </c>
      <c r="S993" s="3">
        <v>0.223411545157433</v>
      </c>
      <c r="T993" s="3">
        <v>0.26727294921875</v>
      </c>
      <c r="U993" s="3">
        <v>0.23229037225246399</v>
      </c>
      <c r="W993" t="s">
        <v>50</v>
      </c>
      <c r="X993" t="s">
        <v>51</v>
      </c>
      <c r="Y993" t="s">
        <v>52</v>
      </c>
      <c r="Z993" t="s">
        <v>53</v>
      </c>
      <c r="AA993" t="s">
        <v>61</v>
      </c>
      <c r="AC993" s="2">
        <v>0.28690885877002098</v>
      </c>
      <c r="AD993" s="2">
        <v>0.70263504981994596</v>
      </c>
      <c r="AE993" s="2">
        <v>0.196132391691208</v>
      </c>
      <c r="AF993" s="2">
        <v>0.24828253686428101</v>
      </c>
      <c r="AG993" s="2">
        <v>5.3268771618604702E-2</v>
      </c>
      <c r="AH993" s="2">
        <v>-0.17376476526260401</v>
      </c>
      <c r="AI993" s="2">
        <v>-2.65539716929197E-2</v>
      </c>
      <c r="AJ993" s="2">
        <v>0.26348812306053598</v>
      </c>
      <c r="AK993" s="2">
        <v>0.47992813949028601</v>
      </c>
      <c r="AL993" s="2">
        <v>0.109995553659074</v>
      </c>
      <c r="AM993" s="2">
        <v>0.57562988996505704</v>
      </c>
      <c r="AN993" s="2">
        <v>0.56846910715103205</v>
      </c>
      <c r="AO993" s="2">
        <v>0.33383980393409701</v>
      </c>
      <c r="AP993" s="2">
        <v>0.195062190294266</v>
      </c>
    </row>
    <row r="994" spans="1:42" x14ac:dyDescent="0.3">
      <c r="A994" t="s">
        <v>346</v>
      </c>
      <c r="B994" s="3">
        <v>2017</v>
      </c>
      <c r="C994" s="3">
        <v>9.0859459999999999</v>
      </c>
      <c r="D994" s="3">
        <v>2097.94</v>
      </c>
      <c r="E994" t="s">
        <v>347</v>
      </c>
      <c r="G994" s="3">
        <v>31238.693359375</v>
      </c>
      <c r="H994" s="3">
        <v>36058.49609375</v>
      </c>
      <c r="I994" s="3">
        <v>29615.498046875</v>
      </c>
      <c r="J994" s="3">
        <v>33385.0078125</v>
      </c>
      <c r="K994" s="3">
        <v>391060.875</v>
      </c>
      <c r="L994" s="3">
        <v>2.89514451287687E-3</v>
      </c>
      <c r="M994" s="3">
        <v>0.227129086852074</v>
      </c>
      <c r="N994" s="3">
        <v>0.23624536395072901</v>
      </c>
      <c r="O994" s="3">
        <v>31126.40234375</v>
      </c>
      <c r="P994" s="3">
        <v>39401.41015625</v>
      </c>
      <c r="Q994" s="3">
        <v>0.79418486356735196</v>
      </c>
      <c r="R994" s="3">
        <v>0.43632623553276101</v>
      </c>
      <c r="S994" s="3">
        <v>0.22153207659721399</v>
      </c>
      <c r="T994" s="3">
        <v>0.254474937915802</v>
      </c>
      <c r="U994" s="3">
        <v>0.22574213147163399</v>
      </c>
      <c r="W994" t="s">
        <v>51</v>
      </c>
      <c r="X994" t="s">
        <v>51</v>
      </c>
      <c r="Y994" t="s">
        <v>52</v>
      </c>
      <c r="Z994" t="s">
        <v>53</v>
      </c>
      <c r="AA994" t="s">
        <v>61</v>
      </c>
      <c r="AC994" s="2">
        <v>0.329243063900862</v>
      </c>
      <c r="AD994" s="2">
        <v>0.67665350437164296</v>
      </c>
      <c r="AE994" s="2">
        <v>0.144370287656784</v>
      </c>
      <c r="AF994" s="2">
        <v>0.259056746959686</v>
      </c>
      <c r="AG994" s="2">
        <v>5.8548454195261002E-2</v>
      </c>
      <c r="AH994" s="2">
        <v>-0.160365805029869</v>
      </c>
      <c r="AI994" s="2">
        <v>2.1736871451139499E-2</v>
      </c>
      <c r="AJ994" s="2">
        <v>0.26835853918579899</v>
      </c>
      <c r="AK994" s="2">
        <v>0.46798839372307</v>
      </c>
      <c r="AL994" s="2">
        <v>9.9221849062230402E-2</v>
      </c>
      <c r="AM994" s="2">
        <v>0.57559174299240101</v>
      </c>
      <c r="AN994" s="2">
        <v>0.54698848724365201</v>
      </c>
      <c r="AO994" s="2">
        <v>0.32523080706596402</v>
      </c>
      <c r="AP994" s="2">
        <v>0.18306913971900901</v>
      </c>
    </row>
    <row r="995" spans="1:42" x14ac:dyDescent="0.3">
      <c r="A995" t="s">
        <v>346</v>
      </c>
      <c r="B995" s="3">
        <v>2018</v>
      </c>
      <c r="C995" s="3">
        <v>9.3073329999999999</v>
      </c>
      <c r="D995" s="3">
        <v>2101.5500000000002</v>
      </c>
      <c r="E995" t="s">
        <v>347</v>
      </c>
      <c r="G995" s="3">
        <v>30593.001953125</v>
      </c>
      <c r="H995" s="3">
        <v>37724.484375</v>
      </c>
      <c r="I995" s="3">
        <v>30203.900390625</v>
      </c>
      <c r="J995" s="3">
        <v>34485.3828125</v>
      </c>
      <c r="K995" s="3">
        <v>482076.34375</v>
      </c>
      <c r="L995" s="3">
        <v>3.4595555625855901E-3</v>
      </c>
      <c r="M995" s="3">
        <v>0.209215268492699</v>
      </c>
      <c r="N995" s="3">
        <v>0.22030664980411499</v>
      </c>
      <c r="O995" s="3">
        <v>32380.625</v>
      </c>
      <c r="P995" s="3">
        <v>43133.19140625</v>
      </c>
      <c r="Q995" s="3">
        <v>0.84835928678512595</v>
      </c>
      <c r="R995" s="3">
        <v>0.43632623553276101</v>
      </c>
      <c r="S995" s="3">
        <v>0.222434252500534</v>
      </c>
      <c r="T995" s="3">
        <v>0.25708600878715498</v>
      </c>
      <c r="U995" s="3">
        <v>0.22516788542270699</v>
      </c>
      <c r="W995" t="s">
        <v>50</v>
      </c>
      <c r="X995" t="s">
        <v>51</v>
      </c>
      <c r="Y995" t="s">
        <v>52</v>
      </c>
      <c r="Z995" t="s">
        <v>53</v>
      </c>
      <c r="AA995" t="s">
        <v>61</v>
      </c>
      <c r="AC995" s="2">
        <v>0.37146604613886602</v>
      </c>
      <c r="AD995" s="2">
        <v>0.65123450756072998</v>
      </c>
      <c r="AE995" s="2">
        <v>0.20679728686809501</v>
      </c>
      <c r="AF995" s="2">
        <v>0.23589500784874001</v>
      </c>
      <c r="AG995" s="2">
        <v>5.56336455047131E-2</v>
      </c>
      <c r="AH995" s="2">
        <v>-0.17151820659637501</v>
      </c>
      <c r="AI995" s="2">
        <v>2.1957747638225601E-2</v>
      </c>
      <c r="AJ995" s="2">
        <v>0.26420859169141803</v>
      </c>
      <c r="AK995" s="2">
        <v>0.40573687653026402</v>
      </c>
      <c r="AL995" s="2">
        <v>0.107107971281693</v>
      </c>
      <c r="AM995" s="2">
        <v>0.58182340860366799</v>
      </c>
      <c r="AN995" s="2">
        <v>0.54442352056503296</v>
      </c>
      <c r="AO995" s="2">
        <v>0.26861214637756398</v>
      </c>
      <c r="AP995" s="2">
        <v>0.14959417283535001</v>
      </c>
    </row>
    <row r="996" spans="1:42" x14ac:dyDescent="0.3">
      <c r="A996" t="s">
        <v>346</v>
      </c>
      <c r="B996" s="3">
        <v>2019</v>
      </c>
      <c r="C996" s="3">
        <v>9.5299659999999999</v>
      </c>
      <c r="D996" s="3">
        <v>2105.15</v>
      </c>
      <c r="E996" t="s">
        <v>347</v>
      </c>
      <c r="G996" s="3">
        <v>33754.73046875</v>
      </c>
      <c r="H996" s="3">
        <v>43250.7890625</v>
      </c>
      <c r="I996" s="3">
        <v>35224.83984375</v>
      </c>
      <c r="J996" s="3">
        <v>40611.66015625</v>
      </c>
      <c r="K996" s="3">
        <v>596777.3125</v>
      </c>
      <c r="L996" s="3">
        <v>4.4563240371644497E-3</v>
      </c>
      <c r="M996" s="3">
        <v>0.20987521111965199</v>
      </c>
      <c r="N996" s="3">
        <v>0.21508248150348699</v>
      </c>
      <c r="O996" s="3">
        <v>33806.0859375</v>
      </c>
      <c r="P996" s="3">
        <v>45597.45703125</v>
      </c>
      <c r="Q996" s="3">
        <v>0.90142893791198697</v>
      </c>
      <c r="R996" s="3">
        <v>0.43632623553276101</v>
      </c>
      <c r="S996" s="3">
        <v>0.21492099761962899</v>
      </c>
      <c r="T996" s="3">
        <v>0.23565229773521401</v>
      </c>
      <c r="U996" s="3">
        <v>0.204394832253456</v>
      </c>
      <c r="W996" t="s">
        <v>50</v>
      </c>
      <c r="X996" t="s">
        <v>54</v>
      </c>
      <c r="Y996" t="s">
        <v>52</v>
      </c>
      <c r="Z996" t="s">
        <v>53</v>
      </c>
      <c r="AA996" t="s">
        <v>53</v>
      </c>
      <c r="AC996" s="2">
        <v>0.36830998793751202</v>
      </c>
      <c r="AD996" s="2">
        <v>0.58135920763015803</v>
      </c>
      <c r="AE996" s="2">
        <v>0.23382589221000699</v>
      </c>
      <c r="AF996" s="2">
        <v>0.24979938566684701</v>
      </c>
      <c r="AG996" s="2">
        <v>5.7773739099502598E-2</v>
      </c>
      <c r="AH996" s="2">
        <v>-0.15576046705245999</v>
      </c>
      <c r="AI996" s="2">
        <v>3.3002231270074803E-2</v>
      </c>
      <c r="AJ996" s="2">
        <v>0.26805152389391002</v>
      </c>
      <c r="AK996" s="2">
        <v>0.30934384170113499</v>
      </c>
      <c r="AL996" s="2">
        <v>9.1270103647340395E-2</v>
      </c>
      <c r="AM996" s="2">
        <v>0.52996784448623702</v>
      </c>
      <c r="AN996" s="2">
        <v>0.53887164592742898</v>
      </c>
      <c r="AO996" s="2">
        <v>0.19629976153373699</v>
      </c>
      <c r="AP996" s="2">
        <v>0.119423031806946</v>
      </c>
    </row>
    <row r="997" spans="1:42" x14ac:dyDescent="0.3">
      <c r="A997" t="s">
        <v>346</v>
      </c>
      <c r="B997" s="3">
        <v>2020</v>
      </c>
      <c r="C997" s="3">
        <v>9.7493099999999995</v>
      </c>
      <c r="D997" s="3">
        <v>2040.86</v>
      </c>
      <c r="E997" t="s">
        <v>347</v>
      </c>
      <c r="G997" s="3">
        <v>34725.58984375</v>
      </c>
      <c r="H997" s="3">
        <v>45178.94921875</v>
      </c>
      <c r="I997" s="3">
        <v>36838.62109375</v>
      </c>
      <c r="J997" s="3">
        <v>41166.98046875</v>
      </c>
      <c r="K997" s="3">
        <v>692469.5</v>
      </c>
      <c r="L997" s="3">
        <v>4.9034128896892097E-3</v>
      </c>
      <c r="M997" s="3">
        <v>0.20013199746608701</v>
      </c>
      <c r="N997" s="3">
        <v>0.21070125699043299</v>
      </c>
      <c r="O997" s="3">
        <v>34870.55078125</v>
      </c>
      <c r="P997" s="3">
        <v>46020.65625</v>
      </c>
      <c r="Q997" s="3">
        <v>0.94552105665206898</v>
      </c>
      <c r="R997" s="3">
        <v>0.43632623553276101</v>
      </c>
      <c r="S997" s="3">
        <v>0.20885653793811801</v>
      </c>
      <c r="T997" s="3">
        <v>0.22079989314079301</v>
      </c>
      <c r="U997" s="3">
        <v>0.19758465886116</v>
      </c>
      <c r="W997" t="s">
        <v>50</v>
      </c>
      <c r="X997" t="s">
        <v>54</v>
      </c>
      <c r="Y997" t="s">
        <v>52</v>
      </c>
      <c r="Z997" t="s">
        <v>53</v>
      </c>
      <c r="AA997" t="s">
        <v>53</v>
      </c>
      <c r="AC997" s="2">
        <v>0.36688994972538602</v>
      </c>
      <c r="AD997" s="2">
        <v>0.58684080839157104</v>
      </c>
      <c r="AE997" s="2">
        <v>0.25392583012580899</v>
      </c>
      <c r="AF997" s="2">
        <v>0.25668931007385298</v>
      </c>
      <c r="AG997" s="2">
        <v>6.87062442302704E-2</v>
      </c>
      <c r="AH997" s="2">
        <v>-0.150765255093575</v>
      </c>
      <c r="AI997" s="2">
        <v>-1.5396929346025E-2</v>
      </c>
      <c r="AJ997" s="2">
        <v>0.26126366775068399</v>
      </c>
      <c r="AK997" s="2">
        <v>0.26047515433597102</v>
      </c>
      <c r="AL997" s="2">
        <v>8.9043842375270105E-2</v>
      </c>
      <c r="AM997" s="2">
        <v>0.49821072816848799</v>
      </c>
      <c r="AN997" s="2">
        <v>0.50357419252395597</v>
      </c>
      <c r="AO997" s="2">
        <v>0.156280517578125</v>
      </c>
      <c r="AP997" s="2">
        <v>0.111034132540226</v>
      </c>
    </row>
    <row r="998" spans="1:42" x14ac:dyDescent="0.3">
      <c r="A998" t="s">
        <v>348</v>
      </c>
      <c r="B998" s="3">
        <v>2015</v>
      </c>
      <c r="C998" s="3">
        <v>6.21577</v>
      </c>
      <c r="D998" s="3">
        <v>2163.04</v>
      </c>
      <c r="E998" t="s">
        <v>349</v>
      </c>
      <c r="G998" s="3">
        <v>48362.51953125</v>
      </c>
      <c r="H998" s="3">
        <v>80687.171875</v>
      </c>
      <c r="I998" s="3">
        <v>115576.9765625</v>
      </c>
      <c r="J998" s="3">
        <v>113037.21875</v>
      </c>
      <c r="K998" s="3">
        <v>602642.375</v>
      </c>
      <c r="L998" s="3"/>
      <c r="M998" s="3"/>
      <c r="N998" s="3"/>
      <c r="O998" s="3">
        <v>54861.17578125</v>
      </c>
      <c r="P998" s="3">
        <v>85259.6640625</v>
      </c>
      <c r="Q998" s="3"/>
      <c r="R998" s="3"/>
      <c r="S998" s="3">
        <v>0.15424993634223899</v>
      </c>
      <c r="T998" s="3">
        <v>0.311927199363709</v>
      </c>
      <c r="U998" s="3">
        <v>0.31893569231033297</v>
      </c>
      <c r="W998" t="s">
        <v>54</v>
      </c>
      <c r="X998" t="s">
        <v>51</v>
      </c>
      <c r="Y998" t="s">
        <v>52</v>
      </c>
      <c r="Z998" t="s">
        <v>53</v>
      </c>
      <c r="AC998" s="2"/>
      <c r="AD998" s="2">
        <v>6.9234840571880299E-2</v>
      </c>
      <c r="AE998" s="2">
        <v>0.28596469759941101</v>
      </c>
      <c r="AF998" s="2">
        <v>0.35861113667488098</v>
      </c>
      <c r="AG998" s="2">
        <v>0.194889426231384</v>
      </c>
      <c r="AH998" s="2">
        <v>-9.4223864376544994E-2</v>
      </c>
      <c r="AI998" s="2">
        <v>0.18552370369434401</v>
      </c>
      <c r="AJ998" s="2">
        <v>0.53910586674244998</v>
      </c>
      <c r="AK998" s="2">
        <v>0.54783600225201801</v>
      </c>
      <c r="AL998" s="2">
        <v>7.9948174252674295E-2</v>
      </c>
      <c r="AM998" s="2">
        <v>0.45490810275077798</v>
      </c>
      <c r="AN998" s="2">
        <v>0.54708230495452903</v>
      </c>
      <c r="AO998" s="2">
        <v>0.25069692730903598</v>
      </c>
      <c r="AP998" s="2"/>
    </row>
    <row r="999" spans="1:42" x14ac:dyDescent="0.3">
      <c r="A999" t="s">
        <v>348</v>
      </c>
      <c r="B999" s="3">
        <v>2016</v>
      </c>
      <c r="C999" s="3">
        <v>6.3600409999999998</v>
      </c>
      <c r="D999" s="3">
        <v>2172</v>
      </c>
      <c r="E999" t="s">
        <v>349</v>
      </c>
      <c r="G999" s="3">
        <v>48019.26171875</v>
      </c>
      <c r="H999" s="3">
        <v>79908.625</v>
      </c>
      <c r="I999" s="3">
        <v>115189.1171875</v>
      </c>
      <c r="J999" s="3">
        <v>112828.5234375</v>
      </c>
      <c r="K999" s="3">
        <v>641021.5625</v>
      </c>
      <c r="L999" s="3"/>
      <c r="M999" s="3"/>
      <c r="N999" s="3"/>
      <c r="O999" s="3">
        <v>51487.52734375</v>
      </c>
      <c r="P999" s="3">
        <v>83893.8046875</v>
      </c>
      <c r="Q999" s="3"/>
      <c r="R999" s="3"/>
      <c r="S999" s="3">
        <v>0.14771862328052501</v>
      </c>
      <c r="T999" s="3">
        <v>0.31400039792060902</v>
      </c>
      <c r="U999" s="3">
        <v>0.32056990265846302</v>
      </c>
      <c r="W999" t="s">
        <v>54</v>
      </c>
      <c r="X999" t="s">
        <v>51</v>
      </c>
      <c r="Y999" t="s">
        <v>52</v>
      </c>
      <c r="Z999" t="s">
        <v>53</v>
      </c>
      <c r="AC999" s="2"/>
      <c r="AD999" s="2">
        <v>6.19568973779678E-2</v>
      </c>
      <c r="AE999" s="2">
        <v>0.282635688781738</v>
      </c>
      <c r="AF999" s="2">
        <v>0.36363816261291498</v>
      </c>
      <c r="AG999" s="2">
        <v>0.148886859416962</v>
      </c>
      <c r="AH999" s="2">
        <v>-7.7890269458293901E-2</v>
      </c>
      <c r="AI999" s="2">
        <v>0.22077263891696899</v>
      </c>
      <c r="AJ999" s="2">
        <v>0.54731310877960204</v>
      </c>
      <c r="AK999" s="2">
        <v>0.56438886953693601</v>
      </c>
      <c r="AL999" s="2">
        <v>7.9635466731851304E-2</v>
      </c>
      <c r="AM999" s="2">
        <v>0.462542444467545</v>
      </c>
      <c r="AN999" s="2">
        <v>0.532215416431427</v>
      </c>
      <c r="AO999" s="2">
        <v>0.25422993302345298</v>
      </c>
      <c r="AP999" s="2"/>
    </row>
    <row r="1000" spans="1:42" x14ac:dyDescent="0.3">
      <c r="A1000" t="s">
        <v>348</v>
      </c>
      <c r="B1000" s="3">
        <v>2017</v>
      </c>
      <c r="C1000" s="3">
        <v>6.5070610000000002</v>
      </c>
      <c r="D1000" s="3">
        <v>2179.62</v>
      </c>
      <c r="E1000" t="s">
        <v>349</v>
      </c>
      <c r="G1000" s="3">
        <v>53038.1640625</v>
      </c>
      <c r="H1000" s="3">
        <v>86598.5234375</v>
      </c>
      <c r="I1000" s="3">
        <v>124451.5546875</v>
      </c>
      <c r="J1000" s="3">
        <v>121167.03125</v>
      </c>
      <c r="K1000" s="3">
        <v>680632.6875</v>
      </c>
      <c r="L1000" s="3"/>
      <c r="M1000" s="3"/>
      <c r="N1000" s="3"/>
      <c r="O1000" s="3">
        <v>55966.21484375</v>
      </c>
      <c r="P1000" s="3">
        <v>89620.5234375</v>
      </c>
      <c r="Q1000" s="3"/>
      <c r="R1000" s="3"/>
      <c r="S1000" s="3">
        <v>0.143131479620934</v>
      </c>
      <c r="T1000" s="3">
        <v>0.30474740266799899</v>
      </c>
      <c r="U1000" s="3">
        <v>0.31300830841064498</v>
      </c>
      <c r="W1000" t="s">
        <v>54</v>
      </c>
      <c r="X1000" t="s">
        <v>51</v>
      </c>
      <c r="Y1000" t="s">
        <v>52</v>
      </c>
      <c r="Z1000" t="s">
        <v>53</v>
      </c>
      <c r="AC1000" s="2"/>
      <c r="AD1000" s="2">
        <v>6.3845582306384999E-2</v>
      </c>
      <c r="AE1000" s="2">
        <v>0.27697595953941301</v>
      </c>
      <c r="AF1000" s="2">
        <v>0.37388211488723799</v>
      </c>
      <c r="AG1000" s="2">
        <v>0.140060380101204</v>
      </c>
      <c r="AH1000" s="2">
        <v>-7.3773778975009904E-2</v>
      </c>
      <c r="AI1000" s="2">
        <v>0.21900974214076999</v>
      </c>
      <c r="AJ1000" s="2">
        <v>0.539390924703537</v>
      </c>
      <c r="AK1000" s="2">
        <v>0.560162170949973</v>
      </c>
      <c r="AL1000" s="2">
        <v>7.5464658576422303E-2</v>
      </c>
      <c r="AM1000" s="2">
        <v>0.47923803329467801</v>
      </c>
      <c r="AN1000" s="2">
        <v>0.54856771230697599</v>
      </c>
      <c r="AO1000" s="2">
        <v>0.25135493278503401</v>
      </c>
      <c r="AP1000" s="2"/>
    </row>
    <row r="1001" spans="1:42" x14ac:dyDescent="0.3">
      <c r="A1001" t="s">
        <v>348</v>
      </c>
      <c r="B1001" s="3">
        <v>2018</v>
      </c>
      <c r="C1001" s="3">
        <v>6.6555239999999998</v>
      </c>
      <c r="D1001" s="3">
        <v>2185.98</v>
      </c>
      <c r="E1001" t="s">
        <v>349</v>
      </c>
      <c r="G1001" s="3">
        <v>57945.28125</v>
      </c>
      <c r="H1001" s="3">
        <v>93724.1875</v>
      </c>
      <c r="I1001" s="3">
        <v>134681.625</v>
      </c>
      <c r="J1001" s="3">
        <v>130535.015625</v>
      </c>
      <c r="K1001" s="3">
        <v>722856.375</v>
      </c>
      <c r="L1001" s="3"/>
      <c r="M1001" s="3"/>
      <c r="N1001" s="3"/>
      <c r="O1001" s="3">
        <v>59704.54296875</v>
      </c>
      <c r="P1001" s="3">
        <v>95184.25</v>
      </c>
      <c r="Q1001" s="3"/>
      <c r="R1001" s="3"/>
      <c r="S1001" s="3">
        <v>0.14145366847515101</v>
      </c>
      <c r="T1001" s="3">
        <v>0.30267995595932001</v>
      </c>
      <c r="U1001" s="3">
        <v>0.31229496002197299</v>
      </c>
      <c r="W1001" t="s">
        <v>54</v>
      </c>
      <c r="X1001" t="s">
        <v>51</v>
      </c>
      <c r="Y1001" t="s">
        <v>52</v>
      </c>
      <c r="Z1001" t="s">
        <v>53</v>
      </c>
      <c r="AC1001" s="2"/>
      <c r="AD1001" s="2">
        <v>6.2825947999954196E-2</v>
      </c>
      <c r="AE1001" s="2">
        <v>0.27409431338310197</v>
      </c>
      <c r="AF1001" s="2">
        <v>0.38108009099960299</v>
      </c>
      <c r="AG1001" s="2">
        <v>0.13439694046974199</v>
      </c>
      <c r="AH1001" s="2">
        <v>-7.1446776390075697E-2</v>
      </c>
      <c r="AI1001" s="2">
        <v>0.219049528241158</v>
      </c>
      <c r="AJ1001" s="2">
        <v>0.551478565763312</v>
      </c>
      <c r="AK1001" s="2">
        <v>0.56379198023108801</v>
      </c>
      <c r="AL1001" s="2">
        <v>7.3855797657302394E-2</v>
      </c>
      <c r="AM1001" s="2">
        <v>0.49827179312705999</v>
      </c>
      <c r="AN1001" s="2">
        <v>0.56550633907318104</v>
      </c>
      <c r="AO1001" s="2">
        <v>0.254942387342453</v>
      </c>
      <c r="AP1001" s="2"/>
    </row>
    <row r="1002" spans="1:42" x14ac:dyDescent="0.3">
      <c r="A1002" t="s">
        <v>348</v>
      </c>
      <c r="B1002" s="3">
        <v>2019</v>
      </c>
      <c r="C1002" s="3">
        <v>6.8039440000000004</v>
      </c>
      <c r="D1002" s="3">
        <v>2185.41</v>
      </c>
      <c r="E1002" t="s">
        <v>349</v>
      </c>
      <c r="G1002" s="3">
        <v>60708.89453125</v>
      </c>
      <c r="H1002" s="3">
        <v>98823.2578125</v>
      </c>
      <c r="I1002" s="3">
        <v>142160.890625</v>
      </c>
      <c r="J1002" s="3">
        <v>137343.046875</v>
      </c>
      <c r="K1002" s="3">
        <v>770114.0625</v>
      </c>
      <c r="L1002" s="3"/>
      <c r="M1002" s="3"/>
      <c r="N1002" s="3"/>
      <c r="O1002" s="3">
        <v>62849.734375</v>
      </c>
      <c r="P1002" s="3">
        <v>101072.75</v>
      </c>
      <c r="Q1002" s="3"/>
      <c r="R1002" s="3"/>
      <c r="S1002" s="3">
        <v>0.14835588634014099</v>
      </c>
      <c r="T1002" s="3">
        <v>0.31818073987960799</v>
      </c>
      <c r="U1002" s="3">
        <v>0.32934215664863598</v>
      </c>
      <c r="W1002" t="s">
        <v>54</v>
      </c>
      <c r="X1002" t="s">
        <v>54</v>
      </c>
      <c r="Y1002" t="s">
        <v>52</v>
      </c>
      <c r="Z1002" t="s">
        <v>53</v>
      </c>
      <c r="AC1002" s="2"/>
      <c r="AD1002" s="2">
        <v>6.2499571591615698E-2</v>
      </c>
      <c r="AE1002" s="2">
        <v>0.27751216292381298</v>
      </c>
      <c r="AF1002" s="2">
        <v>0.37952423095703097</v>
      </c>
      <c r="AG1002" s="2">
        <v>0.133345156908035</v>
      </c>
      <c r="AH1002" s="2">
        <v>-7.2491705417633098E-2</v>
      </c>
      <c r="AI1002" s="2">
        <v>0.219610616564751</v>
      </c>
      <c r="AJ1002" s="2">
        <v>0.57392931068316899</v>
      </c>
      <c r="AK1002" s="2">
        <v>0.58867922180918997</v>
      </c>
      <c r="AL1002" s="2">
        <v>7.8272994583931693E-2</v>
      </c>
      <c r="AM1002" s="2">
        <v>0.52994704246520996</v>
      </c>
      <c r="AN1002" s="2">
        <v>0.58755993843078602</v>
      </c>
      <c r="AO1002" s="2">
        <v>0.26568350195884699</v>
      </c>
      <c r="AP1002" s="2"/>
    </row>
    <row r="1003" spans="1:42" x14ac:dyDescent="0.3">
      <c r="A1003" t="s">
        <v>348</v>
      </c>
      <c r="B1003" s="3">
        <v>2020</v>
      </c>
      <c r="C1003" s="3">
        <v>6.9499120000000003</v>
      </c>
      <c r="D1003" s="3">
        <v>2136.98</v>
      </c>
      <c r="E1003" t="s">
        <v>349</v>
      </c>
      <c r="G1003" s="3">
        <v>65171.27734375</v>
      </c>
      <c r="H1003" s="3">
        <v>105139.359375</v>
      </c>
      <c r="I1003" s="3">
        <v>151142.90625</v>
      </c>
      <c r="J1003" s="3">
        <v>144457.984375</v>
      </c>
      <c r="K1003" s="3">
        <v>818324.125</v>
      </c>
      <c r="L1003" s="3"/>
      <c r="M1003" s="3"/>
      <c r="N1003" s="3"/>
      <c r="O1003" s="3">
        <v>66892.1796875</v>
      </c>
      <c r="P1003" s="3">
        <v>107109.640625</v>
      </c>
      <c r="Q1003" s="3"/>
      <c r="R1003" s="3"/>
      <c r="S1003" s="3">
        <v>0.14068861305713701</v>
      </c>
      <c r="T1003" s="3">
        <v>0.303143560886383</v>
      </c>
      <c r="U1003" s="3">
        <v>0.31717181205749501</v>
      </c>
      <c r="W1003" t="s">
        <v>54</v>
      </c>
      <c r="X1003" t="s">
        <v>54</v>
      </c>
      <c r="Y1003" t="s">
        <v>52</v>
      </c>
      <c r="Z1003" t="s">
        <v>53</v>
      </c>
      <c r="AC1003" s="2"/>
      <c r="AD1003" s="2">
        <v>6.3705176115035997E-2</v>
      </c>
      <c r="AE1003" s="2">
        <v>0.27667617797851601</v>
      </c>
      <c r="AF1003" s="2">
        <v>0.38743829727172902</v>
      </c>
      <c r="AG1003" s="2">
        <v>0.124951362609863</v>
      </c>
      <c r="AH1003" s="2">
        <v>-7.1994327008724199E-2</v>
      </c>
      <c r="AI1003" s="2">
        <v>0.21922327578067799</v>
      </c>
      <c r="AJ1003" s="2">
        <v>0.54746377224395804</v>
      </c>
      <c r="AK1003" s="2">
        <v>0.56803984144853803</v>
      </c>
      <c r="AL1003" s="2">
        <v>7.3803936951795601E-2</v>
      </c>
      <c r="AM1003" s="2">
        <v>0.54442936182022095</v>
      </c>
      <c r="AN1003" s="2">
        <v>0.56977659463882502</v>
      </c>
      <c r="AO1003" s="2">
        <v>0.25427398085594199</v>
      </c>
      <c r="AP1003" s="2"/>
    </row>
    <row r="1004" spans="1:42" x14ac:dyDescent="0.3">
      <c r="A1004" t="s">
        <v>350</v>
      </c>
      <c r="B1004" s="3">
        <v>2015</v>
      </c>
      <c r="C1004" s="3">
        <v>1.4291879999999999</v>
      </c>
      <c r="D1004" s="3">
        <v>1607.18</v>
      </c>
      <c r="E1004" t="s">
        <v>351</v>
      </c>
      <c r="G1004" s="3">
        <v>28965.154296875</v>
      </c>
      <c r="H1004" s="3">
        <v>40982.7890625</v>
      </c>
      <c r="I1004" s="3">
        <v>44990.36328125</v>
      </c>
      <c r="J1004" s="3">
        <v>47044.23046875</v>
      </c>
      <c r="K1004" s="3">
        <v>139875.328125</v>
      </c>
      <c r="L1004" s="3">
        <v>1.8267383566126199E-3</v>
      </c>
      <c r="M1004" s="3">
        <v>0.89633560180664096</v>
      </c>
      <c r="N1004" s="3">
        <v>0.75331753492355402</v>
      </c>
      <c r="O1004" s="3">
        <v>32142.6796875</v>
      </c>
      <c r="P1004" s="3">
        <v>47525.73046875</v>
      </c>
      <c r="Q1004" s="3">
        <v>1.4012476205825799</v>
      </c>
      <c r="R1004" s="3">
        <v>0.33819600939750699</v>
      </c>
      <c r="S1004" s="3">
        <v>0.60659795999527</v>
      </c>
      <c r="T1004" s="3">
        <v>0.59659767150878895</v>
      </c>
      <c r="U1004" s="3">
        <v>0.57055127620696999</v>
      </c>
      <c r="W1004" t="s">
        <v>50</v>
      </c>
      <c r="X1004" t="s">
        <v>51</v>
      </c>
      <c r="Y1004" t="s">
        <v>52</v>
      </c>
      <c r="Z1004" t="s">
        <v>53</v>
      </c>
      <c r="AA1004" t="s">
        <v>53</v>
      </c>
      <c r="AC1004" s="2">
        <v>0.59479955349664404</v>
      </c>
      <c r="AD1004" s="2">
        <v>0.48970770835876498</v>
      </c>
      <c r="AE1004" s="2">
        <v>0.25545391440391502</v>
      </c>
      <c r="AF1004" s="2">
        <v>0.12599278986453999</v>
      </c>
      <c r="AG1004" s="2">
        <v>0.53571265935897805</v>
      </c>
      <c r="AH1004" s="2">
        <v>-0.40686708688736001</v>
      </c>
      <c r="AI1004" s="2">
        <v>-1.35537381484856E-16</v>
      </c>
      <c r="AJ1004" s="2">
        <v>0.61275391947304403</v>
      </c>
      <c r="AK1004" s="2">
        <v>0.57249476035278002</v>
      </c>
      <c r="AL1004" s="2">
        <v>0.58267091610077004</v>
      </c>
      <c r="AM1004" s="2">
        <v>0.50644642114639304</v>
      </c>
      <c r="AN1004" s="2">
        <v>0.541914463043213</v>
      </c>
      <c r="AO1004" s="2">
        <v>0.38924822211265597</v>
      </c>
      <c r="AP1004" s="2">
        <v>1.2992000579834</v>
      </c>
    </row>
    <row r="1005" spans="1:42" x14ac:dyDescent="0.3">
      <c r="A1005" t="s">
        <v>350</v>
      </c>
      <c r="B1005" s="3">
        <v>2016</v>
      </c>
      <c r="C1005" s="3">
        <v>1.4370259999999999</v>
      </c>
      <c r="D1005" s="3">
        <v>1639.36</v>
      </c>
      <c r="E1005" t="s">
        <v>351</v>
      </c>
      <c r="G1005" s="3">
        <v>28800.2578125</v>
      </c>
      <c r="H1005" s="3">
        <v>41833.5859375</v>
      </c>
      <c r="I1005" s="3">
        <v>41206.12109375</v>
      </c>
      <c r="J1005" s="3">
        <v>42087.92578125</v>
      </c>
      <c r="K1005" s="3">
        <v>149690.46875</v>
      </c>
      <c r="L1005" s="3">
        <v>1.89658591989428E-3</v>
      </c>
      <c r="M1005" s="3">
        <v>0.77217864990234397</v>
      </c>
      <c r="N1005" s="3">
        <v>0.74203979969024703</v>
      </c>
      <c r="O1005" s="3">
        <v>32342.611328125</v>
      </c>
      <c r="P1005" s="3">
        <v>49552.296875</v>
      </c>
      <c r="Q1005" s="3">
        <v>1.20652079582214</v>
      </c>
      <c r="R1005" s="3">
        <v>0.33819600939750699</v>
      </c>
      <c r="S1005" s="3">
        <v>0.57985186576843295</v>
      </c>
      <c r="T1005" s="3">
        <v>0.57332104444503795</v>
      </c>
      <c r="U1005" s="3">
        <v>0.56130903959274303</v>
      </c>
      <c r="W1005" t="s">
        <v>50</v>
      </c>
      <c r="X1005" t="s">
        <v>51</v>
      </c>
      <c r="Y1005" t="s">
        <v>52</v>
      </c>
      <c r="Z1005" t="s">
        <v>53</v>
      </c>
      <c r="AA1005" t="s">
        <v>53</v>
      </c>
      <c r="AC1005" s="2">
        <v>0.57787880537915304</v>
      </c>
      <c r="AD1005" s="2">
        <v>0.54222446680069003</v>
      </c>
      <c r="AE1005" s="2">
        <v>0.30966907739639299</v>
      </c>
      <c r="AF1005" s="2">
        <v>0.142063423991203</v>
      </c>
      <c r="AG1005" s="2">
        <v>0.45200121402740501</v>
      </c>
      <c r="AH1005" s="2">
        <v>-0.44595819711685197</v>
      </c>
      <c r="AI1005" s="2">
        <v>-1.5399286621187799E-16</v>
      </c>
      <c r="AJ1005" s="2">
        <v>0.58860172721164195</v>
      </c>
      <c r="AK1005" s="2">
        <v>0.55888963244841305</v>
      </c>
      <c r="AL1005" s="2">
        <v>0.54645549477428601</v>
      </c>
      <c r="AM1005" s="2">
        <v>0.49523621797561601</v>
      </c>
      <c r="AN1005" s="2">
        <v>0.52111327648162797</v>
      </c>
      <c r="AO1005" s="2">
        <v>0.37262344360351601</v>
      </c>
      <c r="AP1005" s="2">
        <v>1.06703758239746</v>
      </c>
    </row>
    <row r="1006" spans="1:42" x14ac:dyDescent="0.3">
      <c r="A1006" t="s">
        <v>350</v>
      </c>
      <c r="B1006" s="3">
        <v>2017</v>
      </c>
      <c r="C1006" s="3">
        <v>1.4452609999999999</v>
      </c>
      <c r="D1006" s="3">
        <v>1648.8</v>
      </c>
      <c r="E1006" t="s">
        <v>351</v>
      </c>
      <c r="G1006" s="3">
        <v>30293.92578125</v>
      </c>
      <c r="H1006" s="3">
        <v>39184.59375</v>
      </c>
      <c r="I1006" s="3">
        <v>41029.234375</v>
      </c>
      <c r="J1006" s="3">
        <v>42138.796875</v>
      </c>
      <c r="K1006" s="3">
        <v>167431.296875</v>
      </c>
      <c r="L1006" s="3">
        <v>2.0327705424279001E-3</v>
      </c>
      <c r="M1006" s="3">
        <v>0.73300141096115101</v>
      </c>
      <c r="N1006" s="3">
        <v>0.65640568733215299</v>
      </c>
      <c r="O1006" s="3">
        <v>32008.509765625</v>
      </c>
      <c r="P1006" s="3">
        <v>43351.9140625</v>
      </c>
      <c r="Q1006" s="3">
        <v>1.1203131675720199</v>
      </c>
      <c r="R1006" s="3">
        <v>0.33819600939750699</v>
      </c>
      <c r="S1006" s="3">
        <v>0.578013896942139</v>
      </c>
      <c r="T1006" s="3">
        <v>0.58123838901519798</v>
      </c>
      <c r="U1006" s="3">
        <v>0.56593370437622104</v>
      </c>
      <c r="W1006" t="s">
        <v>51</v>
      </c>
      <c r="X1006" t="s">
        <v>51</v>
      </c>
      <c r="Y1006" t="s">
        <v>52</v>
      </c>
      <c r="Z1006" t="s">
        <v>53</v>
      </c>
      <c r="AA1006" t="s">
        <v>53</v>
      </c>
      <c r="AC1006" s="2">
        <v>0.54733520560862503</v>
      </c>
      <c r="AD1006" s="2">
        <v>0.57510596513748202</v>
      </c>
      <c r="AE1006" s="2">
        <v>0.210985377430916</v>
      </c>
      <c r="AF1006" s="2">
        <v>0.143802240490913</v>
      </c>
      <c r="AG1006" s="2">
        <v>0.48651918768882801</v>
      </c>
      <c r="AH1006" s="2">
        <v>-0.41641274094581598</v>
      </c>
      <c r="AI1006" s="2">
        <v>1.52550091170018E-16</v>
      </c>
      <c r="AJ1006" s="2">
        <v>0.58096650434739705</v>
      </c>
      <c r="AK1006" s="2">
        <v>0.59222544586257897</v>
      </c>
      <c r="AL1006" s="2">
        <v>0.56620554837132797</v>
      </c>
      <c r="AM1006" s="2">
        <v>0.51409280300140403</v>
      </c>
      <c r="AN1006" s="2">
        <v>0.53954195976257302</v>
      </c>
      <c r="AO1006" s="2">
        <v>0.40033480525016801</v>
      </c>
      <c r="AP1006" s="2">
        <v>0.96868413686752297</v>
      </c>
    </row>
    <row r="1007" spans="1:42" x14ac:dyDescent="0.3">
      <c r="A1007" t="s">
        <v>350</v>
      </c>
      <c r="B1007" s="3">
        <v>2018</v>
      </c>
      <c r="C1007" s="3">
        <v>1.470518</v>
      </c>
      <c r="D1007" s="3">
        <v>1627.3</v>
      </c>
      <c r="E1007" t="s">
        <v>351</v>
      </c>
      <c r="G1007" s="3">
        <v>29828.05078125</v>
      </c>
      <c r="H1007" s="3">
        <v>36848.015625</v>
      </c>
      <c r="I1007" s="3">
        <v>40885.62890625</v>
      </c>
      <c r="J1007" s="3">
        <v>41286.1875</v>
      </c>
      <c r="K1007" s="3">
        <v>180175.890625</v>
      </c>
      <c r="L1007" s="3">
        <v>2.07900046370924E-3</v>
      </c>
      <c r="M1007" s="3">
        <v>0.70076769590377797</v>
      </c>
      <c r="N1007" s="3">
        <v>0.60204571485519398</v>
      </c>
      <c r="O1007" s="3">
        <v>31998.888671875</v>
      </c>
      <c r="P1007" s="3">
        <v>40822.84375</v>
      </c>
      <c r="Q1007" s="3">
        <v>1.1023191213607799</v>
      </c>
      <c r="R1007" s="3">
        <v>0.33819600939750699</v>
      </c>
      <c r="S1007" s="3">
        <v>0.58284306526184104</v>
      </c>
      <c r="T1007" s="3">
        <v>0.58428621292114302</v>
      </c>
      <c r="U1007" s="3">
        <v>0.57861751317977905</v>
      </c>
      <c r="W1007" t="s">
        <v>50</v>
      </c>
      <c r="X1007" t="s">
        <v>51</v>
      </c>
      <c r="Y1007" t="s">
        <v>52</v>
      </c>
      <c r="Z1007" t="s">
        <v>53</v>
      </c>
      <c r="AA1007" t="s">
        <v>53</v>
      </c>
      <c r="AC1007" s="2">
        <v>0.55287249069120104</v>
      </c>
      <c r="AD1007" s="2">
        <v>0.58726233243942305</v>
      </c>
      <c r="AE1007" s="2">
        <v>0.17003183066844901</v>
      </c>
      <c r="AF1007" s="2">
        <v>0.135208129882813</v>
      </c>
      <c r="AG1007" s="2">
        <v>0.52771604061126698</v>
      </c>
      <c r="AH1007" s="2">
        <v>-0.42021831870079002</v>
      </c>
      <c r="AI1007" s="2">
        <v>-6.1827140629411304E-12</v>
      </c>
      <c r="AJ1007" s="2">
        <v>0.57645818297066598</v>
      </c>
      <c r="AK1007" s="2">
        <v>0.59041848539992303</v>
      </c>
      <c r="AL1007" s="2">
        <v>0.61057501614312404</v>
      </c>
      <c r="AM1007" s="2">
        <v>0.51633369922637895</v>
      </c>
      <c r="AN1007" s="2">
        <v>0.51244050264358498</v>
      </c>
      <c r="AO1007" s="2">
        <v>0.39516958594322199</v>
      </c>
      <c r="AP1007" s="2">
        <v>0.89915984869003296</v>
      </c>
    </row>
    <row r="1008" spans="1:42" x14ac:dyDescent="0.3">
      <c r="A1008" t="s">
        <v>350</v>
      </c>
      <c r="B1008" s="3">
        <v>2019</v>
      </c>
      <c r="C1008" s="3">
        <v>1.4848939999999999</v>
      </c>
      <c r="D1008" s="3">
        <v>1616.96</v>
      </c>
      <c r="E1008" t="s">
        <v>351</v>
      </c>
      <c r="G1008" s="3">
        <v>30502.36328125</v>
      </c>
      <c r="H1008" s="3">
        <v>38879.1875</v>
      </c>
      <c r="I1008" s="3">
        <v>41694.48828125</v>
      </c>
      <c r="J1008" s="3">
        <v>41855.1796875</v>
      </c>
      <c r="K1008" s="3">
        <v>192515.015625</v>
      </c>
      <c r="L1008" s="3">
        <v>2.1033114753663501E-3</v>
      </c>
      <c r="M1008" s="3">
        <v>0.69804853200912498</v>
      </c>
      <c r="N1008" s="3">
        <v>0.62395566701889005</v>
      </c>
      <c r="O1008" s="3">
        <v>31907.458984375</v>
      </c>
      <c r="P1008" s="3">
        <v>41973.90625</v>
      </c>
      <c r="Q1008" s="3">
        <v>1.09458827972412</v>
      </c>
      <c r="R1008" s="3">
        <v>0.33819600939750699</v>
      </c>
      <c r="S1008" s="3">
        <v>0.56923925876617398</v>
      </c>
      <c r="T1008" s="3">
        <v>0.56573516130447399</v>
      </c>
      <c r="U1008" s="3">
        <v>0.56356316804885898</v>
      </c>
      <c r="W1008" t="s">
        <v>50</v>
      </c>
      <c r="X1008" t="s">
        <v>54</v>
      </c>
      <c r="Y1008" t="s">
        <v>52</v>
      </c>
      <c r="Z1008" t="s">
        <v>53</v>
      </c>
      <c r="AA1008" t="s">
        <v>53</v>
      </c>
      <c r="AC1008" s="2">
        <v>0.55461453051405396</v>
      </c>
      <c r="AD1008" s="2">
        <v>0.58407706022262595</v>
      </c>
      <c r="AE1008" s="2">
        <v>0.20013825595378901</v>
      </c>
      <c r="AF1008" s="2">
        <v>0.144682496786118</v>
      </c>
      <c r="AG1008" s="2">
        <v>0.42744103074073803</v>
      </c>
      <c r="AH1008" s="2">
        <v>-0.35633882880210899</v>
      </c>
      <c r="AI1008" s="2">
        <v>1.5422982367887201E-16</v>
      </c>
      <c r="AJ1008" s="2">
        <v>0.57112223453353395</v>
      </c>
      <c r="AK1008" s="2">
        <v>0.55297569425506199</v>
      </c>
      <c r="AL1008" s="2">
        <v>0.561637882698656</v>
      </c>
      <c r="AM1008" s="2">
        <v>0.53046369552612305</v>
      </c>
      <c r="AN1008" s="2">
        <v>0.52952104806900002</v>
      </c>
      <c r="AO1008" s="2">
        <v>0.36566948890686002</v>
      </c>
      <c r="AP1008" s="2">
        <v>0.84417796134948697</v>
      </c>
    </row>
    <row r="1009" spans="1:42" x14ac:dyDescent="0.3">
      <c r="A1009" t="s">
        <v>350</v>
      </c>
      <c r="B1009" s="3">
        <v>2020</v>
      </c>
      <c r="C1009" s="3">
        <v>1.4810239999999999</v>
      </c>
      <c r="D1009" s="3">
        <v>1540.61</v>
      </c>
      <c r="E1009" t="s">
        <v>351</v>
      </c>
      <c r="G1009" s="3">
        <v>29683.5</v>
      </c>
      <c r="H1009" s="3">
        <v>38787.4765625</v>
      </c>
      <c r="I1009" s="3">
        <v>38155.1796875</v>
      </c>
      <c r="J1009" s="3">
        <v>38095.9921875</v>
      </c>
      <c r="K1009" s="3">
        <v>203576.796875</v>
      </c>
      <c r="L1009" s="3">
        <v>2.0905274432152501E-3</v>
      </c>
      <c r="M1009" s="3">
        <v>0.65073972940445002</v>
      </c>
      <c r="N1009" s="3">
        <v>0.63559871912002597</v>
      </c>
      <c r="O1009" s="3">
        <v>31859.30078125</v>
      </c>
      <c r="P1009" s="3">
        <v>42706.45703125</v>
      </c>
      <c r="Q1009" s="3">
        <v>1.0004622936248799</v>
      </c>
      <c r="R1009" s="3">
        <v>0.33819600939750699</v>
      </c>
      <c r="S1009" s="3">
        <v>0.55826580524444602</v>
      </c>
      <c r="T1009" s="3">
        <v>0.550157070159912</v>
      </c>
      <c r="U1009" s="3">
        <v>0.55101174116134599</v>
      </c>
      <c r="W1009" t="s">
        <v>50</v>
      </c>
      <c r="X1009" t="s">
        <v>54</v>
      </c>
      <c r="Y1009" t="s">
        <v>52</v>
      </c>
      <c r="Z1009" t="s">
        <v>53</v>
      </c>
      <c r="AA1009" t="s">
        <v>53</v>
      </c>
      <c r="AC1009" s="2">
        <v>0.55211949218674194</v>
      </c>
      <c r="AD1009" s="2">
        <v>0.61635762453079201</v>
      </c>
      <c r="AE1009" s="2">
        <v>0.23897464573383301</v>
      </c>
      <c r="AF1009" s="2">
        <v>0.162818804383278</v>
      </c>
      <c r="AG1009" s="2">
        <v>0.32935383915901201</v>
      </c>
      <c r="AH1009" s="2">
        <v>-0.34750491380691501</v>
      </c>
      <c r="AI1009" s="2">
        <v>0</v>
      </c>
      <c r="AJ1009" s="2">
        <v>0.56744348571826098</v>
      </c>
      <c r="AK1009" s="2">
        <v>0.52371837741070304</v>
      </c>
      <c r="AL1009" s="2">
        <v>0.52352343921725297</v>
      </c>
      <c r="AM1009" s="2">
        <v>0.51777440309524503</v>
      </c>
      <c r="AN1009" s="2">
        <v>0.51700621843338002</v>
      </c>
      <c r="AO1009" s="2">
        <v>0.33726567029952997</v>
      </c>
      <c r="AP1009" s="2">
        <v>0.78911197185516402</v>
      </c>
    </row>
    <row r="1010" spans="1:42" x14ac:dyDescent="0.3">
      <c r="A1010" t="s">
        <v>352</v>
      </c>
      <c r="B1010" s="3">
        <v>2015</v>
      </c>
      <c r="C1010" s="3">
        <v>11.402264000000001</v>
      </c>
      <c r="D1010" s="3">
        <v>2350.46</v>
      </c>
      <c r="E1010" t="s">
        <v>353</v>
      </c>
      <c r="G1010" s="3">
        <v>131785.765625</v>
      </c>
      <c r="H1010" s="3">
        <v>153596.453125</v>
      </c>
      <c r="I1010" s="3">
        <v>139065.65625</v>
      </c>
      <c r="J1010" s="3">
        <v>141403.578125</v>
      </c>
      <c r="K1010" s="3">
        <v>484842.15625</v>
      </c>
      <c r="L1010" s="3">
        <v>5.0832754932344003E-3</v>
      </c>
      <c r="M1010" s="3">
        <v>0.63623476028442405</v>
      </c>
      <c r="N1010" s="3">
        <v>0.666731417179108</v>
      </c>
      <c r="O1010" s="3">
        <v>127940.546875</v>
      </c>
      <c r="P1010" s="3">
        <v>153877.15625</v>
      </c>
      <c r="Q1010" s="3">
        <v>1.09139835834503</v>
      </c>
      <c r="R1010" s="3">
        <v>0.52465188503265403</v>
      </c>
      <c r="S1010" s="3">
        <v>0.30815875530242898</v>
      </c>
      <c r="T1010" s="3">
        <v>0.32919332385063199</v>
      </c>
      <c r="U1010" s="3">
        <v>0.32375055551528897</v>
      </c>
      <c r="W1010" t="s">
        <v>50</v>
      </c>
      <c r="X1010" t="s">
        <v>51</v>
      </c>
      <c r="Y1010" t="s">
        <v>52</v>
      </c>
      <c r="Z1010" t="s">
        <v>53</v>
      </c>
      <c r="AA1010" t="s">
        <v>53</v>
      </c>
      <c r="AC1010" s="2">
        <v>0.68468710986901704</v>
      </c>
      <c r="AD1010" s="2">
        <v>0.73170244693756104</v>
      </c>
      <c r="AE1010" s="2">
        <v>0.154244258999825</v>
      </c>
      <c r="AF1010" s="2">
        <v>0.20028083026409199</v>
      </c>
      <c r="AG1010" s="2">
        <v>0.171478167176247</v>
      </c>
      <c r="AH1010" s="2">
        <v>-0.28753498196601901</v>
      </c>
      <c r="AI1010" s="2">
        <v>2.98293307423592E-2</v>
      </c>
      <c r="AJ1010" s="2">
        <v>0.31328214464882898</v>
      </c>
      <c r="AK1010" s="2">
        <v>0.45628965323363402</v>
      </c>
      <c r="AL1010" s="2">
        <v>0.28944106301038097</v>
      </c>
      <c r="AM1010" s="2">
        <v>0.58040678501129195</v>
      </c>
      <c r="AN1010" s="2">
        <v>0.49737486243248002</v>
      </c>
      <c r="AO1010" s="2">
        <v>0.26335021853446999</v>
      </c>
      <c r="AP1010" s="2">
        <v>0.57195383310318004</v>
      </c>
    </row>
    <row r="1011" spans="1:42" x14ac:dyDescent="0.3">
      <c r="A1011" t="s">
        <v>352</v>
      </c>
      <c r="B1011" s="3">
        <v>2016</v>
      </c>
      <c r="C1011" s="3">
        <v>11.528674000000001</v>
      </c>
      <c r="D1011" s="3">
        <v>2334.9699999999998</v>
      </c>
      <c r="E1011" t="s">
        <v>353</v>
      </c>
      <c r="G1011" s="3">
        <v>138156.59375</v>
      </c>
      <c r="H1011" s="3">
        <v>156618.0625</v>
      </c>
      <c r="I1011" s="3">
        <v>141733.140625</v>
      </c>
      <c r="J1011" s="3">
        <v>144835.3125</v>
      </c>
      <c r="K1011" s="3">
        <v>424753</v>
      </c>
      <c r="L1011" s="3">
        <v>4.3164989911019802E-3</v>
      </c>
      <c r="M1011" s="3">
        <v>0.687999367713928</v>
      </c>
      <c r="N1011" s="3">
        <v>0.71927881240844704</v>
      </c>
      <c r="O1011" s="3">
        <v>137770.25</v>
      </c>
      <c r="P1011" s="3">
        <v>162252.28125</v>
      </c>
      <c r="Q1011" s="3">
        <v>1.1255306005477901</v>
      </c>
      <c r="R1011" s="3">
        <v>0.52534699440002397</v>
      </c>
      <c r="S1011" s="3">
        <v>0.28906375169754001</v>
      </c>
      <c r="T1011" s="3">
        <v>0.31298300623893699</v>
      </c>
      <c r="U1011" s="3">
        <v>0.30627936124801602</v>
      </c>
      <c r="W1011" t="s">
        <v>50</v>
      </c>
      <c r="X1011" t="s">
        <v>51</v>
      </c>
      <c r="Y1011" t="s">
        <v>52</v>
      </c>
      <c r="Z1011" t="s">
        <v>53</v>
      </c>
      <c r="AA1011" t="s">
        <v>53</v>
      </c>
      <c r="AC1011" s="2">
        <v>0.66610606058453703</v>
      </c>
      <c r="AD1011" s="2">
        <v>0.75395405292510997</v>
      </c>
      <c r="AE1011" s="2">
        <v>0.12746523320674899</v>
      </c>
      <c r="AF1011" s="2">
        <v>0.19993346929550199</v>
      </c>
      <c r="AG1011" s="2">
        <v>0.16271099448203999</v>
      </c>
      <c r="AH1011" s="2">
        <v>-0.27231779694557201</v>
      </c>
      <c r="AI1011" s="2">
        <v>2.82540172338486E-2</v>
      </c>
      <c r="AJ1011" s="2">
        <v>0.28967426576880001</v>
      </c>
      <c r="AK1011" s="2">
        <v>0.491982918142579</v>
      </c>
      <c r="AL1011" s="2">
        <v>0.28676149380712501</v>
      </c>
      <c r="AM1011" s="2">
        <v>0.57604002952575695</v>
      </c>
      <c r="AN1011" s="2">
        <v>0.49408212304115301</v>
      </c>
      <c r="AO1011" s="2">
        <v>0.28241914510726901</v>
      </c>
      <c r="AP1011" s="2">
        <v>0.63139343261718806</v>
      </c>
    </row>
    <row r="1012" spans="1:42" x14ac:dyDescent="0.3">
      <c r="A1012" t="s">
        <v>352</v>
      </c>
      <c r="B1012" s="3">
        <v>2017</v>
      </c>
      <c r="C1012" s="3">
        <v>11.650498000000001</v>
      </c>
      <c r="D1012" s="3">
        <v>2315.96</v>
      </c>
      <c r="E1012" t="s">
        <v>353</v>
      </c>
      <c r="G1012" s="3">
        <v>142096.84375</v>
      </c>
      <c r="H1012" s="3">
        <v>160458.078125</v>
      </c>
      <c r="I1012" s="3">
        <v>142797.4375</v>
      </c>
      <c r="J1012" s="3">
        <v>147621.609375</v>
      </c>
      <c r="K1012" s="3">
        <v>391889.46875</v>
      </c>
      <c r="L1012" s="3">
        <v>3.8907250855118002E-3</v>
      </c>
      <c r="M1012" s="3">
        <v>0.70452451705932595</v>
      </c>
      <c r="N1012" s="3">
        <v>0.73746633529663097</v>
      </c>
      <c r="O1012" s="3">
        <v>140831.265625</v>
      </c>
      <c r="P1012" s="3">
        <v>165796</v>
      </c>
      <c r="Q1012" s="3">
        <v>1.1045713424682599</v>
      </c>
      <c r="R1012" s="3">
        <v>0.538901507854462</v>
      </c>
      <c r="S1012" s="3">
        <v>0.27023553848266602</v>
      </c>
      <c r="T1012" s="3">
        <v>0.29526811838150002</v>
      </c>
      <c r="U1012" s="3">
        <v>0.28561896085739102</v>
      </c>
      <c r="W1012" t="s">
        <v>51</v>
      </c>
      <c r="X1012" t="s">
        <v>51</v>
      </c>
      <c r="Y1012" t="s">
        <v>52</v>
      </c>
      <c r="Z1012" t="s">
        <v>53</v>
      </c>
      <c r="AA1012" t="s">
        <v>53</v>
      </c>
      <c r="AC1012" s="2">
        <v>0.65209724957549298</v>
      </c>
      <c r="AD1012" s="2">
        <v>0.76570981740951505</v>
      </c>
      <c r="AE1012" s="2">
        <v>0.12438044697046299</v>
      </c>
      <c r="AF1012" s="2">
        <v>0.19686505198478699</v>
      </c>
      <c r="AG1012" s="2">
        <v>0.16217704117298101</v>
      </c>
      <c r="AH1012" s="2">
        <v>-0.27767902612686202</v>
      </c>
      <c r="AI1012" s="2">
        <v>2.8546666726470001E-2</v>
      </c>
      <c r="AJ1012" s="2">
        <v>0.26837676205051297</v>
      </c>
      <c r="AK1012" s="2">
        <v>0.48899407841111098</v>
      </c>
      <c r="AL1012" s="2">
        <v>0.27746533629784698</v>
      </c>
      <c r="AM1012" s="2">
        <v>0.59312117099761996</v>
      </c>
      <c r="AN1012" s="2">
        <v>0.50298500061035201</v>
      </c>
      <c r="AO1012" s="2">
        <v>0.29107820987701399</v>
      </c>
      <c r="AP1012" s="2">
        <v>0.62343841791152999</v>
      </c>
    </row>
    <row r="1013" spans="1:42" x14ac:dyDescent="0.3">
      <c r="A1013" t="s">
        <v>352</v>
      </c>
      <c r="B1013" s="3">
        <v>2018</v>
      </c>
      <c r="C1013" s="3">
        <v>11.765514</v>
      </c>
      <c r="D1013" s="3">
        <v>2304.19</v>
      </c>
      <c r="E1013" t="s">
        <v>353</v>
      </c>
      <c r="G1013" s="3">
        <v>143054.6875</v>
      </c>
      <c r="H1013" s="3">
        <v>168939.40625</v>
      </c>
      <c r="I1013" s="3">
        <v>149635.828125</v>
      </c>
      <c r="J1013" s="3">
        <v>157078.171875</v>
      </c>
      <c r="K1013" s="3">
        <v>436487.96875</v>
      </c>
      <c r="L1013" s="3">
        <v>4.2241364717483503E-3</v>
      </c>
      <c r="M1013" s="3">
        <v>0.690593302249908</v>
      </c>
      <c r="N1013" s="3">
        <v>0.71496278047561701</v>
      </c>
      <c r="O1013" s="3">
        <v>144071.109375</v>
      </c>
      <c r="P1013" s="3">
        <v>168738.5</v>
      </c>
      <c r="Q1013" s="3">
        <v>1.08139204978943</v>
      </c>
      <c r="R1013" s="3">
        <v>0.53422766923904397</v>
      </c>
      <c r="S1013" s="3">
        <v>0.26836490631103499</v>
      </c>
      <c r="T1013" s="3">
        <v>0.28526923060417197</v>
      </c>
      <c r="U1013" s="3">
        <v>0.27175325155258201</v>
      </c>
      <c r="W1013" t="s">
        <v>50</v>
      </c>
      <c r="X1013" t="s">
        <v>51</v>
      </c>
      <c r="Y1013" t="s">
        <v>52</v>
      </c>
      <c r="Z1013" t="s">
        <v>53</v>
      </c>
      <c r="AA1013" t="s">
        <v>53</v>
      </c>
      <c r="AC1013" s="2">
        <v>0.21995144097914299</v>
      </c>
      <c r="AD1013" s="2">
        <v>0.72990149259567305</v>
      </c>
      <c r="AE1013" s="2">
        <v>0.164788782596588</v>
      </c>
      <c r="AF1013" s="2">
        <v>0.18082137405872301</v>
      </c>
      <c r="AG1013" s="2">
        <v>0.161223620176315</v>
      </c>
      <c r="AH1013" s="2">
        <v>-0.27578201889991799</v>
      </c>
      <c r="AI1013" s="2">
        <v>3.90467569231987E-2</v>
      </c>
      <c r="AJ1013" s="2">
        <v>0.26638667655332199</v>
      </c>
      <c r="AK1013" s="2">
        <v>0.37869285009791198</v>
      </c>
      <c r="AL1013" s="2">
        <v>0.276350161712141</v>
      </c>
      <c r="AM1013" s="2">
        <v>0.61288863420486495</v>
      </c>
      <c r="AN1013" s="2">
        <v>0.52389335632324197</v>
      </c>
      <c r="AO1013" s="2">
        <v>0.26024487614631697</v>
      </c>
      <c r="AP1013" s="2">
        <v>0.55653434991836603</v>
      </c>
    </row>
    <row r="1014" spans="1:42" x14ac:dyDescent="0.3">
      <c r="A1014" t="s">
        <v>352</v>
      </c>
      <c r="B1014" s="3">
        <v>2019</v>
      </c>
      <c r="C1014" s="3">
        <v>11.875081</v>
      </c>
      <c r="D1014" s="3">
        <v>2291.8000000000002</v>
      </c>
      <c r="E1014" t="s">
        <v>353</v>
      </c>
      <c r="G1014" s="3">
        <v>149856.359375</v>
      </c>
      <c r="H1014" s="3">
        <v>170716.6875</v>
      </c>
      <c r="I1014" s="3">
        <v>154589.984375</v>
      </c>
      <c r="J1014" s="3">
        <v>163343.75</v>
      </c>
      <c r="K1014" s="3">
        <v>475949.0625</v>
      </c>
      <c r="L1014" s="3">
        <v>4.4612847268581399E-3</v>
      </c>
      <c r="M1014" s="3">
        <v>0.681391000747681</v>
      </c>
      <c r="N1014" s="3">
        <v>0.68528348207473799</v>
      </c>
      <c r="O1014" s="3">
        <v>147280.53125</v>
      </c>
      <c r="P1014" s="3">
        <v>166460.953125</v>
      </c>
      <c r="Q1014" s="3">
        <v>1.0657426118850699</v>
      </c>
      <c r="R1014" s="3">
        <v>0.52232450246810902</v>
      </c>
      <c r="S1014" s="3">
        <v>0.25343233346939098</v>
      </c>
      <c r="T1014" s="3">
        <v>0.27107590436935403</v>
      </c>
      <c r="U1014" s="3">
        <v>0.256548672914505</v>
      </c>
      <c r="W1014" t="s">
        <v>50</v>
      </c>
      <c r="X1014" t="s">
        <v>54</v>
      </c>
      <c r="Y1014" t="s">
        <v>52</v>
      </c>
      <c r="Z1014" t="s">
        <v>53</v>
      </c>
      <c r="AA1014" t="s">
        <v>53</v>
      </c>
      <c r="AC1014" s="2">
        <v>0.64986944240957201</v>
      </c>
      <c r="AD1014" s="2">
        <v>0.72750389575958296</v>
      </c>
      <c r="AE1014" s="2">
        <v>0.12770813703537001</v>
      </c>
      <c r="AF1014" s="2">
        <v>0.189925521612167</v>
      </c>
      <c r="AG1014" s="2">
        <v>0.145674288272858</v>
      </c>
      <c r="AH1014" s="2">
        <v>-0.244699686765671</v>
      </c>
      <c r="AI1014" s="2">
        <v>5.3887825459241902E-2</v>
      </c>
      <c r="AJ1014" s="2">
        <v>0.25323959229618798</v>
      </c>
      <c r="AK1014" s="2">
        <v>0.39782370211982199</v>
      </c>
      <c r="AL1014" s="2">
        <v>0.25417064936792499</v>
      </c>
      <c r="AM1014" s="2">
        <v>0.628035187721252</v>
      </c>
      <c r="AN1014" s="2">
        <v>0.53974878787994396</v>
      </c>
      <c r="AO1014" s="2">
        <v>0.23657074570655801</v>
      </c>
      <c r="AP1014" s="2">
        <v>0.51034241914749201</v>
      </c>
    </row>
    <row r="1015" spans="1:42" x14ac:dyDescent="0.3">
      <c r="A1015" t="s">
        <v>352</v>
      </c>
      <c r="B1015" s="3">
        <v>2020</v>
      </c>
      <c r="C1015" s="3">
        <v>11.974057</v>
      </c>
      <c r="D1015" s="3">
        <v>2210.2199999999998</v>
      </c>
      <c r="E1015" t="s">
        <v>353</v>
      </c>
      <c r="G1015" s="3">
        <v>146322.03125</v>
      </c>
      <c r="H1015" s="3">
        <v>159535.078125</v>
      </c>
      <c r="I1015" s="3">
        <v>147253.3125</v>
      </c>
      <c r="J1015" s="3">
        <v>152351.375</v>
      </c>
      <c r="K1015" s="3">
        <v>498959.3125</v>
      </c>
      <c r="L1015" s="3">
        <v>4.4143334962427599E-3</v>
      </c>
      <c r="M1015" s="3">
        <v>0.62215882539749201</v>
      </c>
      <c r="N1015" s="3">
        <v>0.62499195337295499</v>
      </c>
      <c r="O1015" s="3">
        <v>140102.625</v>
      </c>
      <c r="P1015" s="3">
        <v>153849.171875</v>
      </c>
      <c r="Q1015" s="3">
        <v>0.984483301639557</v>
      </c>
      <c r="R1015" s="3">
        <v>0.57966715097427401</v>
      </c>
      <c r="S1015" s="3">
        <v>0.27795568108558699</v>
      </c>
      <c r="T1015" s="3">
        <v>0.28887957334518399</v>
      </c>
      <c r="U1015" s="3">
        <v>0.27921295166015597</v>
      </c>
      <c r="W1015" t="s">
        <v>50</v>
      </c>
      <c r="X1015" t="s">
        <v>54</v>
      </c>
      <c r="Y1015" t="s">
        <v>52</v>
      </c>
      <c r="Z1015" t="s">
        <v>53</v>
      </c>
      <c r="AA1015" t="s">
        <v>53</v>
      </c>
      <c r="AC1015" s="2">
        <v>0.64616775616712596</v>
      </c>
      <c r="AD1015" s="2">
        <v>0.73837453126907404</v>
      </c>
      <c r="AE1015" s="2">
        <v>8.6727410554885906E-2</v>
      </c>
      <c r="AF1015" s="2">
        <v>0.22205020487308499</v>
      </c>
      <c r="AG1015" s="2">
        <v>0.123896084725857</v>
      </c>
      <c r="AH1015" s="2">
        <v>-0.21579295396804801</v>
      </c>
      <c r="AI1015" s="2">
        <v>4.4744718819856602E-2</v>
      </c>
      <c r="AJ1015" s="2">
        <v>0.27982164806409698</v>
      </c>
      <c r="AK1015" s="2">
        <v>0.40985156479356299</v>
      </c>
      <c r="AL1015" s="2">
        <v>0.27175081590504102</v>
      </c>
      <c r="AM1015" s="2">
        <v>0.66374212503433205</v>
      </c>
      <c r="AN1015" s="2">
        <v>0.54689592123031605</v>
      </c>
      <c r="AO1015" s="2">
        <v>0.24262279272079501</v>
      </c>
      <c r="AP1015" s="2">
        <v>0.480988889932632</v>
      </c>
    </row>
    <row r="1016" spans="1:42" x14ac:dyDescent="0.3">
      <c r="A1016" t="s">
        <v>354</v>
      </c>
      <c r="B1016" s="3">
        <v>2015</v>
      </c>
      <c r="C1016" s="3">
        <v>80.014225999999994</v>
      </c>
      <c r="D1016" s="3">
        <v>1810.71</v>
      </c>
      <c r="E1016" t="s">
        <v>355</v>
      </c>
      <c r="G1016" s="3">
        <v>1502056.25</v>
      </c>
      <c r="H1016" s="3">
        <v>2207907</v>
      </c>
      <c r="I1016" s="3">
        <v>2164063</v>
      </c>
      <c r="J1016" s="3">
        <v>2201147.25</v>
      </c>
      <c r="K1016" s="3">
        <v>9269575</v>
      </c>
      <c r="L1016" s="3">
        <v>0.101155743002892</v>
      </c>
      <c r="M1016" s="3">
        <v>0.92868369817733798</v>
      </c>
      <c r="N1016" s="3">
        <v>0.89869409799575795</v>
      </c>
      <c r="O1016" s="3">
        <v>1383475.125</v>
      </c>
      <c r="P1016" s="3">
        <v>1978767.5</v>
      </c>
      <c r="Q1016" s="3">
        <v>0.98492389917373702</v>
      </c>
      <c r="R1016" s="3">
        <v>0.427387535572052</v>
      </c>
      <c r="S1016" s="3">
        <v>0.424814462661743</v>
      </c>
      <c r="T1016" s="3">
        <v>0.39939403533935502</v>
      </c>
      <c r="U1016" s="3">
        <v>0.39266517758369401</v>
      </c>
      <c r="W1016" t="s">
        <v>50</v>
      </c>
      <c r="X1016" t="s">
        <v>51</v>
      </c>
      <c r="Y1016" t="s">
        <v>52</v>
      </c>
      <c r="Z1016" t="s">
        <v>53</v>
      </c>
      <c r="AA1016" t="s">
        <v>53</v>
      </c>
      <c r="AC1016" s="2">
        <v>0.64866047813302297</v>
      </c>
      <c r="AD1016" s="2">
        <v>0.509285688400269</v>
      </c>
      <c r="AE1016" s="2">
        <v>0.32067403197288502</v>
      </c>
      <c r="AF1016" s="2">
        <v>0.17311128973960899</v>
      </c>
      <c r="AG1016" s="2">
        <v>0.112661942839623</v>
      </c>
      <c r="AH1016" s="2">
        <v>-0.168776169419289</v>
      </c>
      <c r="AI1016" s="2">
        <v>5.3043197840452201E-2</v>
      </c>
      <c r="AJ1016" s="2">
        <v>0.46277363241958303</v>
      </c>
      <c r="AK1016" s="2">
        <v>0.34529912653047701</v>
      </c>
      <c r="AL1016" s="2">
        <v>0.31314023128659801</v>
      </c>
      <c r="AM1016" s="2">
        <v>0.58007419109344505</v>
      </c>
      <c r="AN1016" s="2">
        <v>0.557755947113037</v>
      </c>
      <c r="AO1016" s="2">
        <v>0.21869018673896801</v>
      </c>
      <c r="AP1016" s="2">
        <v>0.65367776155471802</v>
      </c>
    </row>
    <row r="1017" spans="1:42" x14ac:dyDescent="0.3">
      <c r="A1017" t="s">
        <v>354</v>
      </c>
      <c r="B1017" s="3">
        <v>2016</v>
      </c>
      <c r="C1017" s="3">
        <v>81.652088000000006</v>
      </c>
      <c r="D1017" s="3">
        <v>1789.41</v>
      </c>
      <c r="E1017" t="s">
        <v>355</v>
      </c>
      <c r="G1017" s="3">
        <v>1557016.25</v>
      </c>
      <c r="H1017" s="3">
        <v>2248188.75</v>
      </c>
      <c r="I1017" s="3">
        <v>2200629.75</v>
      </c>
      <c r="J1017" s="3">
        <v>2234683</v>
      </c>
      <c r="K1017" s="3">
        <v>9629507</v>
      </c>
      <c r="L1017" s="3">
        <v>0.10225322842598</v>
      </c>
      <c r="M1017" s="3">
        <v>0.92946749925613403</v>
      </c>
      <c r="N1017" s="3">
        <v>0.90405166149139404</v>
      </c>
      <c r="O1017" s="3">
        <v>1450777.5</v>
      </c>
      <c r="P1017" s="3">
        <v>2060402.75</v>
      </c>
      <c r="Q1017" s="3">
        <v>0.96796298027038596</v>
      </c>
      <c r="R1017" s="3">
        <v>0.45895633101463301</v>
      </c>
      <c r="S1017" s="3">
        <v>0.41412317752838101</v>
      </c>
      <c r="T1017" s="3">
        <v>0.39519733190536499</v>
      </c>
      <c r="U1017" s="3">
        <v>0.38917514681816101</v>
      </c>
      <c r="W1017" t="s">
        <v>50</v>
      </c>
      <c r="X1017" t="s">
        <v>51</v>
      </c>
      <c r="Y1017" t="s">
        <v>52</v>
      </c>
      <c r="Z1017" t="s">
        <v>53</v>
      </c>
      <c r="AA1017" t="s">
        <v>53</v>
      </c>
      <c r="AC1017" s="2">
        <v>0.64711346817637505</v>
      </c>
      <c r="AD1017" s="2">
        <v>0.51052808761596702</v>
      </c>
      <c r="AE1017" s="2">
        <v>0.30929335951805098</v>
      </c>
      <c r="AF1017" s="2">
        <v>0.186222344636917</v>
      </c>
      <c r="AG1017" s="2">
        <v>0.111221596598625</v>
      </c>
      <c r="AH1017" s="2">
        <v>-0.16014626622200001</v>
      </c>
      <c r="AI1017" s="2">
        <v>4.2880889028310797E-2</v>
      </c>
      <c r="AJ1017" s="2">
        <v>0.45286932786483702</v>
      </c>
      <c r="AK1017" s="2">
        <v>0.35256275895877298</v>
      </c>
      <c r="AL1017" s="2">
        <v>0.30790072703285498</v>
      </c>
      <c r="AM1017" s="2">
        <v>0.57345747947692904</v>
      </c>
      <c r="AN1017" s="2">
        <v>0.55499088764190696</v>
      </c>
      <c r="AO1017" s="2">
        <v>0.219571933150291</v>
      </c>
      <c r="AP1017" s="2">
        <v>0.59563416242599498</v>
      </c>
    </row>
    <row r="1018" spans="1:42" x14ac:dyDescent="0.3">
      <c r="A1018" t="s">
        <v>354</v>
      </c>
      <c r="B1018" s="3">
        <v>2017</v>
      </c>
      <c r="C1018" s="3">
        <v>83.083662000000004</v>
      </c>
      <c r="D1018" s="3">
        <v>1775.49</v>
      </c>
      <c r="E1018" t="s">
        <v>355</v>
      </c>
      <c r="G1018" s="3">
        <v>1637641</v>
      </c>
      <c r="H1018" s="3">
        <v>2399215.5</v>
      </c>
      <c r="I1018" s="3">
        <v>2313984</v>
      </c>
      <c r="J1018" s="3">
        <v>2370698.75</v>
      </c>
      <c r="K1018" s="3">
        <v>9745859</v>
      </c>
      <c r="L1018" s="3">
        <v>0.102190129458904</v>
      </c>
      <c r="M1018" s="3">
        <v>0.94049984216690097</v>
      </c>
      <c r="N1018" s="3">
        <v>0.91661280393600497</v>
      </c>
      <c r="O1018" s="3">
        <v>1534131.875</v>
      </c>
      <c r="P1018" s="3">
        <v>2193410</v>
      </c>
      <c r="Q1018" s="3">
        <v>0.98114943504333496</v>
      </c>
      <c r="R1018" s="3">
        <v>0.43471828103065502</v>
      </c>
      <c r="S1018" s="3">
        <v>0.38284829258918801</v>
      </c>
      <c r="T1018" s="3">
        <v>0.37121629714965798</v>
      </c>
      <c r="U1018" s="3">
        <v>0.36233556270599399</v>
      </c>
      <c r="W1018" t="s">
        <v>51</v>
      </c>
      <c r="X1018" t="s">
        <v>51</v>
      </c>
      <c r="Y1018" t="s">
        <v>52</v>
      </c>
      <c r="Z1018" t="s">
        <v>53</v>
      </c>
      <c r="AA1018" t="s">
        <v>53</v>
      </c>
      <c r="AC1018" s="2">
        <v>0.64590955878228795</v>
      </c>
      <c r="AD1018" s="2">
        <v>0.50138682126998901</v>
      </c>
      <c r="AE1018" s="2">
        <v>0.321244776248932</v>
      </c>
      <c r="AF1018" s="2">
        <v>0.18939729034900701</v>
      </c>
      <c r="AG1018" s="2">
        <v>0.11191920191049599</v>
      </c>
      <c r="AH1018" s="2">
        <v>-0.176530376076698</v>
      </c>
      <c r="AI1018" s="2">
        <v>5.25823049247265E-2</v>
      </c>
      <c r="AJ1018" s="2">
        <v>0.42354670031242198</v>
      </c>
      <c r="AK1018" s="2">
        <v>0.34620354629803601</v>
      </c>
      <c r="AL1018" s="2">
        <v>0.27510840371863499</v>
      </c>
      <c r="AM1018" s="2">
        <v>0.591696977615356</v>
      </c>
      <c r="AN1018" s="2">
        <v>0.55866146087646495</v>
      </c>
      <c r="AO1018" s="2">
        <v>0.21692287921905501</v>
      </c>
      <c r="AP1018" s="2">
        <v>0.59283900260925304</v>
      </c>
    </row>
    <row r="1019" spans="1:42" x14ac:dyDescent="0.3">
      <c r="A1019" t="s">
        <v>354</v>
      </c>
      <c r="B1019" s="3">
        <v>2018</v>
      </c>
      <c r="C1019" s="3">
        <v>84.415969000000004</v>
      </c>
      <c r="D1019" s="3">
        <v>1745.19</v>
      </c>
      <c r="E1019" t="s">
        <v>355</v>
      </c>
      <c r="G1019" s="3">
        <v>1653263.875</v>
      </c>
      <c r="H1019" s="3">
        <v>2333382.5</v>
      </c>
      <c r="I1019" s="3">
        <v>2329915.25</v>
      </c>
      <c r="J1019" s="3">
        <v>2382380.75</v>
      </c>
      <c r="K1019" s="3">
        <v>9428221</v>
      </c>
      <c r="L1019" s="3">
        <v>9.6612237393856104E-2</v>
      </c>
      <c r="M1019" s="3">
        <v>0.94661861658096302</v>
      </c>
      <c r="N1019" s="3">
        <v>0.89247399568557695</v>
      </c>
      <c r="O1019" s="3">
        <v>1559963.375</v>
      </c>
      <c r="P1019" s="3">
        <v>2220323.5</v>
      </c>
      <c r="Q1019" s="3">
        <v>0.96742242574691795</v>
      </c>
      <c r="R1019" s="3">
        <v>0.42730468511581399</v>
      </c>
      <c r="S1019" s="3">
        <v>0.333074450492859</v>
      </c>
      <c r="T1019" s="3">
        <v>0.33433496952056901</v>
      </c>
      <c r="U1019" s="3">
        <v>0.326972156763077</v>
      </c>
      <c r="W1019" t="s">
        <v>50</v>
      </c>
      <c r="X1019" t="s">
        <v>51</v>
      </c>
      <c r="Y1019" t="s">
        <v>52</v>
      </c>
      <c r="Z1019" t="s">
        <v>53</v>
      </c>
      <c r="AA1019" t="s">
        <v>53</v>
      </c>
      <c r="AC1019" s="2">
        <v>0.63456792769278103</v>
      </c>
      <c r="AD1019" s="2">
        <v>0.49790620803833002</v>
      </c>
      <c r="AE1019" s="2">
        <v>0.28547856211662298</v>
      </c>
      <c r="AF1019" s="2">
        <v>0.196048274636269</v>
      </c>
      <c r="AG1019" s="2">
        <v>0.116655834019184</v>
      </c>
      <c r="AH1019" s="2">
        <v>-0.165227115154266</v>
      </c>
      <c r="AI1019" s="2">
        <v>6.9138258695602403E-2</v>
      </c>
      <c r="AJ1019" s="2">
        <v>0.36894194896416699</v>
      </c>
      <c r="AK1019" s="2">
        <v>0.33739913538462102</v>
      </c>
      <c r="AL1019" s="2">
        <v>0.24198137334295999</v>
      </c>
      <c r="AM1019" s="2">
        <v>0.60457628965377797</v>
      </c>
      <c r="AN1019" s="2">
        <v>0.56661534309387196</v>
      </c>
      <c r="AO1019" s="2">
        <v>0.213396191596985</v>
      </c>
      <c r="AP1019" s="2">
        <v>0.54598295688629195</v>
      </c>
    </row>
    <row r="1020" spans="1:42" x14ac:dyDescent="0.3">
      <c r="A1020" t="s">
        <v>354</v>
      </c>
      <c r="B1020" s="3">
        <v>2019</v>
      </c>
      <c r="C1020" s="3">
        <v>85.357671999999994</v>
      </c>
      <c r="D1020" s="3">
        <v>1732.09</v>
      </c>
      <c r="E1020" t="s">
        <v>355</v>
      </c>
      <c r="G1020" s="3">
        <v>1748147.125</v>
      </c>
      <c r="H1020" s="3">
        <v>2283168.25</v>
      </c>
      <c r="I1020" s="3">
        <v>2352693.75</v>
      </c>
      <c r="J1020" s="3">
        <v>2375165.75</v>
      </c>
      <c r="K1020" s="3">
        <v>8896799</v>
      </c>
      <c r="L1020" s="3">
        <v>8.9106120169162806E-2</v>
      </c>
      <c r="M1020" s="3">
        <v>0.97868442535400402</v>
      </c>
      <c r="N1020" s="3">
        <v>0.90528875589370705</v>
      </c>
      <c r="O1020" s="3">
        <v>1591168.625</v>
      </c>
      <c r="P1020" s="3">
        <v>2171432.75</v>
      </c>
      <c r="Q1020" s="3">
        <v>0.95710736513137795</v>
      </c>
      <c r="R1020" s="3">
        <v>0.43663594126701399</v>
      </c>
      <c r="S1020" s="3">
        <v>0.31415745615959201</v>
      </c>
      <c r="T1020" s="3">
        <v>0.32346153259277299</v>
      </c>
      <c r="U1020" s="3">
        <v>0.320401191711426</v>
      </c>
      <c r="W1020" t="s">
        <v>50</v>
      </c>
      <c r="X1020" t="s">
        <v>54</v>
      </c>
      <c r="Y1020" t="s">
        <v>52</v>
      </c>
      <c r="Z1020" t="s">
        <v>53</v>
      </c>
      <c r="AA1020" t="s">
        <v>53</v>
      </c>
      <c r="AC1020" s="2">
        <v>0.64669645584487101</v>
      </c>
      <c r="AD1020" s="2">
        <v>0.52407968044280995</v>
      </c>
      <c r="AE1020" s="2">
        <v>0.22525627911090901</v>
      </c>
      <c r="AF1020" s="2">
        <v>0.21193090081214899</v>
      </c>
      <c r="AG1020" s="2">
        <v>0.129407092928886</v>
      </c>
      <c r="AH1020" s="2">
        <v>-0.15899910032749201</v>
      </c>
      <c r="AI1020" s="2">
        <v>6.8325094878673595E-2</v>
      </c>
      <c r="AJ1020" s="2">
        <v>0.34783818322460303</v>
      </c>
      <c r="AK1020" s="2">
        <v>0.35386199950161301</v>
      </c>
      <c r="AL1020" s="2">
        <v>0.23086910114182699</v>
      </c>
      <c r="AM1020" s="2">
        <v>0.58834612369537398</v>
      </c>
      <c r="AN1020" s="2">
        <v>0.55697977542877197</v>
      </c>
      <c r="AO1020" s="2">
        <v>0.226238548755646</v>
      </c>
      <c r="AP1020" s="2">
        <v>0.54725027084350597</v>
      </c>
    </row>
    <row r="1021" spans="1:42" x14ac:dyDescent="0.3">
      <c r="A1021" t="s">
        <v>354</v>
      </c>
      <c r="B1021" s="3">
        <v>2020</v>
      </c>
      <c r="C1021" s="3">
        <v>86.091691999999995</v>
      </c>
      <c r="D1021" s="3">
        <v>1572.39</v>
      </c>
      <c r="E1021" t="s">
        <v>355</v>
      </c>
      <c r="G1021" s="3">
        <v>1732366.75</v>
      </c>
      <c r="H1021" s="3">
        <v>2406368.75</v>
      </c>
      <c r="I1021" s="3">
        <v>2333965</v>
      </c>
      <c r="J1021" s="3">
        <v>2403166.75</v>
      </c>
      <c r="K1021" s="3">
        <v>9221600</v>
      </c>
      <c r="L1021" s="3">
        <v>8.8503628969192505E-2</v>
      </c>
      <c r="M1021" s="3">
        <v>1.0272923707962001</v>
      </c>
      <c r="N1021" s="3">
        <v>0.98681503534317005</v>
      </c>
      <c r="O1021" s="3">
        <v>1638986.5</v>
      </c>
      <c r="P1021" s="3">
        <v>2262579.25</v>
      </c>
      <c r="Q1021" s="3">
        <v>0.99845027923583995</v>
      </c>
      <c r="R1021" s="3">
        <v>0.41055318713188199</v>
      </c>
      <c r="S1021" s="3">
        <v>0.29839301109313998</v>
      </c>
      <c r="T1021" s="3">
        <v>0.30863294005393999</v>
      </c>
      <c r="U1021" s="3">
        <v>0.29974552989005998</v>
      </c>
      <c r="W1021" t="s">
        <v>50</v>
      </c>
      <c r="X1021" t="s">
        <v>54</v>
      </c>
      <c r="Y1021" t="s">
        <v>52</v>
      </c>
      <c r="Z1021" t="s">
        <v>53</v>
      </c>
      <c r="AA1021" t="s">
        <v>53</v>
      </c>
      <c r="AC1021" s="2">
        <v>0.64364432859369702</v>
      </c>
      <c r="AD1021" s="2">
        <v>0.50901752710342396</v>
      </c>
      <c r="AE1021" s="2">
        <v>0.28046405315399198</v>
      </c>
      <c r="AF1021" s="2">
        <v>0.21185079216957101</v>
      </c>
      <c r="AG1021" s="2">
        <v>0.108492366969585</v>
      </c>
      <c r="AH1021" s="2">
        <v>-0.16528807580471</v>
      </c>
      <c r="AI1021" s="2">
        <v>5.5463295429944999E-2</v>
      </c>
      <c r="AJ1021" s="2">
        <v>0.334290440476673</v>
      </c>
      <c r="AK1021" s="2">
        <v>0.33495226466158601</v>
      </c>
      <c r="AL1021" s="2">
        <v>0.2121416540944</v>
      </c>
      <c r="AM1021" s="2">
        <v>0.57804811000823997</v>
      </c>
      <c r="AN1021" s="2">
        <v>0.53625959157943703</v>
      </c>
      <c r="AO1021" s="2">
        <v>0.21349920332431799</v>
      </c>
      <c r="AP1021" s="2">
        <v>0.56969851255416903</v>
      </c>
    </row>
    <row r="1022" spans="1:42" x14ac:dyDescent="0.3">
      <c r="A1022" t="s">
        <v>356</v>
      </c>
      <c r="B1022" s="3">
        <v>2015</v>
      </c>
      <c r="C1022" s="3">
        <v>23.462914000000001</v>
      </c>
      <c r="D1022" s="3">
        <v>2066.39</v>
      </c>
      <c r="E1022" t="s">
        <v>357</v>
      </c>
      <c r="G1022" s="3">
        <v>835123.75</v>
      </c>
      <c r="H1022" s="3">
        <v>1083112.375</v>
      </c>
      <c r="I1022" s="3">
        <v>1243318.5</v>
      </c>
      <c r="J1022" s="3">
        <v>1149393.5</v>
      </c>
      <c r="K1022" s="3">
        <v>4904309</v>
      </c>
      <c r="L1022" s="3">
        <v>6.2233246862888301E-2</v>
      </c>
      <c r="M1022" s="3">
        <v>0.84211987257003795</v>
      </c>
      <c r="N1022" s="3">
        <v>0.76558101177215598</v>
      </c>
      <c r="O1022" s="3">
        <v>807627.125</v>
      </c>
      <c r="P1022" s="3">
        <v>1059620.875</v>
      </c>
      <c r="Q1022" s="3">
        <v>0.91274601221084595</v>
      </c>
      <c r="R1022" s="3">
        <v>0.650920629501343</v>
      </c>
      <c r="S1022" s="3">
        <v>0.41845318675041199</v>
      </c>
      <c r="T1022" s="3">
        <v>0.42987734079361001</v>
      </c>
      <c r="U1022" s="3">
        <v>0.46500566601753202</v>
      </c>
      <c r="W1022" t="s">
        <v>50</v>
      </c>
      <c r="X1022" t="s">
        <v>51</v>
      </c>
      <c r="Y1022" t="s">
        <v>52</v>
      </c>
      <c r="Z1022" t="s">
        <v>53</v>
      </c>
      <c r="AA1022" t="s">
        <v>53</v>
      </c>
      <c r="AC1022" s="2">
        <v>0.71412206933312405</v>
      </c>
      <c r="AD1022" s="2">
        <v>0.55195999145507801</v>
      </c>
      <c r="AE1022" s="2">
        <v>0.21575602889060999</v>
      </c>
      <c r="AF1022" s="2">
        <v>0.17461775243282299</v>
      </c>
      <c r="AG1022" s="2">
        <v>0.54244875907898005</v>
      </c>
      <c r="AH1022" s="2">
        <v>-0.48478257656097401</v>
      </c>
      <c r="AI1022" s="2">
        <v>2.1781268273676099E-16</v>
      </c>
      <c r="AJ1022" s="2">
        <v>0.43407557183065199</v>
      </c>
      <c r="AK1022" s="2">
        <v>0.46834932777479799</v>
      </c>
      <c r="AL1022" s="2">
        <v>0.369071427015502</v>
      </c>
      <c r="AM1022" s="2">
        <v>0.61104834079742398</v>
      </c>
      <c r="AN1022" s="2">
        <v>0.56013721227645896</v>
      </c>
      <c r="AO1022" s="2">
        <v>0.30578905344009399</v>
      </c>
      <c r="AP1022" s="2">
        <v>0.40054440498352101</v>
      </c>
    </row>
    <row r="1023" spans="1:42" x14ac:dyDescent="0.3">
      <c r="A1023" t="s">
        <v>356</v>
      </c>
      <c r="B1023" s="3">
        <v>2016</v>
      </c>
      <c r="C1023" s="3">
        <v>23.515944999999999</v>
      </c>
      <c r="D1023" s="3">
        <v>2065.83</v>
      </c>
      <c r="E1023" t="s">
        <v>357</v>
      </c>
      <c r="G1023" s="3">
        <v>841104.75</v>
      </c>
      <c r="H1023" s="3">
        <v>1083365.375</v>
      </c>
      <c r="I1023" s="3">
        <v>1238049.375</v>
      </c>
      <c r="J1023" s="3">
        <v>1162836.625</v>
      </c>
      <c r="K1023" s="3">
        <v>4871502.5</v>
      </c>
      <c r="L1023" s="3">
        <v>6.0847591608762699E-2</v>
      </c>
      <c r="M1023" s="3">
        <v>0.84546154737472501</v>
      </c>
      <c r="N1023" s="3">
        <v>0.76153934001922596</v>
      </c>
      <c r="O1023" s="3">
        <v>830725</v>
      </c>
      <c r="P1023" s="3">
        <v>1086965.875</v>
      </c>
      <c r="Q1023" s="3">
        <v>0.91482615470886197</v>
      </c>
      <c r="R1023" s="3">
        <v>0.650920629501343</v>
      </c>
      <c r="S1023" s="3">
        <v>0.425269454717636</v>
      </c>
      <c r="T1023" s="3">
        <v>0.43859511613845797</v>
      </c>
      <c r="U1023" s="3">
        <v>0.46696361899375899</v>
      </c>
      <c r="W1023" t="s">
        <v>50</v>
      </c>
      <c r="X1023" t="s">
        <v>51</v>
      </c>
      <c r="Y1023" t="s">
        <v>52</v>
      </c>
      <c r="Z1023" t="s">
        <v>53</v>
      </c>
      <c r="AA1023" t="s">
        <v>53</v>
      </c>
      <c r="AC1023" s="2">
        <v>0.65888873769039502</v>
      </c>
      <c r="AD1023" s="2">
        <v>0.54897838830947898</v>
      </c>
      <c r="AE1023" s="2">
        <v>0.208335921168327</v>
      </c>
      <c r="AF1023" s="2">
        <v>0.17434312403202101</v>
      </c>
      <c r="AG1023" s="2">
        <v>0.51911157369613703</v>
      </c>
      <c r="AH1023" s="2">
        <v>-0.45076897740364102</v>
      </c>
      <c r="AI1023" s="2">
        <v>-2.1439191370949499E-16</v>
      </c>
      <c r="AJ1023" s="2">
        <v>0.44005343687704701</v>
      </c>
      <c r="AK1023" s="2">
        <v>0.48486046383966602</v>
      </c>
      <c r="AL1023" s="2">
        <v>0.37871709131074899</v>
      </c>
      <c r="AM1023" s="2">
        <v>0.60505652427673295</v>
      </c>
      <c r="AN1023" s="2">
        <v>0.567360699176788</v>
      </c>
      <c r="AO1023" s="2">
        <v>0.30976969003677401</v>
      </c>
      <c r="AP1023" s="2">
        <v>0.40322351455688499</v>
      </c>
    </row>
    <row r="1024" spans="1:42" x14ac:dyDescent="0.3">
      <c r="A1024" t="s">
        <v>356</v>
      </c>
      <c r="B1024" s="3">
        <v>2017</v>
      </c>
      <c r="C1024" s="3">
        <v>23.555522</v>
      </c>
      <c r="D1024" s="3">
        <v>2066.8200000000002</v>
      </c>
      <c r="E1024" t="s">
        <v>357</v>
      </c>
      <c r="G1024" s="3">
        <v>847216.3125</v>
      </c>
      <c r="H1024" s="3">
        <v>1082195</v>
      </c>
      <c r="I1024" s="3">
        <v>1248850.875</v>
      </c>
      <c r="J1024" s="3">
        <v>1188480.75</v>
      </c>
      <c r="K1024" s="3">
        <v>4860801</v>
      </c>
      <c r="L1024" s="3">
        <v>6.0048673301935203E-2</v>
      </c>
      <c r="M1024" s="3">
        <v>0.84584236145019498</v>
      </c>
      <c r="N1024" s="3">
        <v>0.74171519279480003</v>
      </c>
      <c r="O1024" s="3">
        <v>847590.75</v>
      </c>
      <c r="P1024" s="3">
        <v>1101539.25</v>
      </c>
      <c r="Q1024" s="3">
        <v>0.92682814598083496</v>
      </c>
      <c r="R1024" s="3">
        <v>0.650920629501343</v>
      </c>
      <c r="S1024" s="3">
        <v>0.45802888274192799</v>
      </c>
      <c r="T1024" s="3">
        <v>0.47305899858474698</v>
      </c>
      <c r="U1024" s="3">
        <v>0.49708852171897899</v>
      </c>
      <c r="W1024" t="s">
        <v>51</v>
      </c>
      <c r="X1024" t="s">
        <v>51</v>
      </c>
      <c r="Y1024" t="s">
        <v>52</v>
      </c>
      <c r="Z1024" t="s">
        <v>53</v>
      </c>
      <c r="AA1024" t="s">
        <v>53</v>
      </c>
      <c r="AC1024" s="2">
        <v>0.60578411691974698</v>
      </c>
      <c r="AD1024" s="2">
        <v>0.53964370489120495</v>
      </c>
      <c r="AE1024" s="2">
        <v>0.19771352410316501</v>
      </c>
      <c r="AF1024" s="2">
        <v>0.173212826251984</v>
      </c>
      <c r="AG1024" s="2">
        <v>0.54437994956970204</v>
      </c>
      <c r="AH1024" s="2">
        <v>-0.45495000481605502</v>
      </c>
      <c r="AI1024" s="2">
        <v>0</v>
      </c>
      <c r="AJ1024" s="2">
        <v>0.47767926075128198</v>
      </c>
      <c r="AK1024" s="2">
        <v>0.52725007224089304</v>
      </c>
      <c r="AL1024" s="2">
        <v>0.39680825175158202</v>
      </c>
      <c r="AM1024" s="2">
        <v>0.61416518688201904</v>
      </c>
      <c r="AN1024" s="2">
        <v>0.58908468484878496</v>
      </c>
      <c r="AO1024" s="2">
        <v>0.34011182188987699</v>
      </c>
      <c r="AP1024" s="2">
        <v>0.42848941683769198</v>
      </c>
    </row>
    <row r="1025" spans="1:42" x14ac:dyDescent="0.3">
      <c r="A1025" t="s">
        <v>356</v>
      </c>
      <c r="B1025" s="3">
        <v>2018</v>
      </c>
      <c r="C1025" s="3">
        <v>23.580079999999999</v>
      </c>
      <c r="D1025" s="3">
        <v>2063.58</v>
      </c>
      <c r="E1025" t="s">
        <v>357</v>
      </c>
      <c r="G1025" s="3">
        <v>856517.3125</v>
      </c>
      <c r="H1025" s="3">
        <v>1109647.625</v>
      </c>
      <c r="I1025" s="3">
        <v>1249392.75</v>
      </c>
      <c r="J1025" s="3">
        <v>1188337</v>
      </c>
      <c r="K1025" s="3">
        <v>5007995.5</v>
      </c>
      <c r="L1025" s="3">
        <v>6.1001788824796697E-2</v>
      </c>
      <c r="M1025" s="3">
        <v>0.819216668605804</v>
      </c>
      <c r="N1025" s="3">
        <v>0.73635935783386197</v>
      </c>
      <c r="O1025" s="3">
        <v>868511.125</v>
      </c>
      <c r="P1025" s="3">
        <v>1140647.875</v>
      </c>
      <c r="Q1025" s="3">
        <v>0.93493282794952404</v>
      </c>
      <c r="R1025" s="3">
        <v>0.650920629501343</v>
      </c>
      <c r="S1025" s="3">
        <v>0.47358316183090199</v>
      </c>
      <c r="T1025" s="3">
        <v>0.48763802647590598</v>
      </c>
      <c r="U1025" s="3">
        <v>0.512692451477051</v>
      </c>
      <c r="W1025" t="s">
        <v>50</v>
      </c>
      <c r="X1025" t="s">
        <v>51</v>
      </c>
      <c r="Y1025" t="s">
        <v>52</v>
      </c>
      <c r="Z1025" t="s">
        <v>53</v>
      </c>
      <c r="AA1025" t="s">
        <v>53</v>
      </c>
      <c r="AC1025" s="2">
        <v>0.60461573460182205</v>
      </c>
      <c r="AD1025" s="2">
        <v>0.54065001010894798</v>
      </c>
      <c r="AE1025" s="2">
        <v>0.21301220357418099</v>
      </c>
      <c r="AF1025" s="2">
        <v>0.180119708180428</v>
      </c>
      <c r="AG1025" s="2">
        <v>0.53276497125625599</v>
      </c>
      <c r="AH1025" s="2">
        <v>-0.46654686331749001</v>
      </c>
      <c r="AI1025" s="2">
        <v>0</v>
      </c>
      <c r="AJ1025" s="2">
        <v>0.49597295599327101</v>
      </c>
      <c r="AK1025" s="2">
        <v>0.53519544181537804</v>
      </c>
      <c r="AL1025" s="2">
        <v>0.40637766114502</v>
      </c>
      <c r="AM1025" s="2">
        <v>0.63847684860229503</v>
      </c>
      <c r="AN1025" s="2">
        <v>0.60618394613266002</v>
      </c>
      <c r="AO1025" s="2">
        <v>0.34947299957275402</v>
      </c>
      <c r="AP1025" s="2">
        <v>0.41223403811454801</v>
      </c>
    </row>
    <row r="1026" spans="1:42" x14ac:dyDescent="0.3">
      <c r="A1026" t="s">
        <v>356</v>
      </c>
      <c r="B1026" s="3">
        <v>2019</v>
      </c>
      <c r="C1026" s="3">
        <v>23.596026999999999</v>
      </c>
      <c r="D1026" s="3">
        <v>2052.85</v>
      </c>
      <c r="E1026" t="s">
        <v>357</v>
      </c>
      <c r="G1026" s="3">
        <v>884740.625</v>
      </c>
      <c r="H1026" s="3">
        <v>1163984</v>
      </c>
      <c r="I1026" s="3">
        <v>1291915.875</v>
      </c>
      <c r="J1026" s="3">
        <v>1248572.125</v>
      </c>
      <c r="K1026" s="3">
        <v>5214267.5</v>
      </c>
      <c r="L1026" s="3">
        <v>6.2605060636997195E-2</v>
      </c>
      <c r="M1026" s="3">
        <v>0.83094608783721902</v>
      </c>
      <c r="N1026" s="3">
        <v>0.74543011188507102</v>
      </c>
      <c r="O1026" s="3">
        <v>884890.3125</v>
      </c>
      <c r="P1026" s="3">
        <v>1177728.625</v>
      </c>
      <c r="Q1026" s="3">
        <v>0.945387303829193</v>
      </c>
      <c r="R1026" s="3">
        <v>0.650920629501343</v>
      </c>
      <c r="S1026" s="3">
        <v>0.45810019969940202</v>
      </c>
      <c r="T1026" s="3">
        <v>0.473201304674149</v>
      </c>
      <c r="U1026" s="3">
        <v>0.48962831497192399</v>
      </c>
      <c r="W1026" t="s">
        <v>50</v>
      </c>
      <c r="X1026" t="s">
        <v>54</v>
      </c>
      <c r="Y1026" t="s">
        <v>52</v>
      </c>
      <c r="Z1026" t="s">
        <v>53</v>
      </c>
      <c r="AA1026" t="s">
        <v>53</v>
      </c>
      <c r="AC1026" s="2">
        <v>0.60169556908206401</v>
      </c>
      <c r="AD1026" s="2">
        <v>0.53402483463287398</v>
      </c>
      <c r="AE1026" s="2">
        <v>0.22365015745163</v>
      </c>
      <c r="AF1026" s="2">
        <v>0.17457714676857</v>
      </c>
      <c r="AG1026" s="2">
        <v>0.51575374603271495</v>
      </c>
      <c r="AH1026" s="2">
        <v>-0.44800588488578802</v>
      </c>
      <c r="AI1026" s="2">
        <v>0</v>
      </c>
      <c r="AJ1026" s="2">
        <v>0.47922195408266799</v>
      </c>
      <c r="AK1026" s="2">
        <v>0.52104696762965097</v>
      </c>
      <c r="AL1026" s="2">
        <v>0.39348958351657998</v>
      </c>
      <c r="AM1026" s="2">
        <v>0.59860008955001798</v>
      </c>
      <c r="AN1026" s="2">
        <v>0.58089601993560802</v>
      </c>
      <c r="AO1026" s="2">
        <v>0.34340968728065502</v>
      </c>
      <c r="AP1026" s="2">
        <v>0.38771381974220298</v>
      </c>
    </row>
    <row r="1027" spans="1:42" x14ac:dyDescent="0.3">
      <c r="A1027" t="s">
        <v>356</v>
      </c>
      <c r="B1027" s="3">
        <v>2020</v>
      </c>
      <c r="C1027" s="3">
        <v>23.582179</v>
      </c>
      <c r="D1027" s="3">
        <v>2004.87</v>
      </c>
      <c r="E1027" t="s">
        <v>357</v>
      </c>
      <c r="G1027" s="3">
        <v>883582.375</v>
      </c>
      <c r="H1027" s="3">
        <v>1190784.75</v>
      </c>
      <c r="I1027" s="3">
        <v>1378998.125</v>
      </c>
      <c r="J1027" s="3">
        <v>1308352</v>
      </c>
      <c r="K1027" s="3">
        <v>5587313</v>
      </c>
      <c r="L1027" s="3">
        <v>6.4795851707458496E-2</v>
      </c>
      <c r="M1027" s="3">
        <v>0.84547913074493397</v>
      </c>
      <c r="N1027" s="3">
        <v>0.73820209503173795</v>
      </c>
      <c r="O1027" s="3">
        <v>872354</v>
      </c>
      <c r="P1027" s="3">
        <v>1187658.375</v>
      </c>
      <c r="Q1027" s="3">
        <v>0.97330409288406405</v>
      </c>
      <c r="R1027" s="3">
        <v>0.650920629501343</v>
      </c>
      <c r="S1027" s="3">
        <v>0.47343692183494601</v>
      </c>
      <c r="T1027" s="3">
        <v>0.48821848630905201</v>
      </c>
      <c r="U1027" s="3">
        <v>0.51458048820495605</v>
      </c>
      <c r="W1027" t="s">
        <v>50</v>
      </c>
      <c r="X1027" t="s">
        <v>54</v>
      </c>
      <c r="Y1027" t="s">
        <v>52</v>
      </c>
      <c r="Z1027" t="s">
        <v>53</v>
      </c>
      <c r="AA1027" t="s">
        <v>53</v>
      </c>
      <c r="AC1027" s="2">
        <v>0.59539687803479402</v>
      </c>
      <c r="AD1027" s="2">
        <v>0.50165098905563399</v>
      </c>
      <c r="AE1027" s="2">
        <v>0.23480097949504899</v>
      </c>
      <c r="AF1027" s="2">
        <v>0.17368896305561099</v>
      </c>
      <c r="AG1027" s="2">
        <v>0.49556648731231701</v>
      </c>
      <c r="AH1027" s="2">
        <v>-0.40570747852325401</v>
      </c>
      <c r="AI1027" s="2">
        <v>1.7291481462993E-16</v>
      </c>
      <c r="AJ1027" s="2">
        <v>0.49453422653575202</v>
      </c>
      <c r="AK1027" s="2">
        <v>0.53073359674935805</v>
      </c>
      <c r="AL1027" s="2">
        <v>0.412503344321835</v>
      </c>
      <c r="AM1027" s="2">
        <v>0.60313677787780795</v>
      </c>
      <c r="AN1027" s="2">
        <v>0.56361186504364003</v>
      </c>
      <c r="AO1027" s="2">
        <v>0.34827095270156899</v>
      </c>
      <c r="AP1027" s="2">
        <v>0.43070492148399397</v>
      </c>
    </row>
    <row r="1028" spans="1:42" x14ac:dyDescent="0.3">
      <c r="A1028" t="s">
        <v>358</v>
      </c>
      <c r="B1028" s="3">
        <v>2015</v>
      </c>
      <c r="C1028" s="3">
        <v>50.579779000000002</v>
      </c>
      <c r="D1028" s="3">
        <v>1971.2</v>
      </c>
      <c r="E1028" t="s">
        <v>359</v>
      </c>
      <c r="G1028" s="3">
        <v>104306.65625</v>
      </c>
      <c r="H1028" s="3">
        <v>137967.140625</v>
      </c>
      <c r="I1028" s="3">
        <v>129488.421875</v>
      </c>
      <c r="J1028" s="3">
        <v>137673.25</v>
      </c>
      <c r="K1028" s="3">
        <v>432409.1875</v>
      </c>
      <c r="L1028" s="3">
        <v>4.6462449245154901E-3</v>
      </c>
      <c r="M1028" s="3">
        <v>0.36168020963668801</v>
      </c>
      <c r="N1028" s="3">
        <v>0.34967401623725902</v>
      </c>
      <c r="O1028" s="3">
        <v>128827.5546875</v>
      </c>
      <c r="P1028" s="3">
        <v>154412.671875</v>
      </c>
      <c r="Q1028" s="3">
        <v>1.0384886264801001</v>
      </c>
      <c r="R1028" s="3">
        <v>0.51193171739578303</v>
      </c>
      <c r="S1028" s="3">
        <v>0.33516821265220598</v>
      </c>
      <c r="T1028" s="3">
        <v>0.36589065194129899</v>
      </c>
      <c r="U1028" s="3">
        <v>0.34413805603981001</v>
      </c>
      <c r="W1028" t="s">
        <v>50</v>
      </c>
      <c r="X1028" t="s">
        <v>51</v>
      </c>
      <c r="Y1028" t="s">
        <v>52</v>
      </c>
      <c r="Z1028" t="s">
        <v>53</v>
      </c>
      <c r="AA1028" t="s">
        <v>53</v>
      </c>
      <c r="AC1028" s="2">
        <v>0.189872004299561</v>
      </c>
      <c r="AD1028" s="2">
        <v>0.67769438028335605</v>
      </c>
      <c r="AE1028" s="2">
        <v>0.24449549615383101</v>
      </c>
      <c r="AF1028" s="2">
        <v>7.9944856464862796E-2</v>
      </c>
      <c r="AG1028" s="2">
        <v>7.5825579464435605E-2</v>
      </c>
      <c r="AH1028" s="2">
        <v>-0.199311584234238</v>
      </c>
      <c r="AI1028" s="2">
        <v>0.121351301670074</v>
      </c>
      <c r="AJ1028" s="2">
        <v>0.32429515017405203</v>
      </c>
      <c r="AK1028" s="2">
        <v>0.46109285128735</v>
      </c>
      <c r="AL1028" s="2">
        <v>0.42733952728676999</v>
      </c>
      <c r="AM1028" s="2">
        <v>0.56079548597335804</v>
      </c>
      <c r="AN1028" s="2">
        <v>0.53593426942825295</v>
      </c>
      <c r="AO1028" s="2">
        <v>0.28631639480590798</v>
      </c>
      <c r="AP1028" s="2">
        <v>0.66494041681289695</v>
      </c>
    </row>
    <row r="1029" spans="1:42" x14ac:dyDescent="0.3">
      <c r="A1029" t="s">
        <v>358</v>
      </c>
      <c r="B1029" s="3">
        <v>2016</v>
      </c>
      <c r="C1029" s="3">
        <v>52.335977</v>
      </c>
      <c r="D1029" s="3">
        <v>1997.67</v>
      </c>
      <c r="E1029" t="s">
        <v>359</v>
      </c>
      <c r="G1029" s="3">
        <v>107297.640625</v>
      </c>
      <c r="H1029" s="3">
        <v>139793.453125</v>
      </c>
      <c r="I1029" s="3">
        <v>138180.6875</v>
      </c>
      <c r="J1029" s="3">
        <v>140291.875</v>
      </c>
      <c r="K1029" s="3">
        <v>404540.625</v>
      </c>
      <c r="L1029" s="3">
        <v>4.31885523721576E-3</v>
      </c>
      <c r="M1029" s="3">
        <v>0.36226940155029302</v>
      </c>
      <c r="N1029" s="3">
        <v>0.34900194406509399</v>
      </c>
      <c r="O1029" s="3">
        <v>130624.7890625</v>
      </c>
      <c r="P1029" s="3">
        <v>160305.71875</v>
      </c>
      <c r="Q1029" s="3">
        <v>1.0427988767623899</v>
      </c>
      <c r="R1029" s="3">
        <v>0.53658795356750499</v>
      </c>
      <c r="S1029" s="3">
        <v>0.32004672288894698</v>
      </c>
      <c r="T1029" s="3">
        <v>0.36020958423614502</v>
      </c>
      <c r="U1029" s="3">
        <v>0.354788929224014</v>
      </c>
      <c r="W1029" t="s">
        <v>50</v>
      </c>
      <c r="X1029" t="s">
        <v>51</v>
      </c>
      <c r="Y1029" t="s">
        <v>52</v>
      </c>
      <c r="Z1029" t="s">
        <v>53</v>
      </c>
      <c r="AA1029" t="s">
        <v>53</v>
      </c>
      <c r="AC1029" s="2">
        <v>0.14548423304422201</v>
      </c>
      <c r="AD1029" s="2">
        <v>0.688526630401611</v>
      </c>
      <c r="AE1029" s="2">
        <v>0.23162999749183699</v>
      </c>
      <c r="AF1029" s="2">
        <v>7.6290540397167206E-2</v>
      </c>
      <c r="AG1029" s="2">
        <v>6.1092894524335903E-2</v>
      </c>
      <c r="AH1029" s="2">
        <v>-0.10883653908968</v>
      </c>
      <c r="AI1029" s="2">
        <v>5.1296468824148199E-2</v>
      </c>
      <c r="AJ1029" s="2">
        <v>0.30879018149045201</v>
      </c>
      <c r="AK1029" s="2">
        <v>0.49282296946306903</v>
      </c>
      <c r="AL1029" s="2">
        <v>0.42163760826744601</v>
      </c>
      <c r="AM1029" s="2">
        <v>0.55326277017593395</v>
      </c>
      <c r="AN1029" s="2">
        <v>0.51582598686218295</v>
      </c>
      <c r="AO1029" s="2">
        <v>0.31339493393897999</v>
      </c>
      <c r="AP1029" s="2">
        <v>0.69129675626754805</v>
      </c>
    </row>
    <row r="1030" spans="1:42" x14ac:dyDescent="0.3">
      <c r="A1030" t="s">
        <v>358</v>
      </c>
      <c r="B1030" s="3">
        <v>2017</v>
      </c>
      <c r="C1030" s="3">
        <v>54.118599000000003</v>
      </c>
      <c r="D1030" s="3">
        <v>2024.41</v>
      </c>
      <c r="E1030" t="s">
        <v>359</v>
      </c>
      <c r="G1030" s="3">
        <v>108880.2421875</v>
      </c>
      <c r="H1030" s="3">
        <v>139683.859375</v>
      </c>
      <c r="I1030" s="3">
        <v>138652.828125</v>
      </c>
      <c r="J1030" s="3">
        <v>140831.734375</v>
      </c>
      <c r="K1030" s="3">
        <v>388974.34375</v>
      </c>
      <c r="L1030" s="3">
        <v>4.1376100853085501E-3</v>
      </c>
      <c r="M1030" s="3">
        <v>0.34762522578239402</v>
      </c>
      <c r="N1030" s="3">
        <v>0.33204057812690702</v>
      </c>
      <c r="O1030" s="3">
        <v>135567.421875</v>
      </c>
      <c r="P1030" s="3">
        <v>168244.640625</v>
      </c>
      <c r="Q1030" s="3">
        <v>1.0466617345809901</v>
      </c>
      <c r="R1030" s="3">
        <v>0.57325863838195801</v>
      </c>
      <c r="S1030" s="3">
        <v>0.33462843298912098</v>
      </c>
      <c r="T1030" s="3">
        <v>0.38423240184783902</v>
      </c>
      <c r="U1030" s="3">
        <v>0.378287643194199</v>
      </c>
      <c r="W1030" t="s">
        <v>51</v>
      </c>
      <c r="X1030" t="s">
        <v>51</v>
      </c>
      <c r="Y1030" t="s">
        <v>52</v>
      </c>
      <c r="Z1030" t="s">
        <v>53</v>
      </c>
      <c r="AA1030" t="s">
        <v>53</v>
      </c>
      <c r="AC1030" s="2">
        <v>0.22707347010435699</v>
      </c>
      <c r="AD1030" s="2">
        <v>0.69985264539718595</v>
      </c>
      <c r="AE1030" s="2">
        <v>0.218726396560669</v>
      </c>
      <c r="AF1030" s="2">
        <v>7.3270276188850403E-2</v>
      </c>
      <c r="AG1030" s="2">
        <v>5.2978135645389599E-2</v>
      </c>
      <c r="AH1030" s="2">
        <v>-0.104727037250996</v>
      </c>
      <c r="AI1030" s="2">
        <v>5.9899628162383999E-2</v>
      </c>
      <c r="AJ1030" s="2">
        <v>0.32369882719924797</v>
      </c>
      <c r="AK1030" s="2">
        <v>0.55956542527807396</v>
      </c>
      <c r="AL1030" s="2">
        <v>0.43902430359627598</v>
      </c>
      <c r="AM1030" s="2">
        <v>0.55999296903610196</v>
      </c>
      <c r="AN1030" s="2">
        <v>0.52650815248489402</v>
      </c>
      <c r="AO1030" s="2">
        <v>0.36007463932037398</v>
      </c>
      <c r="AP1030" s="2">
        <v>0.68553763628006004</v>
      </c>
    </row>
    <row r="1031" spans="1:42" x14ac:dyDescent="0.3">
      <c r="A1031" t="s">
        <v>358</v>
      </c>
      <c r="B1031" s="3">
        <v>2018</v>
      </c>
      <c r="C1031" s="3">
        <v>55.857295999999998</v>
      </c>
      <c r="D1031" s="3">
        <v>2051.1999999999998</v>
      </c>
      <c r="E1031" t="s">
        <v>359</v>
      </c>
      <c r="G1031" s="3">
        <v>123739.9453125</v>
      </c>
      <c r="H1031" s="3">
        <v>156093.671875</v>
      </c>
      <c r="I1031" s="3">
        <v>151015.453125</v>
      </c>
      <c r="J1031" s="3">
        <v>154711.046875</v>
      </c>
      <c r="K1031" s="3">
        <v>369477.34375</v>
      </c>
      <c r="L1031" s="3">
        <v>3.7976924795657401E-3</v>
      </c>
      <c r="M1031" s="3">
        <v>0.38185420632362399</v>
      </c>
      <c r="N1031" s="3">
        <v>0.370857834815979</v>
      </c>
      <c r="O1031" s="3">
        <v>143481.03125</v>
      </c>
      <c r="P1031" s="3">
        <v>187459.09375</v>
      </c>
      <c r="Q1031" s="3">
        <v>1.05037033557892</v>
      </c>
      <c r="R1031" s="3">
        <v>0.57826119661331199</v>
      </c>
      <c r="S1031" s="3">
        <v>0.31246444582939198</v>
      </c>
      <c r="T1031" s="3">
        <v>0.36270868778228799</v>
      </c>
      <c r="U1031" s="3">
        <v>0.35404467582702598</v>
      </c>
      <c r="W1031" t="s">
        <v>50</v>
      </c>
      <c r="X1031" t="s">
        <v>51</v>
      </c>
      <c r="Y1031" t="s">
        <v>52</v>
      </c>
      <c r="Z1031" t="s">
        <v>53</v>
      </c>
      <c r="AA1031" t="s">
        <v>53</v>
      </c>
      <c r="AC1031" s="2">
        <v>0.35078224456016799</v>
      </c>
      <c r="AD1031" s="2">
        <v>0.73075354099273704</v>
      </c>
      <c r="AE1031" s="2">
        <v>0.20912353694438901</v>
      </c>
      <c r="AF1031" s="2">
        <v>6.9059714674949702E-2</v>
      </c>
      <c r="AG1031" s="2">
        <v>4.01955246925354E-2</v>
      </c>
      <c r="AH1031" s="2">
        <v>-0.104679130017757</v>
      </c>
      <c r="AI1031" s="2">
        <v>5.5546771734952899E-2</v>
      </c>
      <c r="AJ1031" s="2">
        <v>0.30109133049870501</v>
      </c>
      <c r="AK1031" s="2">
        <v>0.55487258677814699</v>
      </c>
      <c r="AL1031" s="2">
        <v>0.432808813290471</v>
      </c>
      <c r="AM1031" s="2">
        <v>0.590029656887054</v>
      </c>
      <c r="AN1031" s="2">
        <v>0.52816718816757202</v>
      </c>
      <c r="AO1031" s="2">
        <v>0.355200946331024</v>
      </c>
      <c r="AP1031" s="2">
        <v>0.71923172473907504</v>
      </c>
    </row>
    <row r="1032" spans="1:42" x14ac:dyDescent="0.3">
      <c r="A1032" t="s">
        <v>358</v>
      </c>
      <c r="B1032" s="3">
        <v>2019</v>
      </c>
      <c r="C1032" s="3">
        <v>57.549301999999997</v>
      </c>
      <c r="D1032" s="3">
        <v>2078.35</v>
      </c>
      <c r="E1032" t="s">
        <v>359</v>
      </c>
      <c r="G1032" s="3">
        <v>135570.734375</v>
      </c>
      <c r="H1032" s="3">
        <v>172828.84375</v>
      </c>
      <c r="I1032" s="3">
        <v>167834.75</v>
      </c>
      <c r="J1032" s="3">
        <v>170548.203125</v>
      </c>
      <c r="K1032" s="3">
        <v>447530.8125</v>
      </c>
      <c r="L1032" s="3">
        <v>4.4265440665185504E-3</v>
      </c>
      <c r="M1032" s="3">
        <v>0.37635824084281899</v>
      </c>
      <c r="N1032" s="3">
        <v>0.36700409650802601</v>
      </c>
      <c r="O1032" s="3">
        <v>147353.9375</v>
      </c>
      <c r="P1032" s="3">
        <v>195539.65625</v>
      </c>
      <c r="Q1032" s="3">
        <v>1.0444377660751301</v>
      </c>
      <c r="R1032" s="3">
        <v>0.57437598705291804</v>
      </c>
      <c r="S1032" s="3">
        <v>0.29798787832260099</v>
      </c>
      <c r="T1032" s="3">
        <v>0.35032805800437899</v>
      </c>
      <c r="U1032" s="3">
        <v>0.344754248857498</v>
      </c>
      <c r="W1032" t="s">
        <v>50</v>
      </c>
      <c r="X1032" t="s">
        <v>54</v>
      </c>
      <c r="Y1032" t="s">
        <v>52</v>
      </c>
      <c r="Z1032" t="s">
        <v>53</v>
      </c>
      <c r="AA1032" t="s">
        <v>53</v>
      </c>
      <c r="AC1032" s="2">
        <v>0.41960571808844099</v>
      </c>
      <c r="AD1032" s="2">
        <v>0.730260729789734</v>
      </c>
      <c r="AE1032" s="2">
        <v>0.218460828065872</v>
      </c>
      <c r="AF1032" s="2">
        <v>6.4650796353817E-2</v>
      </c>
      <c r="AG1032" s="2">
        <v>4.3426044285297401E-2</v>
      </c>
      <c r="AH1032" s="2">
        <v>-9.9357537925243405E-2</v>
      </c>
      <c r="AI1032" s="2">
        <v>4.2559109628200503E-2</v>
      </c>
      <c r="AJ1032" s="2">
        <v>0.28624533432249</v>
      </c>
      <c r="AK1032" s="2">
        <v>0.54077786671732098</v>
      </c>
      <c r="AL1032" s="2">
        <v>0.430625303410614</v>
      </c>
      <c r="AM1032" s="2">
        <v>0.57589018344879195</v>
      </c>
      <c r="AN1032" s="2">
        <v>0.50262486934661899</v>
      </c>
      <c r="AO1032" s="2">
        <v>0.34508112072944602</v>
      </c>
      <c r="AP1032" s="2">
        <v>0.64303475618362405</v>
      </c>
    </row>
    <row r="1033" spans="1:42" x14ac:dyDescent="0.3">
      <c r="A1033" t="s">
        <v>358</v>
      </c>
      <c r="B1033" s="3">
        <v>2020</v>
      </c>
      <c r="C1033" s="3">
        <v>59.301200000000001</v>
      </c>
      <c r="D1033" s="3">
        <v>2034.42</v>
      </c>
      <c r="E1033" t="s">
        <v>359</v>
      </c>
      <c r="G1033" s="3">
        <v>150056.5</v>
      </c>
      <c r="H1033" s="3">
        <v>196126.9375</v>
      </c>
      <c r="I1033" s="3">
        <v>182629.640625</v>
      </c>
      <c r="J1033" s="3">
        <v>184143.390625</v>
      </c>
      <c r="K1033" s="3">
        <v>583148.0625</v>
      </c>
      <c r="L1033" s="3">
        <v>5.4481625556945801E-3</v>
      </c>
      <c r="M1033" s="3">
        <v>0.35806331038474998</v>
      </c>
      <c r="N1033" s="3">
        <v>0.36585119366645802</v>
      </c>
      <c r="O1033" s="3">
        <v>154710.84375</v>
      </c>
      <c r="P1033" s="3">
        <v>205483.078125</v>
      </c>
      <c r="Q1033" s="3">
        <v>1.03682053089142</v>
      </c>
      <c r="R1033" s="3">
        <v>0.57692247629165705</v>
      </c>
      <c r="S1033" s="3">
        <v>0.291007369756699</v>
      </c>
      <c r="T1033" s="3">
        <v>0.34699669480323803</v>
      </c>
      <c r="U1033" s="3">
        <v>0.34414419531822199</v>
      </c>
      <c r="W1033" t="s">
        <v>50</v>
      </c>
      <c r="X1033" t="s">
        <v>54</v>
      </c>
      <c r="Y1033" t="s">
        <v>52</v>
      </c>
      <c r="Z1033" t="s">
        <v>53</v>
      </c>
      <c r="AA1033" t="s">
        <v>53</v>
      </c>
      <c r="AC1033" s="2">
        <v>0.45645080274697902</v>
      </c>
      <c r="AD1033" s="2">
        <v>0.75303214788436901</v>
      </c>
      <c r="AE1033" s="2">
        <v>0.25018781423568698</v>
      </c>
      <c r="AF1033" s="2">
        <v>6.1857238411903402E-2</v>
      </c>
      <c r="AG1033" s="2">
        <v>3.3276144415140201E-2</v>
      </c>
      <c r="AH1033" s="2">
        <v>-8.3035856485366794E-2</v>
      </c>
      <c r="AI1033" s="2">
        <v>-1.53174977749586E-2</v>
      </c>
      <c r="AJ1033" s="2">
        <v>0.27950509831238601</v>
      </c>
      <c r="AK1033" s="2">
        <v>0.52936012797784204</v>
      </c>
      <c r="AL1033" s="2">
        <v>0.43103260338951199</v>
      </c>
      <c r="AM1033" s="2">
        <v>0.61660110950470004</v>
      </c>
      <c r="AN1033" s="2">
        <v>0.48991793394088701</v>
      </c>
      <c r="AO1033" s="2">
        <v>0.33412292599678001</v>
      </c>
      <c r="AP1033" s="2">
        <v>0.58437472581863403</v>
      </c>
    </row>
    <row r="1034" spans="1:42" x14ac:dyDescent="0.3">
      <c r="A1034" t="s">
        <v>360</v>
      </c>
      <c r="B1034" s="3">
        <v>2015</v>
      </c>
      <c r="C1034" s="3">
        <v>37.531446000000003</v>
      </c>
      <c r="D1034" s="3">
        <v>1514.71</v>
      </c>
      <c r="E1034" t="s">
        <v>361</v>
      </c>
      <c r="G1034" s="3">
        <v>83235.796875</v>
      </c>
      <c r="H1034" s="3">
        <v>99384.7890625</v>
      </c>
      <c r="I1034" s="3">
        <v>96229.734375</v>
      </c>
      <c r="J1034" s="3">
        <v>99355.0234375</v>
      </c>
      <c r="K1034" s="3">
        <v>230063.8125</v>
      </c>
      <c r="L1034" s="3"/>
      <c r="M1034" s="3"/>
      <c r="N1034" s="3"/>
      <c r="O1034" s="3">
        <v>78185.3984375</v>
      </c>
      <c r="P1034" s="3">
        <v>96404.1796875</v>
      </c>
      <c r="Q1034" s="3"/>
      <c r="R1034" s="3"/>
      <c r="S1034" s="3">
        <v>0.289056986570358</v>
      </c>
      <c r="T1034" s="3">
        <v>0.31355446577072099</v>
      </c>
      <c r="U1034" s="3">
        <v>0.303691387176514</v>
      </c>
      <c r="W1034" t="s">
        <v>50</v>
      </c>
      <c r="X1034" t="s">
        <v>51</v>
      </c>
      <c r="Y1034" t="s">
        <v>52</v>
      </c>
      <c r="Z1034" t="s">
        <v>53</v>
      </c>
      <c r="AC1034" s="2">
        <v>0.43020853234279299</v>
      </c>
      <c r="AD1034" s="2">
        <v>0.75266075134277299</v>
      </c>
      <c r="AE1034" s="2">
        <v>0.16253826022148099</v>
      </c>
      <c r="AF1034" s="2">
        <v>8.5100591182708699E-2</v>
      </c>
      <c r="AG1034" s="2">
        <v>4.0842164307832697E-2</v>
      </c>
      <c r="AH1034" s="2">
        <v>-0.11643445491790801</v>
      </c>
      <c r="AI1034" s="2">
        <v>7.5292654335498796E-2</v>
      </c>
      <c r="AJ1034" s="2">
        <v>0.29176210463934898</v>
      </c>
      <c r="AK1034" s="2">
        <v>0.43982043775908602</v>
      </c>
      <c r="AL1034" s="2">
        <v>0.26513185902115199</v>
      </c>
      <c r="AM1034" s="2">
        <v>0.55866903066635099</v>
      </c>
      <c r="AN1034" s="2">
        <v>0.47786575555801403</v>
      </c>
      <c r="AO1034" s="2">
        <v>0.25591468811035201</v>
      </c>
      <c r="AP1034" s="2"/>
    </row>
    <row r="1035" spans="1:42" x14ac:dyDescent="0.3">
      <c r="A1035" t="s">
        <v>360</v>
      </c>
      <c r="B1035" s="3">
        <v>2016</v>
      </c>
      <c r="C1035" s="3">
        <v>38.799151999999999</v>
      </c>
      <c r="D1035" s="3">
        <v>1611.23</v>
      </c>
      <c r="E1035" t="s">
        <v>361</v>
      </c>
      <c r="G1035" s="3">
        <v>83537.359375</v>
      </c>
      <c r="H1035" s="3">
        <v>99224.859375</v>
      </c>
      <c r="I1035" s="3">
        <v>95053.3828125</v>
      </c>
      <c r="J1035" s="3">
        <v>97670.6015625</v>
      </c>
      <c r="K1035" s="3">
        <v>226520.796875</v>
      </c>
      <c r="L1035" s="3"/>
      <c r="M1035" s="3"/>
      <c r="N1035" s="3"/>
      <c r="O1035" s="3">
        <v>79932.703125</v>
      </c>
      <c r="P1035" s="3">
        <v>99083.625</v>
      </c>
      <c r="Q1035" s="3"/>
      <c r="R1035" s="3"/>
      <c r="S1035" s="3">
        <v>0.29018306732177701</v>
      </c>
      <c r="T1035" s="3">
        <v>0.320655226707459</v>
      </c>
      <c r="U1035" s="3">
        <v>0.31206279993057301</v>
      </c>
      <c r="W1035" t="s">
        <v>50</v>
      </c>
      <c r="X1035" t="s">
        <v>51</v>
      </c>
      <c r="Y1035" t="s">
        <v>52</v>
      </c>
      <c r="Z1035" t="s">
        <v>53</v>
      </c>
      <c r="AC1035" s="2">
        <v>0.47541898056506099</v>
      </c>
      <c r="AD1035" s="2">
        <v>0.77214717864990201</v>
      </c>
      <c r="AE1035" s="2">
        <v>0.16061638295650499</v>
      </c>
      <c r="AF1035" s="2">
        <v>8.3149641752243E-2</v>
      </c>
      <c r="AG1035" s="2">
        <v>4.5292802155017901E-2</v>
      </c>
      <c r="AH1035" s="2">
        <v>-9.4328120350837694E-2</v>
      </c>
      <c r="AI1035" s="2">
        <v>3.3122092485427898E-2</v>
      </c>
      <c r="AJ1035" s="2">
        <v>0.29264825152834401</v>
      </c>
      <c r="AK1035" s="2">
        <v>0.48292229998085101</v>
      </c>
      <c r="AL1035" s="2">
        <v>0.26729077004483498</v>
      </c>
      <c r="AM1035" s="2">
        <v>0.56113004684448198</v>
      </c>
      <c r="AN1035" s="2">
        <v>0.52419567108154297</v>
      </c>
      <c r="AO1035" s="2">
        <v>0.28538972139358498</v>
      </c>
      <c r="AP1035" s="2"/>
    </row>
    <row r="1036" spans="1:42" x14ac:dyDescent="0.3">
      <c r="A1036" t="s">
        <v>360</v>
      </c>
      <c r="B1036" s="3">
        <v>2017</v>
      </c>
      <c r="C1036" s="3">
        <v>40.177388000000001</v>
      </c>
      <c r="D1036" s="3">
        <v>1708.5</v>
      </c>
      <c r="E1036" t="s">
        <v>361</v>
      </c>
      <c r="G1036" s="3">
        <v>88307.3046875</v>
      </c>
      <c r="H1036" s="3">
        <v>103400.0703125</v>
      </c>
      <c r="I1036" s="3">
        <v>98771.96875</v>
      </c>
      <c r="J1036" s="3">
        <v>100341.6015625</v>
      </c>
      <c r="K1036" s="3">
        <v>214403.21875</v>
      </c>
      <c r="L1036" s="3"/>
      <c r="M1036" s="3"/>
      <c r="N1036" s="3"/>
      <c r="O1036" s="3">
        <v>82036.9765625</v>
      </c>
      <c r="P1036" s="3">
        <v>102626.5390625</v>
      </c>
      <c r="Q1036" s="3"/>
      <c r="R1036" s="3"/>
      <c r="S1036" s="3">
        <v>0.28731408715248102</v>
      </c>
      <c r="T1036" s="3">
        <v>0.31986150145530701</v>
      </c>
      <c r="U1036" s="3">
        <v>0.31485792994499201</v>
      </c>
      <c r="W1036" t="s">
        <v>51</v>
      </c>
      <c r="X1036" t="s">
        <v>51</v>
      </c>
      <c r="Y1036" t="s">
        <v>52</v>
      </c>
      <c r="Z1036" t="s">
        <v>53</v>
      </c>
      <c r="AC1036" s="2">
        <v>0.46212315049511099</v>
      </c>
      <c r="AD1036" s="2">
        <v>0.78058177232742298</v>
      </c>
      <c r="AE1036" s="2">
        <v>0.15041381120681799</v>
      </c>
      <c r="AF1036" s="2">
        <v>9.9484972655773204E-2</v>
      </c>
      <c r="AG1036" s="2">
        <v>5.1138184964656802E-2</v>
      </c>
      <c r="AH1036" s="2">
        <v>-0.12004730105400099</v>
      </c>
      <c r="AI1036" s="2">
        <v>3.8428552448749501E-2</v>
      </c>
      <c r="AJ1036" s="2">
        <v>0.290154394169017</v>
      </c>
      <c r="AK1036" s="2">
        <v>0.51029541990585203</v>
      </c>
      <c r="AL1036" s="2">
        <v>0.26502844689113297</v>
      </c>
      <c r="AM1036" s="2">
        <v>0.56544589996337902</v>
      </c>
      <c r="AN1036" s="2">
        <v>0.46455463767051702</v>
      </c>
      <c r="AO1036" s="2">
        <v>0.308460682630539</v>
      </c>
      <c r="AP1036" s="2"/>
    </row>
    <row r="1037" spans="1:42" x14ac:dyDescent="0.3">
      <c r="A1037" t="s">
        <v>360</v>
      </c>
      <c r="B1037" s="3">
        <v>2018</v>
      </c>
      <c r="C1037" s="3">
        <v>41.565831000000003</v>
      </c>
      <c r="D1037" s="3">
        <v>1629.36</v>
      </c>
      <c r="E1037" t="s">
        <v>361</v>
      </c>
      <c r="G1037" s="3">
        <v>94068.21875</v>
      </c>
      <c r="H1037" s="3">
        <v>111877.703125</v>
      </c>
      <c r="I1037" s="3">
        <v>106119.6328125</v>
      </c>
      <c r="J1037" s="3">
        <v>109351.046875</v>
      </c>
      <c r="K1037" s="3">
        <v>244286.921875</v>
      </c>
      <c r="L1037" s="3"/>
      <c r="M1037" s="3"/>
      <c r="N1037" s="3"/>
      <c r="O1037" s="3">
        <v>89247.671875</v>
      </c>
      <c r="P1037" s="3">
        <v>111599.6640625</v>
      </c>
      <c r="Q1037" s="3"/>
      <c r="R1037" s="3"/>
      <c r="S1037" s="3">
        <v>0.291920036077499</v>
      </c>
      <c r="T1037" s="3">
        <v>0.321105897426605</v>
      </c>
      <c r="U1037" s="3">
        <v>0.31161698698997498</v>
      </c>
      <c r="W1037" t="s">
        <v>50</v>
      </c>
      <c r="X1037" t="s">
        <v>51</v>
      </c>
      <c r="Y1037" t="s">
        <v>52</v>
      </c>
      <c r="Z1037" t="s">
        <v>53</v>
      </c>
      <c r="AC1037" s="2">
        <v>0.45154192095430301</v>
      </c>
      <c r="AD1037" s="2">
        <v>0.75471830368042003</v>
      </c>
      <c r="AE1037" s="2">
        <v>0.16286522150039701</v>
      </c>
      <c r="AF1037" s="2">
        <v>0.10552234202623401</v>
      </c>
      <c r="AG1037" s="2">
        <v>4.9465116113424301E-2</v>
      </c>
      <c r="AH1037" s="2">
        <v>-0.125192865729332</v>
      </c>
      <c r="AI1037" s="2">
        <v>5.2621878683567103E-2</v>
      </c>
      <c r="AJ1037" s="2">
        <v>0.29670482203121501</v>
      </c>
      <c r="AK1037" s="2">
        <v>0.47526328764225001</v>
      </c>
      <c r="AL1037" s="2">
        <v>0.25769812501584599</v>
      </c>
      <c r="AM1037" s="2">
        <v>0.57077610492706299</v>
      </c>
      <c r="AN1037" s="2">
        <v>0.49155959486961398</v>
      </c>
      <c r="AO1037" s="2">
        <v>0.29427653551101701</v>
      </c>
      <c r="AP1037" s="2"/>
    </row>
    <row r="1038" spans="1:42" x14ac:dyDescent="0.3">
      <c r="A1038" t="s">
        <v>360</v>
      </c>
      <c r="B1038" s="3">
        <v>2019</v>
      </c>
      <c r="C1038" s="3">
        <v>42.999637</v>
      </c>
      <c r="D1038" s="3">
        <v>1550.73</v>
      </c>
      <c r="E1038" t="s">
        <v>361</v>
      </c>
      <c r="G1038" s="3">
        <v>100849.9609375</v>
      </c>
      <c r="H1038" s="3">
        <v>121450.1171875</v>
      </c>
      <c r="I1038" s="3">
        <v>115288.15625</v>
      </c>
      <c r="J1038" s="3">
        <v>118570.5859375</v>
      </c>
      <c r="K1038" s="3">
        <v>276489.28125</v>
      </c>
      <c r="L1038" s="3"/>
      <c r="M1038" s="3"/>
      <c r="N1038" s="3"/>
      <c r="O1038" s="3">
        <v>97588.671875</v>
      </c>
      <c r="P1038" s="3">
        <v>121646.9609375</v>
      </c>
      <c r="Q1038" s="3"/>
      <c r="R1038" s="3"/>
      <c r="S1038" s="3">
        <v>0.30235934257507302</v>
      </c>
      <c r="T1038" s="3">
        <v>0.32765510678291299</v>
      </c>
      <c r="U1038" s="3">
        <v>0.31858450174331698</v>
      </c>
      <c r="W1038" t="s">
        <v>50</v>
      </c>
      <c r="X1038" t="s">
        <v>54</v>
      </c>
      <c r="Y1038" t="s">
        <v>52</v>
      </c>
      <c r="Z1038" t="s">
        <v>53</v>
      </c>
      <c r="AC1038" s="2">
        <v>0.45937836558856399</v>
      </c>
      <c r="AD1038" s="2">
        <v>0.73853766918182395</v>
      </c>
      <c r="AE1038" s="2">
        <v>0.17373748123645799</v>
      </c>
      <c r="AF1038" s="2">
        <v>0.112010210752487</v>
      </c>
      <c r="AG1038" s="2">
        <v>6.1634998768567997E-2</v>
      </c>
      <c r="AH1038" s="2">
        <v>-0.121454499661922</v>
      </c>
      <c r="AI1038" s="2">
        <v>3.5534147173166303E-2</v>
      </c>
      <c r="AJ1038" s="2">
        <v>0.30855996466359498</v>
      </c>
      <c r="AK1038" s="2">
        <v>0.45149294309051202</v>
      </c>
      <c r="AL1038" s="2">
        <v>0.261475570738467</v>
      </c>
      <c r="AM1038" s="2">
        <v>0.51347917318344105</v>
      </c>
      <c r="AN1038" s="2">
        <v>0.493985235691071</v>
      </c>
      <c r="AO1038" s="2">
        <v>0.28525984287262002</v>
      </c>
      <c r="AP1038" s="2"/>
    </row>
    <row r="1039" spans="1:42" x14ac:dyDescent="0.3">
      <c r="A1039" t="s">
        <v>360</v>
      </c>
      <c r="B1039" s="3">
        <v>2020</v>
      </c>
      <c r="C1039" s="3">
        <v>44.457152000000001</v>
      </c>
      <c r="D1039" s="3">
        <v>1722.26</v>
      </c>
      <c r="E1039" t="s">
        <v>361</v>
      </c>
      <c r="G1039" s="3">
        <v>98508.03125</v>
      </c>
      <c r="H1039" s="3">
        <v>119219.6328125</v>
      </c>
      <c r="I1039" s="3">
        <v>114123.6015625</v>
      </c>
      <c r="J1039" s="3">
        <v>120377.5390625</v>
      </c>
      <c r="K1039" s="3">
        <v>307260.4375</v>
      </c>
      <c r="L1039" s="3"/>
      <c r="M1039" s="3"/>
      <c r="N1039" s="3"/>
      <c r="O1039" s="3">
        <v>95908.1953125</v>
      </c>
      <c r="P1039" s="3">
        <v>119315.109375</v>
      </c>
      <c r="Q1039" s="3"/>
      <c r="R1039" s="3"/>
      <c r="S1039" s="3">
        <v>0.31339165568351701</v>
      </c>
      <c r="T1039" s="3">
        <v>0.33350500464439398</v>
      </c>
      <c r="U1039" s="3">
        <v>0.31617853045463601</v>
      </c>
      <c r="W1039" t="s">
        <v>50</v>
      </c>
      <c r="X1039" t="s">
        <v>54</v>
      </c>
      <c r="Y1039" t="s">
        <v>52</v>
      </c>
      <c r="Z1039" t="s">
        <v>53</v>
      </c>
      <c r="AC1039" s="2">
        <v>0.459887447777309</v>
      </c>
      <c r="AD1039" s="2">
        <v>0.70371526479721103</v>
      </c>
      <c r="AE1039" s="2">
        <v>0.172055333852768</v>
      </c>
      <c r="AF1039" s="2">
        <v>0.114610381424427</v>
      </c>
      <c r="AG1039" s="2">
        <v>5.0156842917203903E-2</v>
      </c>
      <c r="AH1039" s="2">
        <v>-0.123600989580154</v>
      </c>
      <c r="AI1039" s="2">
        <v>8.3063170313835102E-2</v>
      </c>
      <c r="AJ1039" s="2">
        <v>0.32089850356231198</v>
      </c>
      <c r="AK1039" s="2">
        <v>0.42916769508708802</v>
      </c>
      <c r="AL1039" s="2">
        <v>0.26729907625919003</v>
      </c>
      <c r="AM1039" s="2">
        <v>0.53529131412506104</v>
      </c>
      <c r="AN1039" s="2">
        <v>0.54392623901367199</v>
      </c>
      <c r="AO1039" s="2">
        <v>0.27278259396553001</v>
      </c>
      <c r="AP1039" s="2"/>
    </row>
    <row r="1040" spans="1:42" x14ac:dyDescent="0.3">
      <c r="A1040" t="s">
        <v>362</v>
      </c>
      <c r="B1040" s="3">
        <v>2015</v>
      </c>
      <c r="C1040" s="3">
        <v>45.784896000000003</v>
      </c>
      <c r="D1040" s="3">
        <v>2052.9</v>
      </c>
      <c r="E1040" t="s">
        <v>363</v>
      </c>
      <c r="G1040" s="3">
        <v>489208.84375</v>
      </c>
      <c r="H1040" s="3">
        <v>537228</v>
      </c>
      <c r="I1040" s="3">
        <v>523556.59375</v>
      </c>
      <c r="J1040" s="3">
        <v>517638</v>
      </c>
      <c r="K1040" s="3">
        <v>5596734.5</v>
      </c>
      <c r="L1040" s="3">
        <v>4.2988184839487097E-2</v>
      </c>
      <c r="M1040" s="3">
        <v>0.34830230474472001</v>
      </c>
      <c r="N1040" s="3">
        <v>0.348739713430405</v>
      </c>
      <c r="O1040" s="3">
        <v>493836.40625</v>
      </c>
      <c r="P1040" s="3">
        <v>555356.375</v>
      </c>
      <c r="Q1040" s="3">
        <v>0.87822425365447998</v>
      </c>
      <c r="R1040" s="3">
        <v>0.55836880207061801</v>
      </c>
      <c r="S1040" s="3">
        <v>0.16128851473331501</v>
      </c>
      <c r="T1040" s="3">
        <v>0.173870354890823</v>
      </c>
      <c r="U1040" s="3">
        <v>0.17585837841033899</v>
      </c>
      <c r="W1040" t="s">
        <v>50</v>
      </c>
      <c r="X1040" t="s">
        <v>51</v>
      </c>
      <c r="Y1040" t="s">
        <v>52</v>
      </c>
      <c r="Z1040" t="s">
        <v>53</v>
      </c>
      <c r="AA1040" t="s">
        <v>53</v>
      </c>
      <c r="AC1040" s="2">
        <v>0.50648159044976204</v>
      </c>
      <c r="AD1040" s="2">
        <v>0.55432587862014804</v>
      </c>
      <c r="AE1040" s="2">
        <v>9.2765949666500105E-2</v>
      </c>
      <c r="AF1040" s="2">
        <v>0.39075317978858998</v>
      </c>
      <c r="AG1040" s="2">
        <v>0.13119973242282901</v>
      </c>
      <c r="AH1040" s="2">
        <v>-0.136221453547478</v>
      </c>
      <c r="AI1040" s="2">
        <v>-3.2823320478200899E-2</v>
      </c>
      <c r="AJ1040" s="2">
        <v>0.21494703974510501</v>
      </c>
      <c r="AK1040" s="2">
        <v>0.30205122597641398</v>
      </c>
      <c r="AL1040" s="2">
        <v>8.5168070966235507E-2</v>
      </c>
      <c r="AM1040" s="2">
        <v>0.56140202283859297</v>
      </c>
      <c r="AN1040" s="2">
        <v>0.53204286098480202</v>
      </c>
      <c r="AO1040" s="2">
        <v>0.180949732661247</v>
      </c>
      <c r="AP1040" s="2">
        <v>0.12494583427906</v>
      </c>
    </row>
    <row r="1041" spans="1:42" x14ac:dyDescent="0.3">
      <c r="A1041" t="s">
        <v>362</v>
      </c>
      <c r="B1041" s="3">
        <v>2016</v>
      </c>
      <c r="C1041" s="3">
        <v>45.616832000000002</v>
      </c>
      <c r="D1041" s="3">
        <v>2073.73</v>
      </c>
      <c r="E1041" t="s">
        <v>363</v>
      </c>
      <c r="G1041" s="3">
        <v>514879.09375</v>
      </c>
      <c r="H1041" s="3">
        <v>585227.3125</v>
      </c>
      <c r="I1041" s="3">
        <v>547330.375</v>
      </c>
      <c r="J1041" s="3">
        <v>555667.6875</v>
      </c>
      <c r="K1041" s="3">
        <v>6320156</v>
      </c>
      <c r="L1041" s="3">
        <v>4.6148724853992497E-2</v>
      </c>
      <c r="M1041" s="3">
        <v>0.35733741521835299</v>
      </c>
      <c r="N1041" s="3">
        <v>0.36385601758956898</v>
      </c>
      <c r="O1041" s="3">
        <v>503553.96875</v>
      </c>
      <c r="P1041" s="3">
        <v>601329.5625</v>
      </c>
      <c r="Q1041" s="3">
        <v>0.899455606937408</v>
      </c>
      <c r="R1041" s="3">
        <v>0.55836880207061801</v>
      </c>
      <c r="S1041" s="3">
        <v>0.15448096394538899</v>
      </c>
      <c r="T1041" s="3">
        <v>0.17056584358215299</v>
      </c>
      <c r="U1041" s="3">
        <v>0.16800664365291601</v>
      </c>
      <c r="W1041" t="s">
        <v>50</v>
      </c>
      <c r="X1041" t="s">
        <v>51</v>
      </c>
      <c r="Y1041" t="s">
        <v>52</v>
      </c>
      <c r="Z1041" t="s">
        <v>53</v>
      </c>
      <c r="AA1041" t="s">
        <v>53</v>
      </c>
      <c r="AC1041" s="2">
        <v>0.49969721287993502</v>
      </c>
      <c r="AD1041" s="2">
        <v>0.53482276201248202</v>
      </c>
      <c r="AE1041" s="2">
        <v>0.12660127878189101</v>
      </c>
      <c r="AF1041" s="2">
        <v>0.39177259802818298</v>
      </c>
      <c r="AG1041" s="2">
        <v>0.118250630795956</v>
      </c>
      <c r="AH1041" s="2">
        <v>-0.13314931094646501</v>
      </c>
      <c r="AI1041" s="2">
        <v>-3.8297906517982497E-2</v>
      </c>
      <c r="AJ1041" s="2">
        <v>0.20920700965526301</v>
      </c>
      <c r="AK1041" s="2">
        <v>0.28829123941395801</v>
      </c>
      <c r="AL1041" s="2">
        <v>7.9772475700172193E-2</v>
      </c>
      <c r="AM1041" s="2">
        <v>0.553372502326965</v>
      </c>
      <c r="AN1041" s="2">
        <v>0.53049516677856501</v>
      </c>
      <c r="AO1041" s="2">
        <v>0.15916548669338201</v>
      </c>
      <c r="AP1041" s="2">
        <v>0.115639165043831</v>
      </c>
    </row>
    <row r="1042" spans="1:42" x14ac:dyDescent="0.3">
      <c r="A1042" t="s">
        <v>362</v>
      </c>
      <c r="B1042" s="3">
        <v>2017</v>
      </c>
      <c r="C1042" s="3">
        <v>45.436041000000003</v>
      </c>
      <c r="D1042" s="3">
        <v>2066.86</v>
      </c>
      <c r="E1042" t="s">
        <v>363</v>
      </c>
      <c r="G1042" s="3">
        <v>519422.875</v>
      </c>
      <c r="H1042" s="3">
        <v>596397.3125</v>
      </c>
      <c r="I1042" s="3">
        <v>553320.5</v>
      </c>
      <c r="J1042" s="3">
        <v>569136</v>
      </c>
      <c r="K1042" s="3">
        <v>7259791.5</v>
      </c>
      <c r="L1042" s="3">
        <v>5.0581529736518901E-2</v>
      </c>
      <c r="M1042" s="3">
        <v>0.34646287560463002</v>
      </c>
      <c r="N1042" s="3">
        <v>0.34963175654411299</v>
      </c>
      <c r="O1042" s="3">
        <v>545344</v>
      </c>
      <c r="P1042" s="3">
        <v>644196.9375</v>
      </c>
      <c r="Q1042" s="3">
        <v>0.92265069484710704</v>
      </c>
      <c r="R1042" s="3">
        <v>0.55836880207061801</v>
      </c>
      <c r="S1042" s="3">
        <v>0.189514845609665</v>
      </c>
      <c r="T1042" s="3">
        <v>0.20257788896560699</v>
      </c>
      <c r="U1042" s="3">
        <v>0.19694852828979501</v>
      </c>
      <c r="W1042" t="s">
        <v>51</v>
      </c>
      <c r="X1042" t="s">
        <v>51</v>
      </c>
      <c r="Y1042" t="s">
        <v>52</v>
      </c>
      <c r="Z1042" t="s">
        <v>53</v>
      </c>
      <c r="AA1042" t="s">
        <v>53</v>
      </c>
      <c r="AC1042" s="2">
        <v>0.45699755987571999</v>
      </c>
      <c r="AD1042" s="2">
        <v>0.56641572713851895</v>
      </c>
      <c r="AE1042" s="2">
        <v>0.13524790108203899</v>
      </c>
      <c r="AF1042" s="2">
        <v>0.346235871315002</v>
      </c>
      <c r="AG1042" s="2">
        <v>0.135980203747749</v>
      </c>
      <c r="AH1042" s="2">
        <v>-0.15965239703655201</v>
      </c>
      <c r="AI1042" s="2">
        <v>-2.4227274581790002E-2</v>
      </c>
      <c r="AJ1042" s="2">
        <v>0.23344205043081401</v>
      </c>
      <c r="AK1042" s="2">
        <v>0.29072725505395602</v>
      </c>
      <c r="AL1042" s="2">
        <v>0.117653259168178</v>
      </c>
      <c r="AM1042" s="2">
        <v>0.56115388870239302</v>
      </c>
      <c r="AN1042" s="2">
        <v>0.54410099983215299</v>
      </c>
      <c r="AO1042" s="2">
        <v>0.153501376509666</v>
      </c>
      <c r="AP1042" s="2">
        <v>0.122104048728943</v>
      </c>
    </row>
    <row r="1043" spans="1:42" x14ac:dyDescent="0.3">
      <c r="A1043" t="s">
        <v>362</v>
      </c>
      <c r="B1043" s="3">
        <v>2018</v>
      </c>
      <c r="C1043" s="3">
        <v>45.208907000000004</v>
      </c>
      <c r="D1043" s="3">
        <v>2064.69</v>
      </c>
      <c r="E1043" t="s">
        <v>363</v>
      </c>
      <c r="G1043" s="3">
        <v>543849.375</v>
      </c>
      <c r="H1043" s="3">
        <v>620061.8125</v>
      </c>
      <c r="I1043" s="3">
        <v>570280.0625</v>
      </c>
      <c r="J1043" s="3">
        <v>590451.5</v>
      </c>
      <c r="K1043" s="3">
        <v>8068618.5</v>
      </c>
      <c r="L1043" s="3">
        <v>5.3645830601453802E-2</v>
      </c>
      <c r="M1043" s="3">
        <v>0.34190988540649397</v>
      </c>
      <c r="N1043" s="3">
        <v>0.34562760591507002</v>
      </c>
      <c r="O1043" s="3">
        <v>583819.625</v>
      </c>
      <c r="P1043" s="3">
        <v>677985.625</v>
      </c>
      <c r="Q1043" s="3">
        <v>0.943528652191162</v>
      </c>
      <c r="R1043" s="3">
        <v>0.55836880207061801</v>
      </c>
      <c r="S1043" s="3">
        <v>0.21694709360599501</v>
      </c>
      <c r="T1043" s="3">
        <v>0.229520708322525</v>
      </c>
      <c r="U1043" s="3">
        <v>0.221679672598839</v>
      </c>
      <c r="W1043" t="s">
        <v>50</v>
      </c>
      <c r="X1043" t="s">
        <v>51</v>
      </c>
      <c r="Y1043" t="s">
        <v>52</v>
      </c>
      <c r="Z1043" t="s">
        <v>53</v>
      </c>
      <c r="AA1043" t="s">
        <v>53</v>
      </c>
      <c r="AC1043" s="2">
        <v>0.51653298078770804</v>
      </c>
      <c r="AD1043" s="2">
        <v>0.59729373455047596</v>
      </c>
      <c r="AE1043" s="2">
        <v>0.129074811935425</v>
      </c>
      <c r="AF1043" s="2">
        <v>0.32378000020980802</v>
      </c>
      <c r="AG1043" s="2">
        <v>0.13802708685398099</v>
      </c>
      <c r="AH1043" s="2">
        <v>-0.17615407705307001</v>
      </c>
      <c r="AI1043" s="2">
        <v>-1.2021591886878E-2</v>
      </c>
      <c r="AJ1043" s="2">
        <v>0.25745712610993399</v>
      </c>
      <c r="AK1043" s="2">
        <v>0.319245595934739</v>
      </c>
      <c r="AL1043" s="2">
        <v>0.14221614654487699</v>
      </c>
      <c r="AM1043" s="2">
        <v>0.58080577850341797</v>
      </c>
      <c r="AN1043" s="2">
        <v>0.54982072114944502</v>
      </c>
      <c r="AO1043" s="2">
        <v>0.16776736080646501</v>
      </c>
      <c r="AP1043" s="2">
        <v>0.12740883231163</v>
      </c>
    </row>
    <row r="1044" spans="1:42" x14ac:dyDescent="0.3">
      <c r="A1044" t="s">
        <v>362</v>
      </c>
      <c r="B1044" s="3">
        <v>2019</v>
      </c>
      <c r="C1044" s="3">
        <v>44.957458000000003</v>
      </c>
      <c r="D1044" s="3">
        <v>2059.6799999999998</v>
      </c>
      <c r="E1044" t="s">
        <v>363</v>
      </c>
      <c r="G1044" s="3">
        <v>588161.1875</v>
      </c>
      <c r="H1044" s="3">
        <v>664448.6875</v>
      </c>
      <c r="I1044" s="3">
        <v>614957.8125</v>
      </c>
      <c r="J1044" s="3">
        <v>635106.125</v>
      </c>
      <c r="K1044" s="3">
        <v>9261586</v>
      </c>
      <c r="L1044" s="3">
        <v>6.1551593244075803E-2</v>
      </c>
      <c r="M1044" s="3">
        <v>0.33665961027145402</v>
      </c>
      <c r="N1044" s="3">
        <v>0.33892717957496599</v>
      </c>
      <c r="O1044" s="3">
        <v>613619.75</v>
      </c>
      <c r="P1044" s="3">
        <v>696408.125</v>
      </c>
      <c r="Q1044" s="3">
        <v>0.96356934309005704</v>
      </c>
      <c r="R1044" s="3">
        <v>0.55836880207061801</v>
      </c>
      <c r="S1044" s="3">
        <v>0.24373179674148601</v>
      </c>
      <c r="T1044" s="3">
        <v>0.25023350119590798</v>
      </c>
      <c r="U1044" s="3">
        <v>0.242294996976852</v>
      </c>
      <c r="W1044" t="s">
        <v>50</v>
      </c>
      <c r="X1044" t="s">
        <v>54</v>
      </c>
      <c r="Y1044" t="s">
        <v>52</v>
      </c>
      <c r="Z1044" t="s">
        <v>53</v>
      </c>
      <c r="AA1044" t="s">
        <v>53</v>
      </c>
      <c r="AC1044" s="2">
        <v>0.52314163471554198</v>
      </c>
      <c r="AD1044" s="2">
        <v>0.64990442991256703</v>
      </c>
      <c r="AE1044" s="2">
        <v>0.12011773884296401</v>
      </c>
      <c r="AF1044" s="2">
        <v>0.27617889642715499</v>
      </c>
      <c r="AG1044" s="2">
        <v>0.138843163847923</v>
      </c>
      <c r="AH1044" s="2">
        <v>-0.17391318082809401</v>
      </c>
      <c r="AI1044" s="2">
        <v>-1.1131046339869499E-2</v>
      </c>
      <c r="AJ1044" s="2">
        <v>0.277289485166206</v>
      </c>
      <c r="AK1044" s="2">
        <v>0.30036023469815698</v>
      </c>
      <c r="AL1044" s="2">
        <v>0.16476383174980999</v>
      </c>
      <c r="AM1044" s="2">
        <v>0.57523280382156405</v>
      </c>
      <c r="AN1044" s="2">
        <v>0.55585026741027799</v>
      </c>
      <c r="AO1044" s="2">
        <v>0.157153099775314</v>
      </c>
      <c r="AP1044" s="2">
        <v>0.12558205425739299</v>
      </c>
    </row>
    <row r="1045" spans="1:42" x14ac:dyDescent="0.3">
      <c r="A1045" t="s">
        <v>362</v>
      </c>
      <c r="B1045" s="3">
        <v>2020</v>
      </c>
      <c r="C1045" s="3">
        <v>44.680014</v>
      </c>
      <c r="D1045" s="3">
        <v>2007.73</v>
      </c>
      <c r="E1045" t="s">
        <v>363</v>
      </c>
      <c r="G1045" s="3">
        <v>622717.3125</v>
      </c>
      <c r="H1045" s="3">
        <v>673148.9375</v>
      </c>
      <c r="I1045" s="3">
        <v>663115</v>
      </c>
      <c r="J1045" s="3">
        <v>654739.3125</v>
      </c>
      <c r="K1045" s="3">
        <v>9893602</v>
      </c>
      <c r="L1045" s="3">
        <v>6.4284130930900601E-2</v>
      </c>
      <c r="M1045" s="3">
        <v>0.34180614352226302</v>
      </c>
      <c r="N1045" s="3">
        <v>0.33712109923362699</v>
      </c>
      <c r="O1045" s="3">
        <v>620778.75</v>
      </c>
      <c r="P1045" s="3">
        <v>667762.625</v>
      </c>
      <c r="Q1045" s="3">
        <v>0.957966327667236</v>
      </c>
      <c r="R1045" s="3">
        <v>0.55836880207061801</v>
      </c>
      <c r="S1045" s="3">
        <v>0.23284727334976199</v>
      </c>
      <c r="T1045" s="3">
        <v>0.23618486523628199</v>
      </c>
      <c r="U1045" s="3">
        <v>0.23920622467994701</v>
      </c>
      <c r="W1045" t="s">
        <v>50</v>
      </c>
      <c r="X1045" t="s">
        <v>54</v>
      </c>
      <c r="Y1045" t="s">
        <v>52</v>
      </c>
      <c r="Z1045" t="s">
        <v>53</v>
      </c>
      <c r="AA1045" t="s">
        <v>53</v>
      </c>
      <c r="AC1045" s="2">
        <v>0.537355417367125</v>
      </c>
      <c r="AD1045" s="2">
        <v>0.67002660036087003</v>
      </c>
      <c r="AE1045" s="2">
        <v>7.70255401730537E-2</v>
      </c>
      <c r="AF1045" s="2">
        <v>0.28106537461280801</v>
      </c>
      <c r="AG1045" s="2">
        <v>0.126272663474083</v>
      </c>
      <c r="AH1045" s="2">
        <v>-0.155455201864243</v>
      </c>
      <c r="AI1045" s="2">
        <v>1.0650099720805901E-3</v>
      </c>
      <c r="AJ1045" s="2">
        <v>0.261637527467939</v>
      </c>
      <c r="AK1045" s="2">
        <v>0.27739649777534398</v>
      </c>
      <c r="AL1045" s="2">
        <v>0.164214730743245</v>
      </c>
      <c r="AM1045" s="2">
        <v>0.58793538808822599</v>
      </c>
      <c r="AN1045" s="2">
        <v>0.50248879194259599</v>
      </c>
      <c r="AO1045" s="2">
        <v>0.14290232956409499</v>
      </c>
      <c r="AP1045" s="2">
        <v>0.12776790559291801</v>
      </c>
    </row>
    <row r="1046" spans="1:42" x14ac:dyDescent="0.3">
      <c r="A1046" t="s">
        <v>364</v>
      </c>
      <c r="B1046" s="3">
        <v>2015</v>
      </c>
      <c r="C1046" s="3">
        <v>3.368017</v>
      </c>
      <c r="D1046" s="3">
        <v>1556.43</v>
      </c>
      <c r="E1046" t="s">
        <v>365</v>
      </c>
      <c r="G1046" s="3">
        <v>65113.78125</v>
      </c>
      <c r="H1046" s="3">
        <v>81428.671875</v>
      </c>
      <c r="I1046" s="3">
        <v>83905.8984375</v>
      </c>
      <c r="J1046" s="3">
        <v>81450.75</v>
      </c>
      <c r="K1046" s="3">
        <v>333829.125</v>
      </c>
      <c r="L1046" s="3">
        <v>3.4772106446325801E-3</v>
      </c>
      <c r="M1046" s="3">
        <v>0.80210375785827603</v>
      </c>
      <c r="N1046" s="3">
        <v>0.77361601591110196</v>
      </c>
      <c r="O1046" s="3">
        <v>66828.1875</v>
      </c>
      <c r="P1046" s="3">
        <v>82591.71875</v>
      </c>
      <c r="Q1046" s="3">
        <v>1.0237458944320701</v>
      </c>
      <c r="R1046" s="3">
        <v>0.51540124416351296</v>
      </c>
      <c r="S1046" s="3">
        <v>0.68078941106796298</v>
      </c>
      <c r="T1046" s="3">
        <v>0.68029493093490601</v>
      </c>
      <c r="U1046" s="3">
        <v>0.70080089569091797</v>
      </c>
      <c r="W1046" t="s">
        <v>50</v>
      </c>
      <c r="X1046" t="s">
        <v>51</v>
      </c>
      <c r="Y1046" t="s">
        <v>52</v>
      </c>
      <c r="Z1046" t="s">
        <v>53</v>
      </c>
      <c r="AA1046" t="s">
        <v>53</v>
      </c>
      <c r="AC1046" s="2">
        <v>0.72689150387458701</v>
      </c>
      <c r="AD1046" s="2">
        <v>0.64492344856262196</v>
      </c>
      <c r="AE1046" s="2">
        <v>0.20030371844768499</v>
      </c>
      <c r="AF1046" s="2">
        <v>0.15450170636177099</v>
      </c>
      <c r="AG1046" s="2">
        <v>0.16530208289623299</v>
      </c>
      <c r="AH1046" s="2">
        <v>-0.22643780708312999</v>
      </c>
      <c r="AI1046" s="2">
        <v>6.1406865715980502E-2</v>
      </c>
      <c r="AJ1046" s="2">
        <v>0.68113732991542097</v>
      </c>
      <c r="AK1046" s="2">
        <v>0.67832151588571898</v>
      </c>
      <c r="AL1046" s="2">
        <v>0.67933713572723098</v>
      </c>
      <c r="AM1046" s="2">
        <v>0.56963211297988903</v>
      </c>
      <c r="AN1046" s="2">
        <v>0.51451200246810902</v>
      </c>
      <c r="AO1046" s="2">
        <v>0.47901055216789201</v>
      </c>
      <c r="AP1046" s="2">
        <v>1.06282806396484</v>
      </c>
    </row>
    <row r="1047" spans="1:42" x14ac:dyDescent="0.3">
      <c r="A1047" t="s">
        <v>364</v>
      </c>
      <c r="B1047" s="3">
        <v>2016</v>
      </c>
      <c r="C1047" s="3">
        <v>3.379283</v>
      </c>
      <c r="D1047" s="3">
        <v>1532.51</v>
      </c>
      <c r="E1047" t="s">
        <v>365</v>
      </c>
      <c r="G1047" s="3">
        <v>65287.96484375</v>
      </c>
      <c r="H1047" s="3">
        <v>80244.4609375</v>
      </c>
      <c r="I1047" s="3">
        <v>85093.640625</v>
      </c>
      <c r="J1047" s="3">
        <v>83089.3828125</v>
      </c>
      <c r="K1047" s="3">
        <v>343668.28125</v>
      </c>
      <c r="L1047" s="3">
        <v>3.4784427843987898E-3</v>
      </c>
      <c r="M1047" s="3">
        <v>0.814921915531158</v>
      </c>
      <c r="N1047" s="3">
        <v>0.76090008020401001</v>
      </c>
      <c r="O1047" s="3">
        <v>67739.3984375</v>
      </c>
      <c r="P1047" s="3">
        <v>83037.609375</v>
      </c>
      <c r="Q1047" s="3">
        <v>1.0521658658981301</v>
      </c>
      <c r="R1047" s="3">
        <v>0.51892697811126698</v>
      </c>
      <c r="S1047" s="3">
        <v>0.67714947462081898</v>
      </c>
      <c r="T1047" s="3">
        <v>0.67550039291381803</v>
      </c>
      <c r="U1047" s="3">
        <v>0.691794574260712</v>
      </c>
      <c r="W1047" t="s">
        <v>50</v>
      </c>
      <c r="X1047" t="s">
        <v>51</v>
      </c>
      <c r="Y1047" t="s">
        <v>52</v>
      </c>
      <c r="Z1047" t="s">
        <v>53</v>
      </c>
      <c r="AA1047" t="s">
        <v>53</v>
      </c>
      <c r="AC1047" s="2">
        <v>0.71000812846864902</v>
      </c>
      <c r="AD1047" s="2">
        <v>0.62103617191314697</v>
      </c>
      <c r="AE1047" s="2">
        <v>0.18000493943691301</v>
      </c>
      <c r="AF1047" s="2">
        <v>0.16471961140632599</v>
      </c>
      <c r="AG1047" s="2">
        <v>0.150194376707077</v>
      </c>
      <c r="AH1047" s="2">
        <v>-0.193349555134773</v>
      </c>
      <c r="AI1047" s="2">
        <v>7.7394485473632799E-2</v>
      </c>
      <c r="AJ1047" s="2">
        <v>0.68254404251428102</v>
      </c>
      <c r="AK1047" s="2">
        <v>0.668301985458019</v>
      </c>
      <c r="AL1047" s="2">
        <v>0.65681048793701602</v>
      </c>
      <c r="AM1047" s="2">
        <v>0.55799674987793002</v>
      </c>
      <c r="AN1047" s="2">
        <v>0.506472408771515</v>
      </c>
      <c r="AO1047" s="2">
        <v>0.46885907649993902</v>
      </c>
      <c r="AP1047" s="2">
        <v>1.0289922952652</v>
      </c>
    </row>
    <row r="1048" spans="1:42" x14ac:dyDescent="0.3">
      <c r="A1048" t="s">
        <v>364</v>
      </c>
      <c r="B1048" s="3">
        <v>2017</v>
      </c>
      <c r="C1048" s="3">
        <v>3.3884379999999998</v>
      </c>
      <c r="D1048" s="3">
        <v>1541.65</v>
      </c>
      <c r="E1048" t="s">
        <v>365</v>
      </c>
      <c r="G1048" s="3">
        <v>66925.2734375</v>
      </c>
      <c r="H1048" s="3">
        <v>80978.8671875</v>
      </c>
      <c r="I1048" s="3">
        <v>85980.515625</v>
      </c>
      <c r="J1048" s="3">
        <v>84340.3125</v>
      </c>
      <c r="K1048" s="3">
        <v>342159.03125</v>
      </c>
      <c r="L1048" s="3">
        <v>3.4098215401172599E-3</v>
      </c>
      <c r="M1048" s="3">
        <v>0.81745731830596902</v>
      </c>
      <c r="N1048" s="3">
        <v>0.75585073232650801</v>
      </c>
      <c r="O1048" s="3">
        <v>70205.015625</v>
      </c>
      <c r="P1048" s="3">
        <v>84733.59375</v>
      </c>
      <c r="Q1048" s="3">
        <v>1.05283880233765</v>
      </c>
      <c r="R1048" s="3">
        <v>0.51892697811126698</v>
      </c>
      <c r="S1048" s="3">
        <v>0.76014524698257502</v>
      </c>
      <c r="T1048" s="3">
        <v>0.75605541467666604</v>
      </c>
      <c r="U1048" s="3">
        <v>0.77075868844985995</v>
      </c>
      <c r="W1048" t="s">
        <v>51</v>
      </c>
      <c r="X1048" t="s">
        <v>51</v>
      </c>
      <c r="Y1048" t="s">
        <v>52</v>
      </c>
      <c r="Z1048" t="s">
        <v>53</v>
      </c>
      <c r="AA1048" t="s">
        <v>53</v>
      </c>
      <c r="AC1048" s="2">
        <v>0.75344332975661998</v>
      </c>
      <c r="AD1048" s="2">
        <v>0.61608695983886697</v>
      </c>
      <c r="AE1048" s="2">
        <v>0.16662956774234799</v>
      </c>
      <c r="AF1048" s="2">
        <v>0.177427724003792</v>
      </c>
      <c r="AG1048" s="2">
        <v>0.16514393687248199</v>
      </c>
      <c r="AH1048" s="2">
        <v>-0.192205235362053</v>
      </c>
      <c r="AI1048" s="2">
        <v>6.6917061805725098E-2</v>
      </c>
      <c r="AJ1048" s="2">
        <v>0.77687145549136205</v>
      </c>
      <c r="AK1048" s="2">
        <v>0.73657890812691695</v>
      </c>
      <c r="AL1048" s="2">
        <v>0.70206649680309297</v>
      </c>
      <c r="AM1048" s="2">
        <v>0.56642889976501498</v>
      </c>
      <c r="AN1048" s="2">
        <v>0.52174818515777599</v>
      </c>
      <c r="AO1048" s="2">
        <v>0.52981424331664995</v>
      </c>
      <c r="AP1048" s="2">
        <v>1.14426457881928</v>
      </c>
    </row>
    <row r="1049" spans="1:42" x14ac:dyDescent="0.3">
      <c r="A1049" t="s">
        <v>364</v>
      </c>
      <c r="B1049" s="3">
        <v>2018</v>
      </c>
      <c r="C1049" s="3">
        <v>3.3945340000000002</v>
      </c>
      <c r="D1049" s="3">
        <v>1534.75</v>
      </c>
      <c r="E1049" t="s">
        <v>365</v>
      </c>
      <c r="G1049" s="3">
        <v>69180.078125</v>
      </c>
      <c r="H1049" s="3">
        <v>82307.3828125</v>
      </c>
      <c r="I1049" s="3">
        <v>86755.5078125</v>
      </c>
      <c r="J1049" s="3">
        <v>83906.1484375</v>
      </c>
      <c r="K1049" s="3">
        <v>341872.25</v>
      </c>
      <c r="L1049" s="3">
        <v>3.3655923325568399E-3</v>
      </c>
      <c r="M1049" s="3">
        <v>0.80618417263030995</v>
      </c>
      <c r="N1049" s="3">
        <v>0.76124584674835205</v>
      </c>
      <c r="O1049" s="3">
        <v>71902.765625</v>
      </c>
      <c r="P1049" s="3">
        <v>85522.1953125</v>
      </c>
      <c r="Q1049" s="3">
        <v>1.04855573177338</v>
      </c>
      <c r="R1049" s="3">
        <v>0.51892697811126698</v>
      </c>
      <c r="S1049" s="3">
        <v>0.75582724809646595</v>
      </c>
      <c r="T1049" s="3">
        <v>0.75320184230804399</v>
      </c>
      <c r="U1049" s="3">
        <v>0.77877986431121804</v>
      </c>
      <c r="W1049" t="s">
        <v>50</v>
      </c>
      <c r="X1049" t="s">
        <v>51</v>
      </c>
      <c r="Y1049" t="s">
        <v>52</v>
      </c>
      <c r="Z1049" t="s">
        <v>53</v>
      </c>
      <c r="AA1049" t="s">
        <v>53</v>
      </c>
      <c r="AC1049" s="2">
        <v>0.76274581066313396</v>
      </c>
      <c r="AD1049" s="2">
        <v>0.63613718748092696</v>
      </c>
      <c r="AE1049" s="2">
        <v>0.15645228326320601</v>
      </c>
      <c r="AF1049" s="2">
        <v>0.18835631012916601</v>
      </c>
      <c r="AG1049" s="2">
        <v>0.152487233281136</v>
      </c>
      <c r="AH1049" s="2">
        <v>-0.20605714619159701</v>
      </c>
      <c r="AI1049" s="2">
        <v>7.2624087333679199E-2</v>
      </c>
      <c r="AJ1049" s="2">
        <v>0.77377432555409498</v>
      </c>
      <c r="AK1049" s="2">
        <v>0.73936639049311204</v>
      </c>
      <c r="AL1049" s="2">
        <v>0.69521444218602801</v>
      </c>
      <c r="AM1049" s="2">
        <v>0.58602809906005904</v>
      </c>
      <c r="AN1049" s="2">
        <v>0.51437383890152</v>
      </c>
      <c r="AO1049" s="2">
        <v>0.53036409616470304</v>
      </c>
      <c r="AP1049" s="2">
        <v>1.10439312458038</v>
      </c>
    </row>
    <row r="1050" spans="1:42" x14ac:dyDescent="0.3">
      <c r="A1050" t="s">
        <v>364</v>
      </c>
      <c r="B1050" s="3">
        <v>2019</v>
      </c>
      <c r="C1050" s="3">
        <v>3.3972060000000002</v>
      </c>
      <c r="D1050" s="3">
        <v>1517.34</v>
      </c>
      <c r="E1050" t="s">
        <v>365</v>
      </c>
      <c r="G1050" s="3">
        <v>72509.96875</v>
      </c>
      <c r="H1050" s="3">
        <v>85160.421875</v>
      </c>
      <c r="I1050" s="3">
        <v>90800.21875</v>
      </c>
      <c r="J1050" s="3">
        <v>88418.5234375</v>
      </c>
      <c r="K1050" s="3">
        <v>354294.65625</v>
      </c>
      <c r="L1050" s="3">
        <v>3.3534094691276598E-3</v>
      </c>
      <c r="M1050" s="3">
        <v>0.83732873201370195</v>
      </c>
      <c r="N1050" s="3">
        <v>0.77605259418487604</v>
      </c>
      <c r="O1050" s="3">
        <v>72713.015625</v>
      </c>
      <c r="P1050" s="3">
        <v>85428.96875</v>
      </c>
      <c r="Q1050" s="3">
        <v>1.05387628078461</v>
      </c>
      <c r="R1050" s="3">
        <v>0.51892697811126698</v>
      </c>
      <c r="S1050" s="3">
        <v>0.68364864587783802</v>
      </c>
      <c r="T1050" s="3">
        <v>0.68526703119277999</v>
      </c>
      <c r="U1050" s="3">
        <v>0.70372581481933605</v>
      </c>
      <c r="W1050" t="s">
        <v>50</v>
      </c>
      <c r="X1050" t="s">
        <v>54</v>
      </c>
      <c r="Y1050" t="s">
        <v>52</v>
      </c>
      <c r="Z1050" t="s">
        <v>53</v>
      </c>
      <c r="AA1050" t="s">
        <v>53</v>
      </c>
      <c r="AC1050" s="2">
        <v>0.76137038453750205</v>
      </c>
      <c r="AD1050" s="2">
        <v>0.62562352418899503</v>
      </c>
      <c r="AE1050" s="2">
        <v>0.143074676394463</v>
      </c>
      <c r="AF1050" s="2">
        <v>0.194453224539757</v>
      </c>
      <c r="AG1050" s="2">
        <v>0.1592927724123</v>
      </c>
      <c r="AH1050" s="2">
        <v>-0.19255374372005499</v>
      </c>
      <c r="AI1050" s="2">
        <v>7.0109546184539795E-2</v>
      </c>
      <c r="AJ1050" s="2">
        <v>0.70373711186641896</v>
      </c>
      <c r="AK1050" s="2">
        <v>0.69454369751437395</v>
      </c>
      <c r="AL1050" s="2">
        <v>0.61901695798120604</v>
      </c>
      <c r="AM1050" s="2">
        <v>0.55494093894958496</v>
      </c>
      <c r="AN1050" s="2">
        <v>0.48831081390380898</v>
      </c>
      <c r="AO1050" s="2">
        <v>0.49708515405654902</v>
      </c>
      <c r="AP1050" s="2">
        <v>1.0152839422226001</v>
      </c>
    </row>
    <row r="1051" spans="1:42" x14ac:dyDescent="0.3">
      <c r="A1051" t="s">
        <v>364</v>
      </c>
      <c r="B1051" s="3">
        <v>2020</v>
      </c>
      <c r="C1051" s="3">
        <v>3.398968</v>
      </c>
      <c r="D1051" s="3">
        <v>1499.72</v>
      </c>
      <c r="E1051" t="s">
        <v>365</v>
      </c>
      <c r="G1051" s="3">
        <v>71479.5390625</v>
      </c>
      <c r="H1051" s="3">
        <v>85333.6953125</v>
      </c>
      <c r="I1051" s="3">
        <v>89397.21875</v>
      </c>
      <c r="J1051" s="3">
        <v>87772.8203125</v>
      </c>
      <c r="K1051" s="3">
        <v>372862.8125</v>
      </c>
      <c r="L1051" s="3">
        <v>3.3208189997821999E-3</v>
      </c>
      <c r="M1051" s="3">
        <v>0.84273993968963601</v>
      </c>
      <c r="N1051" s="3">
        <v>0.78599059581756603</v>
      </c>
      <c r="O1051" s="3">
        <v>66785.75</v>
      </c>
      <c r="P1051" s="3">
        <v>80059.234375</v>
      </c>
      <c r="Q1051" s="3">
        <v>0.99875360727310203</v>
      </c>
      <c r="R1051" s="3">
        <v>0.51892697811126698</v>
      </c>
      <c r="S1051" s="3">
        <v>0.59331470727920499</v>
      </c>
      <c r="T1051" s="3">
        <v>0.600338995456696</v>
      </c>
      <c r="U1051" s="3">
        <v>0.61144936084747303</v>
      </c>
      <c r="W1051" t="s">
        <v>50</v>
      </c>
      <c r="X1051" t="s">
        <v>54</v>
      </c>
      <c r="Y1051" t="s">
        <v>52</v>
      </c>
      <c r="Z1051" t="s">
        <v>53</v>
      </c>
      <c r="AA1051" t="s">
        <v>53</v>
      </c>
      <c r="AC1051" s="2">
        <v>0.743132746033489</v>
      </c>
      <c r="AD1051" s="2">
        <v>0.61603850126266502</v>
      </c>
      <c r="AE1051" s="2">
        <v>0.15784102678299</v>
      </c>
      <c r="AF1051" s="2">
        <v>0.19833134114742301</v>
      </c>
      <c r="AG1051" s="2">
        <v>0.13549752533435799</v>
      </c>
      <c r="AH1051" s="2">
        <v>-0.16754454374313399</v>
      </c>
      <c r="AI1051" s="2">
        <v>5.9836152940988499E-2</v>
      </c>
      <c r="AJ1051" s="2">
        <v>0.60787138365759996</v>
      </c>
      <c r="AK1051" s="2">
        <v>0.63658028769592201</v>
      </c>
      <c r="AL1051" s="2">
        <v>0.54810007211470002</v>
      </c>
      <c r="AM1051" s="2">
        <v>0.52261012792587302</v>
      </c>
      <c r="AN1051" s="2">
        <v>0.47513273358344998</v>
      </c>
      <c r="AO1051" s="2">
        <v>0.44638454914093001</v>
      </c>
      <c r="AP1051" s="2">
        <v>0.92323297262191795</v>
      </c>
    </row>
    <row r="1052" spans="1:42" x14ac:dyDescent="0.3">
      <c r="A1052" t="s">
        <v>366</v>
      </c>
      <c r="B1052" s="3">
        <v>2015</v>
      </c>
      <c r="C1052" s="3">
        <v>326.12649699999997</v>
      </c>
      <c r="D1052" s="3">
        <v>1808.72</v>
      </c>
      <c r="E1052" t="s">
        <v>153</v>
      </c>
      <c r="G1052" s="3">
        <v>16728163</v>
      </c>
      <c r="H1052" s="3">
        <v>21466716</v>
      </c>
      <c r="I1052" s="3">
        <v>20868640</v>
      </c>
      <c r="J1052" s="3">
        <v>20709890</v>
      </c>
      <c r="K1052" s="3">
        <v>70324720</v>
      </c>
      <c r="L1052" s="3">
        <v>1</v>
      </c>
      <c r="M1052" s="3">
        <v>1</v>
      </c>
      <c r="N1052" s="3">
        <v>1</v>
      </c>
      <c r="O1052" s="3">
        <v>16889146</v>
      </c>
      <c r="P1052" s="3">
        <v>21528486</v>
      </c>
      <c r="Q1052" s="3">
        <v>0.94880163669586204</v>
      </c>
      <c r="R1052" s="3">
        <v>0.59088522195815996</v>
      </c>
      <c r="S1052" s="3">
        <v>0.89079868793487604</v>
      </c>
      <c r="T1052" s="3">
        <v>0.87667524814605702</v>
      </c>
      <c r="U1052" s="3">
        <v>0.88339531421661399</v>
      </c>
      <c r="W1052" t="s">
        <v>50</v>
      </c>
      <c r="X1052" t="s">
        <v>51</v>
      </c>
      <c r="Y1052" t="s">
        <v>52</v>
      </c>
      <c r="Z1052" t="s">
        <v>53</v>
      </c>
      <c r="AA1052" t="s">
        <v>53</v>
      </c>
      <c r="AC1052" s="2">
        <v>1</v>
      </c>
      <c r="AD1052" s="2">
        <v>0.69634532928466797</v>
      </c>
      <c r="AE1052" s="2">
        <v>0.228806331753731</v>
      </c>
      <c r="AF1052" s="2">
        <v>0.111392587423325</v>
      </c>
      <c r="AG1052" s="2">
        <v>0.119019240140915</v>
      </c>
      <c r="AH1052" s="2">
        <v>-0.17126451432704901</v>
      </c>
      <c r="AI1052" s="2">
        <v>1.5700994059443502E-2</v>
      </c>
      <c r="AJ1052" s="2">
        <v>0.85273125393956495</v>
      </c>
      <c r="AK1052" s="2">
        <v>0.82681615789244101</v>
      </c>
      <c r="AL1052" s="2">
        <v>1.12876854355075</v>
      </c>
      <c r="AM1052" s="2">
        <v>0.60930055379867598</v>
      </c>
      <c r="AN1052" s="2">
        <v>0.65224283933639504</v>
      </c>
      <c r="AO1052" s="2">
        <v>0.82537174224853505</v>
      </c>
      <c r="AP1052" s="2">
        <v>1</v>
      </c>
    </row>
    <row r="1053" spans="1:42" x14ac:dyDescent="0.3">
      <c r="A1053" t="s">
        <v>366</v>
      </c>
      <c r="B1053" s="3">
        <v>2016</v>
      </c>
      <c r="C1053" s="3">
        <v>329.17942699999998</v>
      </c>
      <c r="D1053" s="3">
        <v>1802.6</v>
      </c>
      <c r="E1053" t="s">
        <v>153</v>
      </c>
      <c r="G1053" s="3">
        <v>17132936</v>
      </c>
      <c r="H1053" s="3">
        <v>21810516</v>
      </c>
      <c r="I1053" s="3">
        <v>21242020</v>
      </c>
      <c r="J1053" s="3">
        <v>21086678</v>
      </c>
      <c r="K1053" s="3">
        <v>71523784</v>
      </c>
      <c r="L1053" s="3">
        <v>1</v>
      </c>
      <c r="M1053" s="3">
        <v>1</v>
      </c>
      <c r="N1053" s="3">
        <v>1</v>
      </c>
      <c r="O1053" s="3">
        <v>17283154</v>
      </c>
      <c r="P1053" s="3">
        <v>21943288</v>
      </c>
      <c r="Q1053" s="3">
        <v>0.94840973615646396</v>
      </c>
      <c r="R1053" s="3">
        <v>0.589166939258575</v>
      </c>
      <c r="S1053" s="3">
        <v>0.89769917726516701</v>
      </c>
      <c r="T1053" s="3">
        <v>0.88526946306228604</v>
      </c>
      <c r="U1053" s="3">
        <v>0.89179110527038596</v>
      </c>
      <c r="W1053" t="s">
        <v>50</v>
      </c>
      <c r="X1053" t="s">
        <v>51</v>
      </c>
      <c r="Y1053" t="s">
        <v>52</v>
      </c>
      <c r="Z1053" t="s">
        <v>53</v>
      </c>
      <c r="AA1053" t="s">
        <v>53</v>
      </c>
      <c r="AC1053" s="2">
        <v>1</v>
      </c>
      <c r="AD1053" s="2">
        <v>0.69927209615707397</v>
      </c>
      <c r="AE1053" s="2">
        <v>0.22182630002498599</v>
      </c>
      <c r="AF1053" s="2">
        <v>0.11322835832834199</v>
      </c>
      <c r="AG1053" s="2">
        <v>0.114322274923325</v>
      </c>
      <c r="AH1053" s="2">
        <v>-0.16422939300537101</v>
      </c>
      <c r="AI1053" s="2">
        <v>1.55803970992565E-2</v>
      </c>
      <c r="AJ1053" s="2">
        <v>0.86311071750143897</v>
      </c>
      <c r="AK1053" s="2">
        <v>0.83974241622206203</v>
      </c>
      <c r="AL1053" s="2">
        <v>1.1113096943995899</v>
      </c>
      <c r="AM1053" s="2">
        <v>0.60186827182769798</v>
      </c>
      <c r="AN1053" s="2">
        <v>0.64889860153198198</v>
      </c>
      <c r="AO1053" s="2">
        <v>0.83800971508026101</v>
      </c>
      <c r="AP1053" s="2">
        <v>1</v>
      </c>
    </row>
    <row r="1054" spans="1:42" x14ac:dyDescent="0.3">
      <c r="A1054" t="s">
        <v>366</v>
      </c>
      <c r="B1054" s="3">
        <v>2017</v>
      </c>
      <c r="C1054" s="3">
        <v>332.20465999999999</v>
      </c>
      <c r="D1054" s="3">
        <v>1795.58</v>
      </c>
      <c r="E1054" t="s">
        <v>153</v>
      </c>
      <c r="G1054" s="3">
        <v>17598538</v>
      </c>
      <c r="H1054" s="3">
        <v>22434580</v>
      </c>
      <c r="I1054" s="3">
        <v>21829812</v>
      </c>
      <c r="J1054" s="3">
        <v>21604908</v>
      </c>
      <c r="K1054" s="3">
        <v>72799032</v>
      </c>
      <c r="L1054" s="3">
        <v>1</v>
      </c>
      <c r="M1054" s="3">
        <v>1</v>
      </c>
      <c r="N1054" s="3">
        <v>1</v>
      </c>
      <c r="O1054" s="3">
        <v>17657940</v>
      </c>
      <c r="P1054" s="3">
        <v>22510570</v>
      </c>
      <c r="Q1054" s="3">
        <v>0.95337814092636097</v>
      </c>
      <c r="R1054" s="3">
        <v>0.59132093191146895</v>
      </c>
      <c r="S1054" s="3">
        <v>0.90952664613723799</v>
      </c>
      <c r="T1054" s="3">
        <v>0.89840906858444203</v>
      </c>
      <c r="U1054" s="3">
        <v>0.90776145458221402</v>
      </c>
      <c r="W1054" t="s">
        <v>51</v>
      </c>
      <c r="X1054" t="s">
        <v>51</v>
      </c>
      <c r="Y1054" t="s">
        <v>52</v>
      </c>
      <c r="Z1054" t="s">
        <v>53</v>
      </c>
      <c r="AA1054" t="s">
        <v>53</v>
      </c>
      <c r="AC1054" s="2">
        <v>1</v>
      </c>
      <c r="AD1054" s="2">
        <v>0.699826419353485</v>
      </c>
      <c r="AE1054" s="2">
        <v>0.22383993864059401</v>
      </c>
      <c r="AF1054" s="2">
        <v>0.114735588431358</v>
      </c>
      <c r="AG1054" s="2">
        <v>0.115496948361397</v>
      </c>
      <c r="AH1054" s="2">
        <v>-0.17001868784427601</v>
      </c>
      <c r="AI1054" s="2">
        <v>1.6119740903377502E-2</v>
      </c>
      <c r="AJ1054" s="2">
        <v>0.87902784727675498</v>
      </c>
      <c r="AK1054" s="2">
        <v>0.85795192485694505</v>
      </c>
      <c r="AL1054" s="2">
        <v>1.0955531925820701</v>
      </c>
      <c r="AM1054" s="2">
        <v>0.61948841810226396</v>
      </c>
      <c r="AN1054" s="2">
        <v>0.65481185913085904</v>
      </c>
      <c r="AO1054" s="2">
        <v>0.86331075429916404</v>
      </c>
      <c r="AP1054" s="2">
        <v>1</v>
      </c>
    </row>
    <row r="1055" spans="1:42" x14ac:dyDescent="0.3">
      <c r="A1055" t="s">
        <v>366</v>
      </c>
      <c r="B1055" s="3">
        <v>2018</v>
      </c>
      <c r="C1055" s="3">
        <v>335.05649699999998</v>
      </c>
      <c r="D1055" s="3">
        <v>1804.19</v>
      </c>
      <c r="E1055" t="s">
        <v>153</v>
      </c>
      <c r="G1055" s="3">
        <v>17976846</v>
      </c>
      <c r="H1055" s="3">
        <v>23110132</v>
      </c>
      <c r="I1055" s="3">
        <v>22465128</v>
      </c>
      <c r="J1055" s="3">
        <v>22245812</v>
      </c>
      <c r="K1055" s="3">
        <v>74181248</v>
      </c>
      <c r="L1055" s="3">
        <v>1</v>
      </c>
      <c r="M1055" s="3">
        <v>1</v>
      </c>
      <c r="N1055" s="3">
        <v>1</v>
      </c>
      <c r="O1055" s="3">
        <v>18101266</v>
      </c>
      <c r="P1055" s="3">
        <v>23216506</v>
      </c>
      <c r="Q1055" s="3">
        <v>0.95820122957229603</v>
      </c>
      <c r="R1055" s="3">
        <v>0.59057229757309004</v>
      </c>
      <c r="S1055" s="3">
        <v>0.93421125411987305</v>
      </c>
      <c r="T1055" s="3">
        <v>0.91949242353439298</v>
      </c>
      <c r="U1055" s="3">
        <v>0.92855757474899303</v>
      </c>
      <c r="W1055" t="s">
        <v>50</v>
      </c>
      <c r="X1055" t="s">
        <v>51</v>
      </c>
      <c r="Y1055" t="s">
        <v>52</v>
      </c>
      <c r="Z1055" t="s">
        <v>53</v>
      </c>
      <c r="AA1055" t="s">
        <v>53</v>
      </c>
      <c r="AC1055" s="2">
        <v>1</v>
      </c>
      <c r="AD1055" s="2">
        <v>0.69126045703887895</v>
      </c>
      <c r="AE1055" s="2">
        <v>0.23075288534164401</v>
      </c>
      <c r="AF1055" s="2">
        <v>0.11683981865644499</v>
      </c>
      <c r="AG1055" s="2">
        <v>0.11845937371254001</v>
      </c>
      <c r="AH1055" s="2">
        <v>-0.17440421879291501</v>
      </c>
      <c r="AI1055" s="2">
        <v>1.70916523784399E-2</v>
      </c>
      <c r="AJ1055" s="2">
        <v>0.90614892130036595</v>
      </c>
      <c r="AK1055" s="2">
        <v>0.86794686673084998</v>
      </c>
      <c r="AL1055" s="2">
        <v>1.1002368832957301</v>
      </c>
      <c r="AM1055" s="2">
        <v>0.631938457489014</v>
      </c>
      <c r="AN1055" s="2">
        <v>0.673090040683746</v>
      </c>
      <c r="AO1055" s="2">
        <v>0.89220035076141402</v>
      </c>
      <c r="AP1055" s="2">
        <v>1</v>
      </c>
    </row>
    <row r="1056" spans="1:42" x14ac:dyDescent="0.3">
      <c r="A1056" t="s">
        <v>366</v>
      </c>
      <c r="B1056" s="3">
        <v>2019</v>
      </c>
      <c r="C1056" s="3">
        <v>337.79006700000002</v>
      </c>
      <c r="D1056" s="3">
        <v>1796.65</v>
      </c>
      <c r="E1056" t="s">
        <v>153</v>
      </c>
      <c r="G1056" s="3">
        <v>18415436</v>
      </c>
      <c r="H1056" s="3">
        <v>23715062</v>
      </c>
      <c r="I1056" s="3">
        <v>23095952</v>
      </c>
      <c r="J1056" s="3">
        <v>22820462</v>
      </c>
      <c r="K1056" s="3">
        <v>75565128</v>
      </c>
      <c r="L1056" s="3">
        <v>1</v>
      </c>
      <c r="M1056" s="3">
        <v>1</v>
      </c>
      <c r="N1056" s="3">
        <v>1</v>
      </c>
      <c r="O1056" s="3">
        <v>18544776</v>
      </c>
      <c r="P1056" s="3">
        <v>23825342</v>
      </c>
      <c r="Q1056" s="3">
        <v>0.96426647901535001</v>
      </c>
      <c r="R1056" s="3">
        <v>0.591832935810089</v>
      </c>
      <c r="S1056" s="3">
        <v>0.94755834341049205</v>
      </c>
      <c r="T1056" s="3">
        <v>0.932630956172943</v>
      </c>
      <c r="U1056" s="3">
        <v>0.94388967752456698</v>
      </c>
      <c r="W1056" t="s">
        <v>50</v>
      </c>
      <c r="X1056" t="s">
        <v>54</v>
      </c>
      <c r="Y1056" t="s">
        <v>52</v>
      </c>
      <c r="Z1056" t="s">
        <v>53</v>
      </c>
      <c r="AA1056" t="s">
        <v>53</v>
      </c>
      <c r="AC1056" s="2">
        <v>1</v>
      </c>
      <c r="AD1056" s="2">
        <v>0.69038641452789296</v>
      </c>
      <c r="AE1056" s="2">
        <v>0.23223128914833099</v>
      </c>
      <c r="AF1056" s="2">
        <v>0.11658392846584301</v>
      </c>
      <c r="AG1056" s="2">
        <v>0.11538266390562101</v>
      </c>
      <c r="AH1056" s="2">
        <v>-0.17063860595226299</v>
      </c>
      <c r="AI1056" s="2">
        <v>1.6054319217801101E-2</v>
      </c>
      <c r="AJ1056" s="2">
        <v>0.91638579974422696</v>
      </c>
      <c r="AK1056" s="2">
        <v>0.88076040375010001</v>
      </c>
      <c r="AL1056" s="2">
        <v>1.1321560089973799</v>
      </c>
      <c r="AM1056" s="2">
        <v>0.62446880340576205</v>
      </c>
      <c r="AN1056" s="2">
        <v>0.65933638811111495</v>
      </c>
      <c r="AO1056" s="2">
        <v>0.91730099916458097</v>
      </c>
      <c r="AP1056" s="2">
        <v>1</v>
      </c>
    </row>
    <row r="1057" spans="1:42" x14ac:dyDescent="0.3">
      <c r="A1057" t="s">
        <v>366</v>
      </c>
      <c r="B1057" s="3">
        <v>2020</v>
      </c>
      <c r="C1057" s="3">
        <v>339.43615899999998</v>
      </c>
      <c r="D1057" s="3">
        <v>1777.88</v>
      </c>
      <c r="E1057" t="s">
        <v>153</v>
      </c>
      <c r="G1057" s="3">
        <v>18178182</v>
      </c>
      <c r="H1057" s="3">
        <v>23273508</v>
      </c>
      <c r="I1057" s="3">
        <v>22610364</v>
      </c>
      <c r="J1057" s="3">
        <v>22326726</v>
      </c>
      <c r="K1057" s="3">
        <v>76784664</v>
      </c>
      <c r="L1057" s="3">
        <v>1</v>
      </c>
      <c r="M1057" s="3">
        <v>1</v>
      </c>
      <c r="N1057" s="3">
        <v>1</v>
      </c>
      <c r="O1057" s="3">
        <v>18253700</v>
      </c>
      <c r="P1057" s="3">
        <v>23379198</v>
      </c>
      <c r="Q1057" s="3">
        <v>0.97307753562927302</v>
      </c>
      <c r="R1057" s="3">
        <v>0.60563915967941295</v>
      </c>
      <c r="S1057" s="3">
        <v>0.95755445957183805</v>
      </c>
      <c r="T1057" s="3">
        <v>0.944438576698303</v>
      </c>
      <c r="U1057" s="3">
        <v>0.95643675327301003</v>
      </c>
      <c r="W1057" t="s">
        <v>50</v>
      </c>
      <c r="X1057" t="s">
        <v>54</v>
      </c>
      <c r="Y1057" t="s">
        <v>52</v>
      </c>
      <c r="Z1057" t="s">
        <v>53</v>
      </c>
      <c r="AA1057" t="s">
        <v>53</v>
      </c>
      <c r="AC1057" s="2">
        <v>1</v>
      </c>
      <c r="AD1057" s="2">
        <v>0.68965059518814098</v>
      </c>
      <c r="AE1057" s="2">
        <v>0.22821643948555001</v>
      </c>
      <c r="AF1057" s="2">
        <v>0.124538786709309</v>
      </c>
      <c r="AG1057" s="2">
        <v>0.101375289261341</v>
      </c>
      <c r="AH1057" s="2">
        <v>-0.15636625885963401</v>
      </c>
      <c r="AI1057" s="2">
        <v>1.2585152871906801E-2</v>
      </c>
      <c r="AJ1057" s="2">
        <v>0.92388837699558202</v>
      </c>
      <c r="AK1057" s="2">
        <v>0.89764618873752999</v>
      </c>
      <c r="AL1057" s="2">
        <v>1.14398504959872</v>
      </c>
      <c r="AM1057" s="2">
        <v>0.61538666486740101</v>
      </c>
      <c r="AN1057" s="2">
        <v>0.655342698097229</v>
      </c>
      <c r="AO1057" s="2">
        <v>0.93701857328414895</v>
      </c>
      <c r="AP1057" s="2">
        <v>1</v>
      </c>
    </row>
    <row r="1058" spans="1:42" x14ac:dyDescent="0.3">
      <c r="A1058" t="s">
        <v>367</v>
      </c>
      <c r="B1058" s="3">
        <v>2015</v>
      </c>
      <c r="C1058" s="3">
        <v>30.749345999999999</v>
      </c>
      <c r="D1058" s="3">
        <v>2087.77</v>
      </c>
      <c r="E1058" t="s">
        <v>368</v>
      </c>
      <c r="G1058" s="3">
        <v>194252.59375</v>
      </c>
      <c r="H1058" s="3">
        <v>231871.921875</v>
      </c>
      <c r="I1058" s="3">
        <v>221118.3125</v>
      </c>
      <c r="J1058" s="3">
        <v>224541.03125</v>
      </c>
      <c r="K1058" s="3">
        <v>862972.8125</v>
      </c>
      <c r="L1058" s="3">
        <v>1.1454597115516701E-2</v>
      </c>
      <c r="M1058" s="3"/>
      <c r="N1058" s="3"/>
      <c r="O1058" s="3">
        <v>178342.953125</v>
      </c>
      <c r="P1058" s="3">
        <v>201692.015625</v>
      </c>
      <c r="Q1058" s="3"/>
      <c r="R1058" s="3">
        <v>0.44290909171104398</v>
      </c>
      <c r="S1058" s="3">
        <v>0.34841880202293402</v>
      </c>
      <c r="T1058" s="3">
        <v>0.38981965184211698</v>
      </c>
      <c r="U1058" s="3">
        <v>0.38387760519981401</v>
      </c>
      <c r="W1058" t="s">
        <v>230</v>
      </c>
      <c r="X1058" t="s">
        <v>51</v>
      </c>
      <c r="Y1058" t="s">
        <v>52</v>
      </c>
      <c r="Z1058" t="s">
        <v>53</v>
      </c>
      <c r="AA1058" t="s">
        <v>53</v>
      </c>
      <c r="AC1058" s="2"/>
      <c r="AD1058" s="2">
        <v>0.53459846973419201</v>
      </c>
      <c r="AE1058" s="2">
        <v>0.167538732290268</v>
      </c>
      <c r="AF1058" s="2">
        <v>0.33051109313964799</v>
      </c>
      <c r="AG1058" s="2">
        <v>5.1808547228574801E-2</v>
      </c>
      <c r="AH1058" s="2">
        <v>-8.2880988717079204E-2</v>
      </c>
      <c r="AI1058" s="2">
        <v>-1.5758869703859099E-3</v>
      </c>
      <c r="AJ1058" s="2">
        <v>0.46604750697577102</v>
      </c>
      <c r="AK1058" s="2">
        <v>0.603598725040284</v>
      </c>
      <c r="AL1058" s="2">
        <v>0.15815551960501101</v>
      </c>
      <c r="AM1058" s="2">
        <v>0.55001300573348999</v>
      </c>
      <c r="AN1058" s="2">
        <v>0.56176286935806297</v>
      </c>
      <c r="AO1058" s="2">
        <v>0.15130357444286299</v>
      </c>
      <c r="AP1058" s="2">
        <v>0.56008857488632202</v>
      </c>
    </row>
    <row r="1059" spans="1:42" x14ac:dyDescent="0.3">
      <c r="A1059" t="s">
        <v>367</v>
      </c>
      <c r="B1059" s="3">
        <v>2016</v>
      </c>
      <c r="C1059" s="3">
        <v>31.284568</v>
      </c>
      <c r="D1059" s="3">
        <v>2118.5700000000002</v>
      </c>
      <c r="E1059" t="s">
        <v>368</v>
      </c>
      <c r="G1059" s="3">
        <v>203749.328125</v>
      </c>
      <c r="H1059" s="3">
        <v>242153.875</v>
      </c>
      <c r="I1059" s="3">
        <v>228034.984375</v>
      </c>
      <c r="J1059" s="3">
        <v>229771.1875</v>
      </c>
      <c r="K1059" s="3">
        <v>946126.25</v>
      </c>
      <c r="L1059" s="3">
        <v>1.22229224070907E-2</v>
      </c>
      <c r="M1059" s="3"/>
      <c r="N1059" s="3"/>
      <c r="O1059" s="3">
        <v>191271.75</v>
      </c>
      <c r="P1059" s="3">
        <v>214986.390625</v>
      </c>
      <c r="Q1059" s="3"/>
      <c r="R1059" s="3">
        <v>0.45400044322013899</v>
      </c>
      <c r="S1059" s="3">
        <v>0.34004038572311401</v>
      </c>
      <c r="T1059" s="3">
        <v>0.37774154543876698</v>
      </c>
      <c r="U1059" s="3">
        <v>0.37488722801208502</v>
      </c>
      <c r="W1059" t="s">
        <v>230</v>
      </c>
      <c r="X1059" t="s">
        <v>51</v>
      </c>
      <c r="Y1059" t="s">
        <v>52</v>
      </c>
      <c r="Z1059" t="s">
        <v>53</v>
      </c>
      <c r="AA1059" t="s">
        <v>53</v>
      </c>
      <c r="AC1059" s="2"/>
      <c r="AD1059" s="2">
        <v>0.55939537286758401</v>
      </c>
      <c r="AE1059" s="2">
        <v>0.167142599821091</v>
      </c>
      <c r="AF1059" s="2">
        <v>0.32735344767570501</v>
      </c>
      <c r="AG1059" s="2">
        <v>5.9108629822730997E-2</v>
      </c>
      <c r="AH1059" s="2">
        <v>-7.3829695582389804E-2</v>
      </c>
      <c r="AI1059" s="2">
        <v>-3.9170302450656898E-2</v>
      </c>
      <c r="AJ1059" s="2">
        <v>0.44426800155996998</v>
      </c>
      <c r="AK1059" s="2">
        <v>0.57775912394365603</v>
      </c>
      <c r="AL1059" s="2">
        <v>0.16193184370390401</v>
      </c>
      <c r="AM1059" s="2">
        <v>0.54329574108123802</v>
      </c>
      <c r="AN1059" s="2">
        <v>0.55046045780181896</v>
      </c>
      <c r="AO1059" s="2">
        <v>0.14251381158828699</v>
      </c>
      <c r="AP1059" s="2">
        <v>0.49805435538291898</v>
      </c>
    </row>
    <row r="1060" spans="1:42" x14ac:dyDescent="0.3">
      <c r="A1060" t="s">
        <v>367</v>
      </c>
      <c r="B1060" s="3">
        <v>2017</v>
      </c>
      <c r="C1060" s="3">
        <v>31.819178000000001</v>
      </c>
      <c r="D1060" s="3">
        <v>2126.48</v>
      </c>
      <c r="E1060" t="s">
        <v>368</v>
      </c>
      <c r="G1060" s="3">
        <v>209624.765625</v>
      </c>
      <c r="H1060" s="3">
        <v>254761.890625</v>
      </c>
      <c r="I1060" s="3">
        <v>240571.5625</v>
      </c>
      <c r="J1060" s="3">
        <v>244955.109375</v>
      </c>
      <c r="K1060" s="3">
        <v>1043866.6875</v>
      </c>
      <c r="L1060" s="3">
        <v>1.2984636239707499E-2</v>
      </c>
      <c r="M1060" s="3"/>
      <c r="N1060" s="3"/>
      <c r="O1060" s="3">
        <v>198351.46875</v>
      </c>
      <c r="P1060" s="3">
        <v>231215.421875</v>
      </c>
      <c r="Q1060" s="3"/>
      <c r="R1060" s="3">
        <v>0.40518355369567899</v>
      </c>
      <c r="S1060" s="3">
        <v>0.22733491659164401</v>
      </c>
      <c r="T1060" s="3">
        <v>0.25805759429931602</v>
      </c>
      <c r="U1060" s="3">
        <v>0.25343960523605302</v>
      </c>
      <c r="W1060" t="s">
        <v>230</v>
      </c>
      <c r="X1060" t="s">
        <v>51</v>
      </c>
      <c r="Y1060" t="s">
        <v>52</v>
      </c>
      <c r="Z1060" t="s">
        <v>53</v>
      </c>
      <c r="AA1060" t="s">
        <v>53</v>
      </c>
      <c r="AC1060" s="2"/>
      <c r="AD1060" s="2">
        <v>0.54127389192581199</v>
      </c>
      <c r="AE1060" s="2">
        <v>0.18426690995693201</v>
      </c>
      <c r="AF1060" s="2">
        <v>0.31449422240257302</v>
      </c>
      <c r="AG1060" s="2">
        <v>7.4477687478065505E-2</v>
      </c>
      <c r="AH1060" s="2">
        <v>-8.7025478482246399E-2</v>
      </c>
      <c r="AI1060" s="2">
        <v>-2.7487235143780701E-2</v>
      </c>
      <c r="AJ1060" s="2">
        <v>0.30044654761255801</v>
      </c>
      <c r="AK1060" s="2">
        <v>0.40073925979124198</v>
      </c>
      <c r="AL1060" s="2">
        <v>0.101502972375103</v>
      </c>
      <c r="AM1060" s="2">
        <v>0.55249077081680298</v>
      </c>
      <c r="AN1060" s="2">
        <v>0.56456154584884599</v>
      </c>
      <c r="AO1060" s="2">
        <v>9.7227387130260495E-2</v>
      </c>
      <c r="AP1060" s="2">
        <v>0.354819566011429</v>
      </c>
    </row>
    <row r="1061" spans="1:42" x14ac:dyDescent="0.3">
      <c r="A1061" t="s">
        <v>367</v>
      </c>
      <c r="B1061" s="3">
        <v>2018</v>
      </c>
      <c r="C1061" s="3">
        <v>32.373489999999997</v>
      </c>
      <c r="D1061" s="3">
        <v>2118.38</v>
      </c>
      <c r="E1061" t="s">
        <v>368</v>
      </c>
      <c r="G1061" s="3">
        <v>221440.859375</v>
      </c>
      <c r="H1061" s="3">
        <v>282064.375</v>
      </c>
      <c r="I1061" s="3">
        <v>250574.46875</v>
      </c>
      <c r="J1061" s="3">
        <v>271392.96875</v>
      </c>
      <c r="K1061" s="3">
        <v>1182203.125</v>
      </c>
      <c r="L1061" s="3">
        <v>1.4405013993382501E-2</v>
      </c>
      <c r="M1061" s="3"/>
      <c r="N1061" s="3"/>
      <c r="O1061" s="3">
        <v>212316.875</v>
      </c>
      <c r="P1061" s="3">
        <v>265230.46875</v>
      </c>
      <c r="Q1061" s="3"/>
      <c r="R1061" s="3">
        <v>0.379897981882095</v>
      </c>
      <c r="S1061" s="3">
        <v>0.17993201315403001</v>
      </c>
      <c r="T1061" s="3">
        <v>0.21099558472633401</v>
      </c>
      <c r="U1061" s="3">
        <v>0.19481018185615501</v>
      </c>
      <c r="W1061" t="s">
        <v>230</v>
      </c>
      <c r="X1061" t="s">
        <v>51</v>
      </c>
      <c r="Y1061" t="s">
        <v>52</v>
      </c>
      <c r="Z1061" t="s">
        <v>53</v>
      </c>
      <c r="AA1061" t="s">
        <v>53</v>
      </c>
      <c r="AC1061" s="2"/>
      <c r="AD1061" s="2">
        <v>0.51467776298523005</v>
      </c>
      <c r="AE1061" s="2">
        <v>0.223379030823708</v>
      </c>
      <c r="AF1061" s="2">
        <v>0.301264047622681</v>
      </c>
      <c r="AG1061" s="2">
        <v>7.7912151813507094E-2</v>
      </c>
      <c r="AH1061" s="2">
        <v>-0.112517893314362</v>
      </c>
      <c r="AI1061" s="2">
        <v>-4.7151139006018604E-3</v>
      </c>
      <c r="AJ1061" s="2">
        <v>0.23440310920629501</v>
      </c>
      <c r="AK1061" s="2">
        <v>0.32446224565409598</v>
      </c>
      <c r="AL1061" s="2">
        <v>8.6873892081807E-2</v>
      </c>
      <c r="AM1061" s="2">
        <v>0.51639205217361495</v>
      </c>
      <c r="AN1061" s="2">
        <v>0.56699079275131203</v>
      </c>
      <c r="AO1061" s="2">
        <v>8.2311533391475705E-2</v>
      </c>
      <c r="AP1061" s="2">
        <v>0.26910722255706798</v>
      </c>
    </row>
    <row r="1062" spans="1:42" x14ac:dyDescent="0.3">
      <c r="A1062" t="s">
        <v>367</v>
      </c>
      <c r="B1062" s="3">
        <v>2019</v>
      </c>
      <c r="C1062" s="3">
        <v>32.964700999999998</v>
      </c>
      <c r="D1062" s="3">
        <v>2115.69</v>
      </c>
      <c r="E1062" t="s">
        <v>368</v>
      </c>
      <c r="G1062" s="3">
        <v>229427.609375</v>
      </c>
      <c r="H1062" s="3">
        <v>304978.28125</v>
      </c>
      <c r="I1062" s="3">
        <v>259549.125</v>
      </c>
      <c r="J1062" s="3">
        <v>277656.0625</v>
      </c>
      <c r="K1062" s="3">
        <v>1386789.875</v>
      </c>
      <c r="L1062" s="3">
        <v>1.67127531021833E-2</v>
      </c>
      <c r="M1062" s="3"/>
      <c r="N1062" s="3"/>
      <c r="O1062" s="3">
        <v>224173.78125</v>
      </c>
      <c r="P1062" s="3">
        <v>297234.90625</v>
      </c>
      <c r="Q1062" s="3"/>
      <c r="R1062" s="3">
        <v>0.38574063777923601</v>
      </c>
      <c r="S1062" s="3">
        <v>0.198890030384064</v>
      </c>
      <c r="T1062" s="3">
        <v>0.232262402772903</v>
      </c>
      <c r="U1062" s="3">
        <v>0.21711573004722601</v>
      </c>
      <c r="W1062" t="s">
        <v>230</v>
      </c>
      <c r="X1062" t="s">
        <v>54</v>
      </c>
      <c r="Y1062" t="s">
        <v>52</v>
      </c>
      <c r="Z1062" t="s">
        <v>53</v>
      </c>
      <c r="AA1062" t="s">
        <v>53</v>
      </c>
      <c r="AC1062" s="2"/>
      <c r="AD1062" s="2">
        <v>0.52805745601654097</v>
      </c>
      <c r="AE1062" s="2">
        <v>0.272101640701294</v>
      </c>
      <c r="AF1062" s="2">
        <v>0.29824396967887901</v>
      </c>
      <c r="AG1062" s="2">
        <v>0.100745037198067</v>
      </c>
      <c r="AH1062" s="2">
        <v>-0.13920265436172499</v>
      </c>
      <c r="AI1062" s="2">
        <v>-5.99454343318939E-2</v>
      </c>
      <c r="AJ1062" s="2">
        <v>0.24481163800738601</v>
      </c>
      <c r="AK1062" s="2">
        <v>0.33360560457293598</v>
      </c>
      <c r="AL1062" s="2">
        <v>0.11758326932386599</v>
      </c>
      <c r="AM1062" s="2">
        <v>0.53372144699096702</v>
      </c>
      <c r="AN1062" s="2">
        <v>0.56576997041702304</v>
      </c>
      <c r="AO1062" s="2">
        <v>8.4929980337619795E-2</v>
      </c>
      <c r="AP1062" s="2">
        <v>0.25201049447059598</v>
      </c>
    </row>
    <row r="1063" spans="1:42" x14ac:dyDescent="0.3">
      <c r="A1063" t="s">
        <v>367</v>
      </c>
      <c r="B1063" s="3">
        <v>2020</v>
      </c>
      <c r="C1063" s="3">
        <v>33.586371999999997</v>
      </c>
      <c r="D1063" s="3">
        <v>2081.2800000000002</v>
      </c>
      <c r="E1063" t="s">
        <v>368</v>
      </c>
      <c r="G1063" s="3">
        <v>229098.265625</v>
      </c>
      <c r="H1063" s="3">
        <v>302271.96875</v>
      </c>
      <c r="I1063" s="3">
        <v>262868.15625</v>
      </c>
      <c r="J1063" s="3">
        <v>277017.75</v>
      </c>
      <c r="K1063" s="3">
        <v>1566238</v>
      </c>
      <c r="L1063" s="3">
        <v>1.7932314425706902E-2</v>
      </c>
      <c r="M1063" s="3"/>
      <c r="N1063" s="3"/>
      <c r="O1063" s="3">
        <v>225305.109375</v>
      </c>
      <c r="P1063" s="3">
        <v>296564.5</v>
      </c>
      <c r="Q1063" s="3"/>
      <c r="R1063" s="3">
        <v>0.375224828720093</v>
      </c>
      <c r="S1063" s="3">
        <v>0.197250440716743</v>
      </c>
      <c r="T1063" s="3">
        <v>0.22910611331462899</v>
      </c>
      <c r="U1063" s="3">
        <v>0.217403754591942</v>
      </c>
      <c r="W1063" t="s">
        <v>230</v>
      </c>
      <c r="X1063" t="s">
        <v>54</v>
      </c>
      <c r="Y1063" t="s">
        <v>52</v>
      </c>
      <c r="Z1063" t="s">
        <v>53</v>
      </c>
      <c r="AA1063" t="s">
        <v>53</v>
      </c>
      <c r="AC1063" s="2"/>
      <c r="AD1063" s="2">
        <v>0.52756148576736495</v>
      </c>
      <c r="AE1063" s="2">
        <v>0.26414808630943298</v>
      </c>
      <c r="AF1063" s="2">
        <v>0.29945507645607</v>
      </c>
      <c r="AG1063" s="2">
        <v>7.8515470027923598E-2</v>
      </c>
      <c r="AH1063" s="2">
        <v>-0.11711281538009601</v>
      </c>
      <c r="AI1063" s="2">
        <v>-5.2567265927791602E-2</v>
      </c>
      <c r="AJ1063" s="2">
        <v>0.24264391122472501</v>
      </c>
      <c r="AK1063" s="2">
        <v>0.32884251750698701</v>
      </c>
      <c r="AL1063" s="2">
        <v>0.117279020512554</v>
      </c>
      <c r="AM1063" s="2">
        <v>0.58590775728225697</v>
      </c>
      <c r="AN1063" s="2">
        <v>0.573491871356964</v>
      </c>
      <c r="AO1063" s="2">
        <v>8.2956708967685699E-2</v>
      </c>
      <c r="AP1063" s="2">
        <v>0.24916498363018</v>
      </c>
    </row>
    <row r="1064" spans="1:42" x14ac:dyDescent="0.3">
      <c r="A1064" t="s">
        <v>369</v>
      </c>
      <c r="B1064" s="3">
        <v>2015</v>
      </c>
      <c r="C1064" s="3">
        <v>0.10696</v>
      </c>
      <c r="D1064" s="3"/>
      <c r="E1064" t="s">
        <v>58</v>
      </c>
      <c r="G1064" s="3">
        <v>1338.12768554688</v>
      </c>
      <c r="H1064" s="3">
        <v>1671.69152832031</v>
      </c>
      <c r="I1064" s="3">
        <v>1452.6689453125</v>
      </c>
      <c r="J1064" s="3">
        <v>1320.20666503906</v>
      </c>
      <c r="K1064" s="3">
        <v>9291.5400390625</v>
      </c>
      <c r="L1064" s="3"/>
      <c r="M1064" s="3"/>
      <c r="N1064" s="3"/>
      <c r="O1064" s="3">
        <v>1336.28161621094</v>
      </c>
      <c r="P1064" s="3">
        <v>1708.04125976563</v>
      </c>
      <c r="Q1064" s="3"/>
      <c r="R1064" s="3"/>
      <c r="S1064" s="3">
        <v>0.53089529275894198</v>
      </c>
      <c r="T1064" s="3">
        <v>0.54145550727844205</v>
      </c>
      <c r="U1064" s="3">
        <v>0.59578216075897195</v>
      </c>
      <c r="W1064" t="s">
        <v>50</v>
      </c>
      <c r="X1064" t="s">
        <v>51</v>
      </c>
      <c r="Y1064" t="s">
        <v>52</v>
      </c>
      <c r="Z1064" t="s">
        <v>53</v>
      </c>
      <c r="AC1064" s="2">
        <v>0.61122467782647905</v>
      </c>
      <c r="AD1064" s="2">
        <v>0.72275024652481101</v>
      </c>
      <c r="AE1064" s="2">
        <v>0.25266030430793801</v>
      </c>
      <c r="AF1064" s="2">
        <v>0.290824204683304</v>
      </c>
      <c r="AG1064" s="2">
        <v>0.41341537237167397</v>
      </c>
      <c r="AH1064" s="2">
        <v>-0.68661469221115101</v>
      </c>
      <c r="AI1064" s="2">
        <v>6.9645419716834996E-3</v>
      </c>
      <c r="AJ1064" s="2">
        <v>0.58742283463779299</v>
      </c>
      <c r="AK1064" s="2">
        <v>0.583818931505519</v>
      </c>
      <c r="AL1064" s="2">
        <v>0.390414130055314</v>
      </c>
      <c r="AM1064" s="2">
        <v>0.52365034818649303</v>
      </c>
      <c r="AN1064" s="2">
        <v>0.45216342806816101</v>
      </c>
      <c r="AO1064" s="2">
        <v>0.39649143815040599</v>
      </c>
      <c r="AP1064" s="2"/>
    </row>
    <row r="1065" spans="1:42" x14ac:dyDescent="0.3">
      <c r="A1065" t="s">
        <v>369</v>
      </c>
      <c r="B1065" s="3">
        <v>2016</v>
      </c>
      <c r="C1065" s="3">
        <v>0.106349</v>
      </c>
      <c r="D1065" s="3"/>
      <c r="E1065" t="s">
        <v>58</v>
      </c>
      <c r="G1065" s="3">
        <v>1461.78540039063</v>
      </c>
      <c r="H1065" s="3">
        <v>1838.67919921875</v>
      </c>
      <c r="I1065" s="3">
        <v>1543.34118652344</v>
      </c>
      <c r="J1065" s="3">
        <v>1375.92114257813</v>
      </c>
      <c r="K1065" s="3">
        <v>9179.84765625</v>
      </c>
      <c r="L1065" s="3"/>
      <c r="M1065" s="3"/>
      <c r="N1065" s="3"/>
      <c r="O1065" s="3">
        <v>1435.498046875</v>
      </c>
      <c r="P1065" s="3">
        <v>1853.18054199219</v>
      </c>
      <c r="Q1065" s="3"/>
      <c r="R1065" s="3"/>
      <c r="S1065" s="3">
        <v>0.52284258604049705</v>
      </c>
      <c r="T1065" s="3">
        <v>0.527623891830444</v>
      </c>
      <c r="U1065" s="3">
        <v>0.59182441234588601</v>
      </c>
      <c r="W1065" t="s">
        <v>50</v>
      </c>
      <c r="X1065" t="s">
        <v>51</v>
      </c>
      <c r="Y1065" t="s">
        <v>52</v>
      </c>
      <c r="Z1065" t="s">
        <v>53</v>
      </c>
      <c r="AC1065" s="2">
        <v>0.59570944055491104</v>
      </c>
      <c r="AD1065" s="2">
        <v>0.75008696317672696</v>
      </c>
      <c r="AE1065" s="2">
        <v>0.27392104268074002</v>
      </c>
      <c r="AF1065" s="2">
        <v>0.31231793761253401</v>
      </c>
      <c r="AG1065" s="2">
        <v>0.36681681871414201</v>
      </c>
      <c r="AH1065" s="2">
        <v>-0.703172206878662</v>
      </c>
      <c r="AI1065" s="2">
        <v>2.9387523682089499E-5</v>
      </c>
      <c r="AJ1065" s="2">
        <v>0.58444076568938697</v>
      </c>
      <c r="AK1065" s="2">
        <v>0.54616836060528295</v>
      </c>
      <c r="AL1065" s="2">
        <v>0.37490363029056001</v>
      </c>
      <c r="AM1065" s="2">
        <v>0.57714831829071001</v>
      </c>
      <c r="AN1065" s="2">
        <v>0.46216025948524497</v>
      </c>
      <c r="AO1065" s="2">
        <v>0.38864916563034102</v>
      </c>
      <c r="AP1065" s="2"/>
    </row>
    <row r="1066" spans="1:42" x14ac:dyDescent="0.3">
      <c r="A1066" t="s">
        <v>369</v>
      </c>
      <c r="B1066" s="3">
        <v>2017</v>
      </c>
      <c r="C1066" s="3">
        <v>0.10566300000000001</v>
      </c>
      <c r="D1066" s="3"/>
      <c r="E1066" t="s">
        <v>58</v>
      </c>
      <c r="G1066" s="3">
        <v>1439.50158691406</v>
      </c>
      <c r="H1066" s="3">
        <v>1799.4306640625</v>
      </c>
      <c r="I1066" s="3">
        <v>1521.01867675781</v>
      </c>
      <c r="J1066" s="3">
        <v>1352.19787597656</v>
      </c>
      <c r="K1066" s="3">
        <v>10048.1396484375</v>
      </c>
      <c r="L1066" s="3"/>
      <c r="M1066" s="3"/>
      <c r="N1066" s="3"/>
      <c r="O1066" s="3">
        <v>1451.60363769531</v>
      </c>
      <c r="P1066" s="3">
        <v>1839.31799316406</v>
      </c>
      <c r="Q1066" s="3"/>
      <c r="R1066" s="3"/>
      <c r="S1066" s="3">
        <v>0.54956418275833097</v>
      </c>
      <c r="T1066" s="3">
        <v>0.55491685867309604</v>
      </c>
      <c r="U1066" s="3">
        <v>0.62419778108596802</v>
      </c>
      <c r="W1066" t="s">
        <v>51</v>
      </c>
      <c r="X1066" t="s">
        <v>51</v>
      </c>
      <c r="Y1066" t="s">
        <v>52</v>
      </c>
      <c r="Z1066" t="s">
        <v>53</v>
      </c>
      <c r="AC1066" s="2">
        <v>0.59604107772999704</v>
      </c>
      <c r="AD1066" s="2">
        <v>0.76217722892761197</v>
      </c>
      <c r="AE1066" s="2">
        <v>0.26618078351020802</v>
      </c>
      <c r="AF1066" s="2">
        <v>0.30238705873489402</v>
      </c>
      <c r="AG1066" s="2">
        <v>0.37220087647438099</v>
      </c>
      <c r="AH1066" s="2">
        <v>-0.705996334552765</v>
      </c>
      <c r="AI1066" s="2">
        <v>3.0503750313073401E-3</v>
      </c>
      <c r="AJ1066" s="2">
        <v>0.605858572880003</v>
      </c>
      <c r="AK1066" s="2">
        <v>0.57632442163046604</v>
      </c>
      <c r="AL1066" s="2">
        <v>0.40767218148219198</v>
      </c>
      <c r="AM1066" s="2">
        <v>0.54966843128204401</v>
      </c>
      <c r="AN1066" s="2">
        <v>0.45431712269782998</v>
      </c>
      <c r="AO1066" s="2">
        <v>0.39727103710174599</v>
      </c>
      <c r="AP1066" s="2"/>
    </row>
    <row r="1067" spans="1:42" x14ac:dyDescent="0.3">
      <c r="A1067" t="s">
        <v>369</v>
      </c>
      <c r="B1067" s="3">
        <v>2018</v>
      </c>
      <c r="C1067" s="3">
        <v>0.10492600000000001</v>
      </c>
      <c r="D1067" s="3"/>
      <c r="E1067" t="s">
        <v>58</v>
      </c>
      <c r="G1067" s="3">
        <v>1444.03625488281</v>
      </c>
      <c r="H1067" s="3">
        <v>1812.73132324219</v>
      </c>
      <c r="I1067" s="3">
        <v>1596.49853515625</v>
      </c>
      <c r="J1067" s="3">
        <v>1497.06677246094</v>
      </c>
      <c r="K1067" s="3">
        <v>10300.1591796875</v>
      </c>
      <c r="L1067" s="3"/>
      <c r="M1067" s="3"/>
      <c r="N1067" s="3"/>
      <c r="O1067" s="3">
        <v>1448.70544433594</v>
      </c>
      <c r="P1067" s="3">
        <v>1846.18676757813</v>
      </c>
      <c r="Q1067" s="3"/>
      <c r="R1067" s="3"/>
      <c r="S1067" s="3">
        <v>0.55054682493209794</v>
      </c>
      <c r="T1067" s="3">
        <v>0.55391728878021196</v>
      </c>
      <c r="U1067" s="3">
        <v>0.59070724248886097</v>
      </c>
      <c r="W1067" t="s">
        <v>50</v>
      </c>
      <c r="X1067" t="s">
        <v>51</v>
      </c>
      <c r="Y1067" t="s">
        <v>52</v>
      </c>
      <c r="Z1067" t="s">
        <v>53</v>
      </c>
      <c r="AC1067" s="2">
        <v>0.59815832958670601</v>
      </c>
      <c r="AD1067" s="2">
        <v>0.67939102649688698</v>
      </c>
      <c r="AE1067" s="2">
        <v>0.246278330683708</v>
      </c>
      <c r="AF1067" s="2">
        <v>0.28518599271774298</v>
      </c>
      <c r="AG1067" s="2">
        <v>0.39295938611030601</v>
      </c>
      <c r="AH1067" s="2">
        <v>-0.61198669672012296</v>
      </c>
      <c r="AI1067" s="2">
        <v>8.1719709560275095E-3</v>
      </c>
      <c r="AJ1067" s="2">
        <v>0.61684926441167598</v>
      </c>
      <c r="AK1067" s="2">
        <v>0.56711818794774804</v>
      </c>
      <c r="AL1067" s="2">
        <v>0.39259633391811199</v>
      </c>
      <c r="AM1067" s="2">
        <v>0.53150665760040305</v>
      </c>
      <c r="AN1067" s="2">
        <v>0.47990310192108199</v>
      </c>
      <c r="AO1067" s="2">
        <v>0.39127391576767001</v>
      </c>
      <c r="AP1067" s="2"/>
    </row>
    <row r="1068" spans="1:42" x14ac:dyDescent="0.3">
      <c r="A1068" t="s">
        <v>369</v>
      </c>
      <c r="B1068" s="3">
        <v>2019</v>
      </c>
      <c r="C1068" s="3">
        <v>0.104167</v>
      </c>
      <c r="D1068" s="3"/>
      <c r="E1068" t="s">
        <v>58</v>
      </c>
      <c r="G1068" s="3">
        <v>1383.77502441406</v>
      </c>
      <c r="H1068" s="3">
        <v>1793.77380371094</v>
      </c>
      <c r="I1068" s="3">
        <v>1633.99975585938</v>
      </c>
      <c r="J1068" s="3">
        <v>1539.48291015625</v>
      </c>
      <c r="K1068" s="3">
        <v>10827.1806640625</v>
      </c>
      <c r="L1068" s="3"/>
      <c r="M1068" s="3"/>
      <c r="N1068" s="3"/>
      <c r="O1068" s="3">
        <v>1365.96020507813</v>
      </c>
      <c r="P1068" s="3">
        <v>1796.88696289063</v>
      </c>
      <c r="Q1068" s="3"/>
      <c r="R1068" s="3"/>
      <c r="S1068" s="3">
        <v>0.55402374267578103</v>
      </c>
      <c r="T1068" s="3">
        <v>0.55721068382263195</v>
      </c>
      <c r="U1068" s="3">
        <v>0.59142059087753296</v>
      </c>
      <c r="W1068" t="s">
        <v>50</v>
      </c>
      <c r="X1068" t="s">
        <v>54</v>
      </c>
      <c r="Y1068" t="s">
        <v>52</v>
      </c>
      <c r="Z1068" t="s">
        <v>53</v>
      </c>
      <c r="AC1068" s="2">
        <v>0.60661036476333996</v>
      </c>
      <c r="AD1068" s="2">
        <v>0.63838738203048695</v>
      </c>
      <c r="AE1068" s="2">
        <v>0.26632240414619401</v>
      </c>
      <c r="AF1068" s="2">
        <v>0.26046961545944203</v>
      </c>
      <c r="AG1068" s="2">
        <v>0.37904652953147899</v>
      </c>
      <c r="AH1068" s="2">
        <v>-0.55092394351959195</v>
      </c>
      <c r="AI1068" s="2">
        <v>6.6980454139411501E-3</v>
      </c>
      <c r="AJ1068" s="2">
        <v>0.61564907598461505</v>
      </c>
      <c r="AK1068" s="2">
        <v>0.56796670837177698</v>
      </c>
      <c r="AL1068" s="2">
        <v>0.40298561018274598</v>
      </c>
      <c r="AM1068" s="2">
        <v>0.54710370302200295</v>
      </c>
      <c r="AN1068" s="2">
        <v>0.48857709765434298</v>
      </c>
      <c r="AO1068" s="2">
        <v>0.39241489768028298</v>
      </c>
      <c r="AP1068" s="2"/>
    </row>
    <row r="1069" spans="1:42" x14ac:dyDescent="0.3">
      <c r="A1069" t="s">
        <v>369</v>
      </c>
      <c r="B1069" s="3">
        <v>2020</v>
      </c>
      <c r="C1069" s="3">
        <v>0.10352600000000001</v>
      </c>
      <c r="D1069" s="3"/>
      <c r="E1069" t="s">
        <v>58</v>
      </c>
      <c r="G1069" s="3">
        <v>1457.75952148438</v>
      </c>
      <c r="H1069" s="3">
        <v>1897.62536621094</v>
      </c>
      <c r="I1069" s="3">
        <v>1571.46484375</v>
      </c>
      <c r="J1069" s="3">
        <v>1482.30932617188</v>
      </c>
      <c r="K1069" s="3">
        <v>11467.44921875</v>
      </c>
      <c r="L1069" s="3"/>
      <c r="M1069" s="3"/>
      <c r="N1069" s="3"/>
      <c r="O1069" s="3">
        <v>1435.99926757813</v>
      </c>
      <c r="P1069" s="3">
        <v>1892.18481445313</v>
      </c>
      <c r="Q1069" s="3"/>
      <c r="R1069" s="3"/>
      <c r="S1069" s="3">
        <v>0.54840177297592196</v>
      </c>
      <c r="T1069" s="3">
        <v>0.55016642808914196</v>
      </c>
      <c r="U1069" s="3">
        <v>0.58325701951980602</v>
      </c>
      <c r="W1069" t="s">
        <v>50</v>
      </c>
      <c r="X1069" t="s">
        <v>54</v>
      </c>
      <c r="Y1069" t="s">
        <v>52</v>
      </c>
      <c r="Z1069" t="s">
        <v>53</v>
      </c>
      <c r="AC1069" s="2">
        <v>0.60943932608696105</v>
      </c>
      <c r="AD1069" s="2">
        <v>0.69769901037216198</v>
      </c>
      <c r="AE1069" s="2">
        <v>0.29674360156059298</v>
      </c>
      <c r="AF1069" s="2">
        <v>0.28573912382125899</v>
      </c>
      <c r="AG1069" s="2">
        <v>0.21537527441978499</v>
      </c>
      <c r="AH1069" s="2">
        <v>-0.50341564416885398</v>
      </c>
      <c r="AI1069" s="2">
        <v>7.8586190938949602E-3</v>
      </c>
      <c r="AJ1069" s="2">
        <v>0.610068840139946</v>
      </c>
      <c r="AK1069" s="2">
        <v>0.55601473725629402</v>
      </c>
      <c r="AL1069" s="2">
        <v>0.39782720773413999</v>
      </c>
      <c r="AM1069" s="2">
        <v>0.56522393226623502</v>
      </c>
      <c r="AN1069" s="2">
        <v>0.49139299988746599</v>
      </c>
      <c r="AO1069" s="2">
        <v>0.37940132617950401</v>
      </c>
      <c r="AP1069" s="2"/>
    </row>
    <row r="1070" spans="1:42" x14ac:dyDescent="0.3">
      <c r="A1070" t="s">
        <v>370</v>
      </c>
      <c r="B1070" s="3">
        <v>2015</v>
      </c>
      <c r="C1070" s="3">
        <v>30.573972000000001</v>
      </c>
      <c r="D1070" s="3">
        <v>1815.32</v>
      </c>
      <c r="E1070" t="s">
        <v>371</v>
      </c>
      <c r="G1070" s="3">
        <v>168852.40625</v>
      </c>
      <c r="H1070" s="3">
        <v>211011.984375</v>
      </c>
      <c r="I1070" s="3">
        <v>167119.296875</v>
      </c>
      <c r="J1070" s="3">
        <v>174206.078125</v>
      </c>
      <c r="K1070" s="3">
        <v>1094358.75</v>
      </c>
      <c r="L1070" s="3">
        <v>9.1007873415946995E-3</v>
      </c>
      <c r="M1070" s="3">
        <v>0.369344472885132</v>
      </c>
      <c r="N1070" s="3">
        <v>0.43160650134086598</v>
      </c>
      <c r="O1070" s="3">
        <v>18476.482421875</v>
      </c>
      <c r="P1070" s="3">
        <v>20010.421875</v>
      </c>
      <c r="Q1070" s="3">
        <v>2.7541751861572301</v>
      </c>
      <c r="R1070" s="3">
        <v>0.29484540224075301</v>
      </c>
      <c r="S1070" s="3">
        <v>1.94156670570374</v>
      </c>
      <c r="T1070" s="3">
        <v>2.0563812255859402</v>
      </c>
      <c r="U1070" s="3">
        <v>1.9727268218994101</v>
      </c>
      <c r="W1070" t="s">
        <v>67</v>
      </c>
      <c r="X1070" t="s">
        <v>51</v>
      </c>
      <c r="Y1070" t="s">
        <v>199</v>
      </c>
      <c r="Z1070" t="s">
        <v>62</v>
      </c>
      <c r="AA1070" t="s">
        <v>53</v>
      </c>
      <c r="AC1070" s="2">
        <v>0.51729993297176002</v>
      </c>
      <c r="AD1070" s="2">
        <v>0.842196464538574</v>
      </c>
      <c r="AE1070" s="2">
        <v>0.242009833455086</v>
      </c>
      <c r="AF1070" s="2">
        <v>0.127071723341942</v>
      </c>
      <c r="AG1070" s="2">
        <v>0.133968025445938</v>
      </c>
      <c r="AH1070" s="2">
        <v>-7.5150899589061695E-2</v>
      </c>
      <c r="AI1070" s="2">
        <v>-0.27009508013725297</v>
      </c>
      <c r="AJ1070" s="2">
        <v>2.0074643361391402</v>
      </c>
      <c r="AK1070" s="2">
        <v>2.5162222681620499</v>
      </c>
      <c r="AL1070" s="2">
        <v>1.50481564256624</v>
      </c>
      <c r="AM1070" s="2">
        <v>0.43974119424819902</v>
      </c>
      <c r="AN1070" s="2">
        <v>0.58828359842300404</v>
      </c>
      <c r="AO1070" s="2">
        <v>1.4698747396469101</v>
      </c>
      <c r="AP1070" s="2">
        <v>3.5576038360595699</v>
      </c>
    </row>
    <row r="1071" spans="1:42" x14ac:dyDescent="0.3">
      <c r="A1071" t="s">
        <v>370</v>
      </c>
      <c r="B1071" s="3">
        <v>2016</v>
      </c>
      <c r="C1071" s="3">
        <v>30.765720000000002</v>
      </c>
      <c r="D1071" s="3">
        <v>1801.84</v>
      </c>
      <c r="E1071" t="s">
        <v>371</v>
      </c>
      <c r="G1071" s="3">
        <v>61879.6015625</v>
      </c>
      <c r="H1071" s="3">
        <v>61927.4765625</v>
      </c>
      <c r="I1071" s="3">
        <v>65069.01953125</v>
      </c>
      <c r="J1071" s="3">
        <v>68432.9375</v>
      </c>
      <c r="K1071" s="3">
        <v>387576</v>
      </c>
      <c r="L1071" s="3">
        <v>3.1313586514443198E-3</v>
      </c>
      <c r="M1071" s="3">
        <v>0.27077949047088601</v>
      </c>
      <c r="N1071" s="3">
        <v>0.236905917525291</v>
      </c>
      <c r="O1071" s="3">
        <v>14981.8173828125</v>
      </c>
      <c r="P1071" s="3">
        <v>12497.2900390625</v>
      </c>
      <c r="Q1071" s="3">
        <v>2.3223900794982901</v>
      </c>
      <c r="R1071" s="3">
        <v>0.293003350496292</v>
      </c>
      <c r="S1071" s="3">
        <v>4.4217777252197301</v>
      </c>
      <c r="T1071" s="3">
        <v>4.42311668395996</v>
      </c>
      <c r="U1071" s="3">
        <v>4.2056918144226101</v>
      </c>
      <c r="W1071" t="s">
        <v>67</v>
      </c>
      <c r="X1071" t="s">
        <v>51</v>
      </c>
      <c r="Y1071" t="s">
        <v>199</v>
      </c>
      <c r="Z1071" t="s">
        <v>62</v>
      </c>
      <c r="AA1071" t="s">
        <v>53</v>
      </c>
      <c r="AC1071" s="2">
        <v>0.52595739489132998</v>
      </c>
      <c r="AD1071" s="2">
        <v>0.79267776012420699</v>
      </c>
      <c r="AE1071" s="2">
        <v>6.9960590917617104E-4</v>
      </c>
      <c r="AF1071" s="2">
        <v>0.111559331417084</v>
      </c>
      <c r="AG1071" s="2">
        <v>8.9286863803863498E-2</v>
      </c>
      <c r="AH1071" s="2">
        <v>-3.7857003509998301E-2</v>
      </c>
      <c r="AI1071" s="2">
        <v>4.36334051191807E-2</v>
      </c>
      <c r="AJ1071" s="2">
        <v>4.5510063553195597</v>
      </c>
      <c r="AK1071" s="2">
        <v>6.1534579086171002</v>
      </c>
      <c r="AL1071" s="2">
        <v>3.5035531001895102</v>
      </c>
      <c r="AM1071" s="2">
        <v>0.45473521947860701</v>
      </c>
      <c r="AN1071" s="2">
        <v>0.55628317594528198</v>
      </c>
      <c r="AO1071" s="2">
        <v>3.5885245800018302</v>
      </c>
      <c r="AP1071" s="2">
        <v>8.41105461120606</v>
      </c>
    </row>
    <row r="1072" spans="1:42" x14ac:dyDescent="0.3">
      <c r="A1072" t="s">
        <v>370</v>
      </c>
      <c r="B1072" s="3">
        <v>2017</v>
      </c>
      <c r="C1072" s="3">
        <v>30.565322999999999</v>
      </c>
      <c r="D1072" s="3">
        <v>1792.37</v>
      </c>
      <c r="E1072" t="s">
        <v>371</v>
      </c>
      <c r="G1072" s="3">
        <v>12359.8076171875</v>
      </c>
      <c r="H1072" s="3">
        <v>12981.92578125</v>
      </c>
      <c r="I1072" s="3">
        <v>12280.078125</v>
      </c>
      <c r="J1072" s="3">
        <v>14056.671875</v>
      </c>
      <c r="K1072" s="3">
        <v>143361.203125</v>
      </c>
      <c r="L1072" s="3">
        <v>1.11371604725719E-3</v>
      </c>
      <c r="M1072" s="3">
        <v>0.107064671814442</v>
      </c>
      <c r="N1072" s="3">
        <v>9.5221973955631298E-2</v>
      </c>
      <c r="O1072" s="3">
        <v>12680.81640625</v>
      </c>
      <c r="P1072" s="3">
        <v>11201.60546875</v>
      </c>
      <c r="Q1072" s="3">
        <v>1.96144127845764</v>
      </c>
      <c r="R1072" s="3">
        <v>0.234302878379822</v>
      </c>
      <c r="S1072" s="3">
        <v>19.591079711914102</v>
      </c>
      <c r="T1072" s="3">
        <v>20.118036270141602</v>
      </c>
      <c r="U1072" s="3">
        <v>17.575359344482401</v>
      </c>
      <c r="W1072" t="s">
        <v>67</v>
      </c>
      <c r="X1072" t="s">
        <v>51</v>
      </c>
      <c r="Y1072" t="s">
        <v>199</v>
      </c>
      <c r="Z1072" t="s">
        <v>62</v>
      </c>
      <c r="AA1072" t="s">
        <v>53</v>
      </c>
      <c r="AC1072" s="2">
        <v>0.52421594809593697</v>
      </c>
      <c r="AD1072" s="2">
        <v>0.78503924608230602</v>
      </c>
      <c r="AE1072" s="2">
        <v>4.4257849454879802E-2</v>
      </c>
      <c r="AF1072" s="2">
        <v>9.4244860112667098E-2</v>
      </c>
      <c r="AG1072" s="2">
        <v>0.34797221422195401</v>
      </c>
      <c r="AH1072" s="2">
        <v>-0.21181264519691501</v>
      </c>
      <c r="AI1072" s="2">
        <v>-5.9701528400182703E-2</v>
      </c>
      <c r="AJ1072" s="2">
        <v>19.9284445653653</v>
      </c>
      <c r="AK1072" s="2">
        <v>30.587222519900099</v>
      </c>
      <c r="AL1072" s="2">
        <v>16.7809117882138</v>
      </c>
      <c r="AM1072" s="2">
        <v>0.46634247899055498</v>
      </c>
      <c r="AN1072" s="2">
        <v>0.55468434095382702</v>
      </c>
      <c r="AO1072" s="2">
        <v>18.053596496581999</v>
      </c>
      <c r="AP1072" s="2">
        <v>21.191551208496101</v>
      </c>
    </row>
    <row r="1073" spans="1:42" x14ac:dyDescent="0.3">
      <c r="A1073" t="s">
        <v>370</v>
      </c>
      <c r="B1073" s="3">
        <v>2018</v>
      </c>
      <c r="C1073" s="3">
        <v>29.807592</v>
      </c>
      <c r="D1073" s="3">
        <v>1786.92</v>
      </c>
      <c r="E1073" t="s">
        <v>371</v>
      </c>
      <c r="G1073" s="3">
        <v>9978.9384765625</v>
      </c>
      <c r="H1073" s="3">
        <v>8455.8330078125</v>
      </c>
      <c r="I1073" s="3">
        <v>14668.1259765625</v>
      </c>
      <c r="J1073" s="3">
        <v>26192.291015625</v>
      </c>
      <c r="K1073" s="3">
        <v>138607.515625</v>
      </c>
      <c r="L1073" s="3">
        <v>1.0418823221698399E-3</v>
      </c>
      <c r="M1073" s="3">
        <v>0.23230506479740101</v>
      </c>
      <c r="N1073" s="3">
        <v>7.2191722691059099E-2</v>
      </c>
      <c r="O1073" s="3">
        <v>10270.8837890625</v>
      </c>
      <c r="P1073" s="3">
        <v>6237.14208984375</v>
      </c>
      <c r="Q1073" s="3">
        <v>1.63522517681122</v>
      </c>
      <c r="R1073" s="3">
        <v>0.148596912622452</v>
      </c>
      <c r="S1073" s="3">
        <v>16.1203212738037</v>
      </c>
      <c r="T1073" s="3">
        <v>13.848183631896999</v>
      </c>
      <c r="U1073" s="3">
        <v>7.7552170753479004</v>
      </c>
      <c r="W1073" t="s">
        <v>54</v>
      </c>
      <c r="X1073" t="s">
        <v>51</v>
      </c>
      <c r="Y1073" t="s">
        <v>199</v>
      </c>
      <c r="Z1073" t="s">
        <v>62</v>
      </c>
      <c r="AA1073" t="s">
        <v>53</v>
      </c>
      <c r="AC1073" s="2"/>
      <c r="AD1073" s="2">
        <v>0.33344131708145103</v>
      </c>
      <c r="AE1073" s="2">
        <v>-5.8150909841060597E-2</v>
      </c>
      <c r="AF1073" s="2">
        <v>4.7546301037073101E-2</v>
      </c>
      <c r="AG1073" s="2">
        <v>0.344259202480316</v>
      </c>
      <c r="AH1073" s="2">
        <v>-7.4471987783908802E-2</v>
      </c>
      <c r="AI1073" s="2">
        <v>0.40737611055374101</v>
      </c>
      <c r="AJ1073" s="2">
        <v>16.369546589751099</v>
      </c>
      <c r="AK1073" s="2">
        <v>28.734565321642201</v>
      </c>
      <c r="AL1073" s="2">
        <v>14.372514289181201</v>
      </c>
      <c r="AM1073" s="2">
        <v>0.48436883091926602</v>
      </c>
      <c r="AN1073" s="2">
        <v>0.55757302045822099</v>
      </c>
      <c r="AO1073" s="2">
        <v>17.0958442687988</v>
      </c>
      <c r="AP1073" s="2">
        <v>19.6268100738525</v>
      </c>
    </row>
    <row r="1074" spans="1:42" x14ac:dyDescent="0.3">
      <c r="A1074" t="s">
        <v>370</v>
      </c>
      <c r="B1074" s="3">
        <v>2019</v>
      </c>
      <c r="C1074" s="3">
        <v>28.938098</v>
      </c>
      <c r="D1074" s="3">
        <v>1781.85</v>
      </c>
      <c r="E1074" t="s">
        <v>371</v>
      </c>
      <c r="G1074" s="3">
        <v>6522.8095703125</v>
      </c>
      <c r="H1074" s="3">
        <v>7276.60205078125</v>
      </c>
      <c r="I1074" s="3">
        <v>8680.4619140625</v>
      </c>
      <c r="J1074" s="3">
        <v>16038.05859375</v>
      </c>
      <c r="K1074" s="3">
        <v>134853.34375</v>
      </c>
      <c r="L1074" s="3">
        <v>8.4477761993184697E-4</v>
      </c>
      <c r="M1074" s="3">
        <v>0.17943711578846</v>
      </c>
      <c r="N1074" s="3">
        <v>7.8341096639633206E-2</v>
      </c>
      <c r="O1074" s="3">
        <v>6666.65380859375</v>
      </c>
      <c r="P1074" s="3">
        <v>8026.89990234375</v>
      </c>
      <c r="Q1074" s="3">
        <v>1.24521613121033</v>
      </c>
      <c r="R1074" s="3">
        <v>8.4363751113414806E-2</v>
      </c>
      <c r="S1074" s="3">
        <v>14.3691320419312</v>
      </c>
      <c r="T1074" s="3">
        <v>17.194433212280298</v>
      </c>
      <c r="U1074" s="3">
        <v>9.3063392639160192</v>
      </c>
      <c r="W1074" t="s">
        <v>54</v>
      </c>
      <c r="X1074" t="s">
        <v>54</v>
      </c>
      <c r="Y1074" t="s">
        <v>199</v>
      </c>
      <c r="Z1074" t="s">
        <v>62</v>
      </c>
      <c r="AA1074" t="s">
        <v>61</v>
      </c>
      <c r="AC1074" s="2"/>
      <c r="AD1074" s="2">
        <v>0.34988105297088601</v>
      </c>
      <c r="AE1074" s="2">
        <v>4.7000229358673103E-2</v>
      </c>
      <c r="AF1074" s="2">
        <v>5.6827113032341003E-2</v>
      </c>
      <c r="AG1074" s="2">
        <v>0.48887252807617199</v>
      </c>
      <c r="AH1074" s="2">
        <v>-9.4988785684108706E-2</v>
      </c>
      <c r="AI1074" s="2">
        <v>0.15240786969661699</v>
      </c>
      <c r="AJ1074" s="2">
        <v>15.653556134747699</v>
      </c>
      <c r="AK1074" s="2">
        <v>41.642682134249903</v>
      </c>
      <c r="AL1074" s="2">
        <v>6.4610115156950201</v>
      </c>
      <c r="AM1074" s="2">
        <v>0.31035009026527399</v>
      </c>
      <c r="AN1074" s="2">
        <v>0.68429726362228405</v>
      </c>
      <c r="AO1074" s="2">
        <v>24.639642715454102</v>
      </c>
      <c r="AP1074" s="2">
        <v>18.400415420532202</v>
      </c>
    </row>
    <row r="1075" spans="1:42" x14ac:dyDescent="0.3">
      <c r="A1075" t="s">
        <v>370</v>
      </c>
      <c r="B1075" s="3">
        <v>2020</v>
      </c>
      <c r="C1075" s="3">
        <v>28.444077</v>
      </c>
      <c r="D1075" s="3">
        <v>1670.35</v>
      </c>
      <c r="E1075" t="s">
        <v>371</v>
      </c>
      <c r="G1075" s="3">
        <v>5277.81298828125</v>
      </c>
      <c r="H1075" s="3">
        <v>5513.1142578125</v>
      </c>
      <c r="I1075" s="3">
        <v>4675.2158203125</v>
      </c>
      <c r="J1075" s="3">
        <v>5927.27490234375</v>
      </c>
      <c r="K1075" s="3">
        <v>130621.9765625</v>
      </c>
      <c r="L1075" s="3">
        <v>4.5538274571299602E-4</v>
      </c>
      <c r="M1075" s="3">
        <v>0.105347312986851</v>
      </c>
      <c r="N1075" s="3">
        <v>9.4000220298767104E-2</v>
      </c>
      <c r="O1075" s="3">
        <v>5332.6240234375</v>
      </c>
      <c r="P1075" s="3">
        <v>5507.8994140625</v>
      </c>
      <c r="Q1075" s="3">
        <v>0.93893241882324197</v>
      </c>
      <c r="R1075" s="3">
        <v>8.4363751113414806E-2</v>
      </c>
      <c r="S1075" s="3">
        <v>21.3202514648438</v>
      </c>
      <c r="T1075" s="3">
        <v>22.646766662597699</v>
      </c>
      <c r="U1075" s="3">
        <v>17.8629341125488</v>
      </c>
      <c r="W1075" t="s">
        <v>54</v>
      </c>
      <c r="X1075" t="s">
        <v>54</v>
      </c>
      <c r="Y1075" t="s">
        <v>199</v>
      </c>
      <c r="Z1075" t="s">
        <v>62</v>
      </c>
      <c r="AA1075" t="s">
        <v>61</v>
      </c>
      <c r="AC1075" s="2"/>
      <c r="AD1075" s="2">
        <v>0.75371360778808605</v>
      </c>
      <c r="AE1075" s="2">
        <v>3.9698053151369102E-2</v>
      </c>
      <c r="AF1075" s="2">
        <v>0.136714622378349</v>
      </c>
      <c r="AG1075" s="2">
        <v>0.43001678586006198</v>
      </c>
      <c r="AH1075" s="2">
        <v>-0.184727653861046</v>
      </c>
      <c r="AI1075" s="2">
        <v>-0.17541536688804599</v>
      </c>
      <c r="AJ1075" s="2">
        <v>22.955020117123802</v>
      </c>
      <c r="AK1075" s="2">
        <v>52.400515593192097</v>
      </c>
      <c r="AL1075" s="2">
        <v>12.307698725538099</v>
      </c>
      <c r="AM1075" s="2">
        <v>0.18254885077476499</v>
      </c>
      <c r="AN1075" s="2">
        <v>0.79297256469726596</v>
      </c>
      <c r="AO1075" s="2">
        <v>30.706863403320298</v>
      </c>
      <c r="AP1075" s="2">
        <v>25.280124664306602</v>
      </c>
    </row>
    <row r="1076" spans="1:42" x14ac:dyDescent="0.3">
      <c r="A1076" t="s">
        <v>372</v>
      </c>
      <c r="B1076" s="3">
        <v>2015</v>
      </c>
      <c r="C1076" s="3">
        <v>3.4498000000000001E-2</v>
      </c>
      <c r="D1076" s="3"/>
      <c r="E1076" t="s">
        <v>153</v>
      </c>
      <c r="G1076" s="3">
        <v>556.78399658203102</v>
      </c>
      <c r="H1076" s="3">
        <v>836.58917236328102</v>
      </c>
      <c r="I1076" s="3">
        <v>1285.4560546875</v>
      </c>
      <c r="J1076" s="3">
        <v>1226.40270996094</v>
      </c>
      <c r="K1076" s="3">
        <v>4516.3154296875</v>
      </c>
      <c r="L1076" s="3">
        <v>5.2091527322772897E-5</v>
      </c>
      <c r="M1076" s="3"/>
      <c r="N1076" s="3"/>
      <c r="O1076" s="3">
        <v>535.45220947265602</v>
      </c>
      <c r="P1076" s="3">
        <v>809.83831787109398</v>
      </c>
      <c r="Q1076" s="3"/>
      <c r="R1076" s="3">
        <v>0.380558252334595</v>
      </c>
      <c r="S1076" s="3">
        <v>0.99383121728897095</v>
      </c>
      <c r="T1076" s="3">
        <v>0.997109174728394</v>
      </c>
      <c r="U1076" s="3">
        <v>1.04512155056</v>
      </c>
      <c r="W1076" t="s">
        <v>50</v>
      </c>
      <c r="X1076" t="s">
        <v>51</v>
      </c>
      <c r="Y1076" t="s">
        <v>52</v>
      </c>
      <c r="Z1076" t="s">
        <v>53</v>
      </c>
      <c r="AA1076" t="s">
        <v>53</v>
      </c>
      <c r="AC1076" s="2">
        <v>0.57603208654811</v>
      </c>
      <c r="AD1076" s="2">
        <v>0.38245847821235701</v>
      </c>
      <c r="AE1076" s="2">
        <v>0.22815115749836001</v>
      </c>
      <c r="AF1076" s="2">
        <v>7.1539223194122301E-2</v>
      </c>
      <c r="AG1076" s="2">
        <v>1.9148519039154099</v>
      </c>
      <c r="AH1076" s="2">
        <v>-1.59707462787628</v>
      </c>
      <c r="AI1076" s="2">
        <v>7.3733368481043699E-5</v>
      </c>
      <c r="AJ1076" s="2">
        <v>0.95094496286234598</v>
      </c>
      <c r="AK1076" s="2">
        <v>1.0036318667631901</v>
      </c>
      <c r="AL1076" s="2">
        <v>1.2231070738959</v>
      </c>
      <c r="AM1076" s="2">
        <v>0.61087095737457298</v>
      </c>
      <c r="AN1076" s="2">
        <v>0.50395882129669201</v>
      </c>
      <c r="AO1076" s="2">
        <v>0.919663846492767</v>
      </c>
      <c r="AP1076" s="2">
        <v>2.0363636016845699</v>
      </c>
    </row>
    <row r="1077" spans="1:42" x14ac:dyDescent="0.3">
      <c r="A1077" t="s">
        <v>372</v>
      </c>
      <c r="B1077" s="3">
        <v>2016</v>
      </c>
      <c r="C1077" s="3">
        <v>3.3877999999999998E-2</v>
      </c>
      <c r="D1077" s="3"/>
      <c r="E1077" t="s">
        <v>153</v>
      </c>
      <c r="G1077" s="3">
        <v>603.15283203125</v>
      </c>
      <c r="H1077" s="3">
        <v>905.958251953125</v>
      </c>
      <c r="I1077" s="3">
        <v>1392.84521484375</v>
      </c>
      <c r="J1077" s="3">
        <v>1290.75744628906</v>
      </c>
      <c r="K1077" s="3">
        <v>4811.94384765625</v>
      </c>
      <c r="L1077" s="3">
        <v>5.4190175433177501E-5</v>
      </c>
      <c r="M1077" s="3"/>
      <c r="N1077" s="3"/>
      <c r="O1077" s="3">
        <v>562.53765869140602</v>
      </c>
      <c r="P1077" s="3">
        <v>850.918701171875</v>
      </c>
      <c r="Q1077" s="3"/>
      <c r="R1077" s="3">
        <v>0.380558252334595</v>
      </c>
      <c r="S1077" s="3">
        <v>1.0054970979690601</v>
      </c>
      <c r="T1077" s="3">
        <v>1.0092865228653001</v>
      </c>
      <c r="U1077" s="3">
        <v>1.08911240100861</v>
      </c>
      <c r="W1077" t="s">
        <v>50</v>
      </c>
      <c r="X1077" t="s">
        <v>51</v>
      </c>
      <c r="Y1077" t="s">
        <v>52</v>
      </c>
      <c r="Z1077" t="s">
        <v>53</v>
      </c>
      <c r="AA1077" t="s">
        <v>53</v>
      </c>
      <c r="AC1077" s="2">
        <v>0.57396958501360595</v>
      </c>
      <c r="AD1077" s="2">
        <v>0.39686912298202498</v>
      </c>
      <c r="AE1077" s="2">
        <v>0.23459511995315599</v>
      </c>
      <c r="AF1077" s="2">
        <v>7.0416837930679294E-2</v>
      </c>
      <c r="AG1077" s="2">
        <v>2.0061056613922101</v>
      </c>
      <c r="AH1077" s="2">
        <v>-1.70808470249176</v>
      </c>
      <c r="AI1077" s="2">
        <v>9.79442047537305E-5</v>
      </c>
      <c r="AJ1077" s="2">
        <v>0.95434481809582905</v>
      </c>
      <c r="AK1077" s="2">
        <v>1.0168348395503399</v>
      </c>
      <c r="AL1077" s="2">
        <v>1.2937910587247199</v>
      </c>
      <c r="AM1077" s="2">
        <v>0.60777521133422896</v>
      </c>
      <c r="AN1077" s="2">
        <v>0.49099129438400302</v>
      </c>
      <c r="AO1077" s="2">
        <v>0.92812228202819802</v>
      </c>
      <c r="AP1077" s="2">
        <v>2.0799865722656299</v>
      </c>
    </row>
    <row r="1078" spans="1:42" x14ac:dyDescent="0.3">
      <c r="A1078" t="s">
        <v>372</v>
      </c>
      <c r="B1078" s="3">
        <v>2017</v>
      </c>
      <c r="C1078" s="3">
        <v>3.2698999999999999E-2</v>
      </c>
      <c r="D1078" s="3"/>
      <c r="E1078" t="s">
        <v>153</v>
      </c>
      <c r="G1078" s="3">
        <v>558.41131591796898</v>
      </c>
      <c r="H1078" s="3">
        <v>844.647216796875</v>
      </c>
      <c r="I1078" s="3">
        <v>1297.38647460938</v>
      </c>
      <c r="J1078" s="3">
        <v>1264.34545898438</v>
      </c>
      <c r="K1078" s="3">
        <v>4593.9130859375</v>
      </c>
      <c r="L1078" s="3">
        <v>5.0888927944470197E-5</v>
      </c>
      <c r="M1078" s="3"/>
      <c r="N1078" s="3"/>
      <c r="O1078" s="3">
        <v>560.34997558593795</v>
      </c>
      <c r="P1078" s="3">
        <v>847.3564453125</v>
      </c>
      <c r="Q1078" s="3"/>
      <c r="R1078" s="3">
        <v>0.380558252334595</v>
      </c>
      <c r="S1078" s="3">
        <v>1.0130685567855799</v>
      </c>
      <c r="T1078" s="3">
        <v>1.0094909667968801</v>
      </c>
      <c r="U1078" s="3">
        <v>1.03587198257446</v>
      </c>
      <c r="W1078" t="s">
        <v>51</v>
      </c>
      <c r="X1078" t="s">
        <v>51</v>
      </c>
      <c r="Y1078" t="s">
        <v>52</v>
      </c>
      <c r="Z1078" t="s">
        <v>53</v>
      </c>
      <c r="AA1078" t="s">
        <v>53</v>
      </c>
      <c r="AC1078" s="2">
        <v>0.57601415719535898</v>
      </c>
      <c r="AD1078" s="2">
        <v>0.37511396408081099</v>
      </c>
      <c r="AE1078" s="2">
        <v>0.226390555500984</v>
      </c>
      <c r="AF1078" s="2">
        <v>6.6546425223350497E-2</v>
      </c>
      <c r="AG1078" s="2">
        <v>1.85047423839569</v>
      </c>
      <c r="AH1078" s="2">
        <v>-1.5186916589736901</v>
      </c>
      <c r="AI1078" s="2">
        <v>1.6663511632941701E-4</v>
      </c>
      <c r="AJ1078" s="2">
        <v>0.96132892455251595</v>
      </c>
      <c r="AK1078" s="2">
        <v>1.0025116105899401</v>
      </c>
      <c r="AL1078" s="2">
        <v>1.30471810511204</v>
      </c>
      <c r="AM1078" s="2">
        <v>0.62636524438857999</v>
      </c>
      <c r="AN1078" s="2">
        <v>0.52529734373092696</v>
      </c>
      <c r="AO1078" s="2">
        <v>0.93644779920578003</v>
      </c>
      <c r="AP1078" s="2">
        <v>1.98903477191925</v>
      </c>
    </row>
    <row r="1079" spans="1:42" x14ac:dyDescent="0.3">
      <c r="A1079" t="s">
        <v>372</v>
      </c>
      <c r="B1079" s="3">
        <v>2018</v>
      </c>
      <c r="C1079" s="3">
        <v>3.4657E-2</v>
      </c>
      <c r="D1079" s="3"/>
      <c r="E1079" t="s">
        <v>153</v>
      </c>
      <c r="G1079" s="3">
        <v>585.64050292968795</v>
      </c>
      <c r="H1079" s="3">
        <v>888.67767333984398</v>
      </c>
      <c r="I1079" s="3">
        <v>1365.595703125</v>
      </c>
      <c r="J1079" s="3">
        <v>1357.51916503906</v>
      </c>
      <c r="K1079" s="3">
        <v>4711.50244140625</v>
      </c>
      <c r="L1079" s="3">
        <v>5.06530086568091E-5</v>
      </c>
      <c r="M1079" s="3"/>
      <c r="N1079" s="3"/>
      <c r="O1079" s="3">
        <v>589.67205810546898</v>
      </c>
      <c r="P1079" s="3">
        <v>891.834228515625</v>
      </c>
      <c r="Q1079" s="3"/>
      <c r="R1079" s="3">
        <v>0.380558252334595</v>
      </c>
      <c r="S1079" s="3">
        <v>1.0223146677017201</v>
      </c>
      <c r="T1079" s="3">
        <v>1.0156006813049301</v>
      </c>
      <c r="U1079" s="3">
        <v>1.0216430425643901</v>
      </c>
      <c r="W1079" t="s">
        <v>54</v>
      </c>
      <c r="X1079" t="s">
        <v>51</v>
      </c>
      <c r="Y1079" t="s">
        <v>52</v>
      </c>
      <c r="Z1079" t="s">
        <v>53</v>
      </c>
      <c r="AA1079" t="s">
        <v>53</v>
      </c>
      <c r="AC1079" s="2"/>
      <c r="AD1079" s="2">
        <v>0.36398646235465998</v>
      </c>
      <c r="AE1079" s="2">
        <v>0.22322866320609999</v>
      </c>
      <c r="AF1079" s="2">
        <v>6.7418508231639904E-2</v>
      </c>
      <c r="AG1079" s="2">
        <v>1.7780342102050799</v>
      </c>
      <c r="AH1079" s="2">
        <v>-1.4327806234359699</v>
      </c>
      <c r="AI1079" s="2">
        <v>1.12770198029466E-4</v>
      </c>
      <c r="AJ1079" s="2">
        <v>0.97665523569076995</v>
      </c>
      <c r="AK1079" s="2">
        <v>1.00262553397323</v>
      </c>
      <c r="AL1079" s="2">
        <v>1.2688255168618301</v>
      </c>
      <c r="AM1079" s="2">
        <v>0.643094182014465</v>
      </c>
      <c r="AN1079" s="2">
        <v>0.54911547899246205</v>
      </c>
      <c r="AO1079" s="2">
        <v>0.94610375165939298</v>
      </c>
      <c r="AP1079" s="2">
        <v>2.0054235458374001</v>
      </c>
    </row>
    <row r="1080" spans="1:42" x14ac:dyDescent="0.3">
      <c r="A1080" t="s">
        <v>372</v>
      </c>
      <c r="B1080" s="3">
        <v>2019</v>
      </c>
      <c r="C1080" s="3">
        <v>3.6394999999999997E-2</v>
      </c>
      <c r="D1080" s="3"/>
      <c r="E1080" t="s">
        <v>153</v>
      </c>
      <c r="G1080" s="3">
        <v>627.314697265625</v>
      </c>
      <c r="H1080" s="3">
        <v>951.76055908203102</v>
      </c>
      <c r="I1080" s="3">
        <v>1462.56970214844</v>
      </c>
      <c r="J1080" s="3">
        <v>1466.47045898438</v>
      </c>
      <c r="K1080" s="3">
        <v>4878.4365234375</v>
      </c>
      <c r="L1080" s="3">
        <v>5.0613212806638303E-5</v>
      </c>
      <c r="M1080" s="3"/>
      <c r="N1080" s="3"/>
      <c r="O1080" s="3">
        <v>631.52691650390602</v>
      </c>
      <c r="P1080" s="3">
        <v>955.13360595703102</v>
      </c>
      <c r="Q1080" s="3"/>
      <c r="R1080" s="3">
        <v>0.380558252334595</v>
      </c>
      <c r="S1080" s="3">
        <v>1.0415860414505</v>
      </c>
      <c r="T1080" s="3">
        <v>1.03491139411926</v>
      </c>
      <c r="U1080" s="3">
        <v>1.0321583747863801</v>
      </c>
      <c r="W1080" t="s">
        <v>54</v>
      </c>
      <c r="X1080" t="s">
        <v>54</v>
      </c>
      <c r="Y1080" t="s">
        <v>52</v>
      </c>
      <c r="Z1080" t="s">
        <v>53</v>
      </c>
      <c r="AA1080" t="s">
        <v>53</v>
      </c>
      <c r="AC1080" s="2"/>
      <c r="AD1080" s="2">
        <v>0.36193671822547901</v>
      </c>
      <c r="AE1080" s="2">
        <v>0.221242696046829</v>
      </c>
      <c r="AF1080" s="2">
        <v>6.5835095942020402E-2</v>
      </c>
      <c r="AG1080" s="2">
        <v>1.77693295478821</v>
      </c>
      <c r="AH1080" s="2">
        <v>-1.4260733127594001</v>
      </c>
      <c r="AI1080" s="2">
        <v>1.2578240421135E-4</v>
      </c>
      <c r="AJ1080" s="2">
        <v>0.99226103959531897</v>
      </c>
      <c r="AK1080" s="2">
        <v>1.0220059242324</v>
      </c>
      <c r="AL1080" s="2">
        <v>1.3127563475822499</v>
      </c>
      <c r="AM1080" s="2">
        <v>0.65011483430862405</v>
      </c>
      <c r="AN1080" s="2">
        <v>0.55737268924713101</v>
      </c>
      <c r="AO1080" s="2">
        <v>0.96229892969131503</v>
      </c>
      <c r="AP1080" s="2">
        <v>2.1070394515991202</v>
      </c>
    </row>
    <row r="1081" spans="1:42" x14ac:dyDescent="0.3">
      <c r="A1081" t="s">
        <v>372</v>
      </c>
      <c r="B1081" s="3">
        <v>2020</v>
      </c>
      <c r="C1081" s="3">
        <v>3.7135000000000001E-2</v>
      </c>
      <c r="D1081" s="3"/>
      <c r="E1081" t="s">
        <v>153</v>
      </c>
      <c r="G1081" s="3">
        <v>610.282958984375</v>
      </c>
      <c r="H1081" s="3">
        <v>921.70263671875</v>
      </c>
      <c r="I1081" s="3">
        <v>1416.15588378906</v>
      </c>
      <c r="J1081" s="3">
        <v>1431.48254394531</v>
      </c>
      <c r="K1081" s="3">
        <v>5005.673828125</v>
      </c>
      <c r="L1081" s="3">
        <v>4.9482714530313401E-5</v>
      </c>
      <c r="M1081" s="3"/>
      <c r="N1081" s="3"/>
      <c r="O1081" s="3">
        <v>611.60791015625</v>
      </c>
      <c r="P1081" s="3">
        <v>924.96221923828102</v>
      </c>
      <c r="Q1081" s="3"/>
      <c r="R1081" s="3">
        <v>0.380558252334595</v>
      </c>
      <c r="S1081" s="3">
        <v>1.01082479953766</v>
      </c>
      <c r="T1081" s="3">
        <v>1.0088931322097801</v>
      </c>
      <c r="U1081" s="3">
        <v>0.998091161251068</v>
      </c>
      <c r="W1081" t="s">
        <v>54</v>
      </c>
      <c r="X1081" t="s">
        <v>54</v>
      </c>
      <c r="Y1081" t="s">
        <v>52</v>
      </c>
      <c r="Z1081" t="s">
        <v>53</v>
      </c>
      <c r="AA1081" t="s">
        <v>53</v>
      </c>
      <c r="AC1081" s="2"/>
      <c r="AD1081" s="2">
        <v>0.36006236076355003</v>
      </c>
      <c r="AE1081" s="2">
        <v>0.21755045652389501</v>
      </c>
      <c r="AF1081" s="2">
        <v>6.6266939043998704E-2</v>
      </c>
      <c r="AG1081" s="2">
        <v>1.7530446052551301</v>
      </c>
      <c r="AH1081" s="2">
        <v>-1.3970594406127901</v>
      </c>
      <c r="AI1081" s="2">
        <v>1.35063513880596E-4</v>
      </c>
      <c r="AJ1081" s="2">
        <v>0.96467722246379495</v>
      </c>
      <c r="AK1081" s="2">
        <v>1.0051076503334799</v>
      </c>
      <c r="AL1081" s="2">
        <v>1.2615683133879301</v>
      </c>
      <c r="AM1081" s="2">
        <v>0.63717025518417403</v>
      </c>
      <c r="AN1081" s="2">
        <v>0.55018240213394198</v>
      </c>
      <c r="AO1081" s="2">
        <v>0.94088357686996504</v>
      </c>
      <c r="AP1081" s="2">
        <v>2.1238713264465301</v>
      </c>
    </row>
    <row r="1082" spans="1:42" x14ac:dyDescent="0.3">
      <c r="A1082" t="s">
        <v>373</v>
      </c>
      <c r="B1082" s="3">
        <v>2015</v>
      </c>
      <c r="C1082" s="3">
        <v>92.823254000000006</v>
      </c>
      <c r="D1082" s="3">
        <v>2107.15</v>
      </c>
      <c r="E1082" t="s">
        <v>374</v>
      </c>
      <c r="G1082" s="3">
        <v>612168.625</v>
      </c>
      <c r="H1082" s="3">
        <v>821490.3125</v>
      </c>
      <c r="I1082" s="3">
        <v>804621.6875</v>
      </c>
      <c r="J1082" s="3">
        <v>820379.625</v>
      </c>
      <c r="K1082" s="3">
        <v>2211788.75</v>
      </c>
      <c r="L1082" s="3"/>
      <c r="M1082" s="3"/>
      <c r="N1082" s="3"/>
      <c r="O1082" s="3">
        <v>613587.375</v>
      </c>
      <c r="P1082" s="3">
        <v>835386.75</v>
      </c>
      <c r="Q1082" s="3"/>
      <c r="R1082" s="3"/>
      <c r="S1082" s="3">
        <v>0.273537427186966</v>
      </c>
      <c r="T1082" s="3">
        <v>0.297355055809021</v>
      </c>
      <c r="U1082" s="3">
        <v>0.29164344072341902</v>
      </c>
      <c r="W1082" t="s">
        <v>50</v>
      </c>
      <c r="X1082" t="s">
        <v>51</v>
      </c>
      <c r="Y1082" t="s">
        <v>52</v>
      </c>
      <c r="Z1082" t="s">
        <v>53</v>
      </c>
      <c r="AC1082" s="2">
        <v>0.49440149847287801</v>
      </c>
      <c r="AD1082" s="2">
        <v>0.59548801183700595</v>
      </c>
      <c r="AE1082" s="2">
        <v>0.25515219569206199</v>
      </c>
      <c r="AF1082" s="2">
        <v>0.15071357786655401</v>
      </c>
      <c r="AG1082" s="2">
        <v>0.34305766224861101</v>
      </c>
      <c r="AH1082" s="2">
        <v>-0.33915793895721402</v>
      </c>
      <c r="AI1082" s="2">
        <v>-5.2535398863256004E-3</v>
      </c>
      <c r="AJ1082" s="2">
        <v>0.29058470950511101</v>
      </c>
      <c r="AK1082" s="2">
        <v>0.3670105279734</v>
      </c>
      <c r="AL1082" s="2">
        <v>0.20618150101015101</v>
      </c>
      <c r="AM1082" s="2">
        <v>0.57567667961120605</v>
      </c>
      <c r="AN1082" s="2">
        <v>0.59580594301223799</v>
      </c>
      <c r="AO1082" s="2">
        <v>0.22223511338233901</v>
      </c>
      <c r="AP1082" s="2"/>
    </row>
    <row r="1083" spans="1:42" x14ac:dyDescent="0.3">
      <c r="A1083" t="s">
        <v>373</v>
      </c>
      <c r="B1083" s="3">
        <v>2016</v>
      </c>
      <c r="C1083" s="3">
        <v>94.000117000000003</v>
      </c>
      <c r="D1083" s="3">
        <v>2132.65</v>
      </c>
      <c r="E1083" t="s">
        <v>374</v>
      </c>
      <c r="G1083" s="3">
        <v>650357.25</v>
      </c>
      <c r="H1083" s="3">
        <v>882897.375</v>
      </c>
      <c r="I1083" s="3">
        <v>875369.9375</v>
      </c>
      <c r="J1083" s="3">
        <v>878703.5</v>
      </c>
      <c r="K1083" s="3">
        <v>2498980.25</v>
      </c>
      <c r="L1083" s="3"/>
      <c r="M1083" s="3"/>
      <c r="N1083" s="3"/>
      <c r="O1083" s="3">
        <v>650710.3125</v>
      </c>
      <c r="P1083" s="3">
        <v>895823</v>
      </c>
      <c r="Q1083" s="3"/>
      <c r="R1083" s="3"/>
      <c r="S1083" s="3">
        <v>0.27330255508422902</v>
      </c>
      <c r="T1083" s="3">
        <v>0.293699860572815</v>
      </c>
      <c r="U1083" s="3">
        <v>0.29258561134338401</v>
      </c>
      <c r="W1083" t="s">
        <v>50</v>
      </c>
      <c r="X1083" t="s">
        <v>51</v>
      </c>
      <c r="Y1083" t="s">
        <v>52</v>
      </c>
      <c r="Z1083" t="s">
        <v>53</v>
      </c>
      <c r="AC1083" s="2">
        <v>0.45070051598382999</v>
      </c>
      <c r="AD1083" s="2">
        <v>0.59777164459228505</v>
      </c>
      <c r="AE1083" s="2">
        <v>0.264640033245087</v>
      </c>
      <c r="AF1083" s="2">
        <v>0.142361134290695</v>
      </c>
      <c r="AG1083" s="2">
        <v>0.35277923941612199</v>
      </c>
      <c r="AH1083" s="2">
        <v>-0.34271776676178001</v>
      </c>
      <c r="AI1083" s="2">
        <v>-1.4834234490990601E-2</v>
      </c>
      <c r="AJ1083" s="2">
        <v>0.287494452647374</v>
      </c>
      <c r="AK1083" s="2">
        <v>0.35074602871314298</v>
      </c>
      <c r="AL1083" s="2">
        <v>0.21371109283531201</v>
      </c>
      <c r="AM1083" s="2">
        <v>0.56963747739791903</v>
      </c>
      <c r="AN1083" s="2">
        <v>0.58103787899017301</v>
      </c>
      <c r="AO1083" s="2">
        <v>0.209089681506157</v>
      </c>
      <c r="AP1083" s="2"/>
    </row>
    <row r="1084" spans="1:42" x14ac:dyDescent="0.3">
      <c r="A1084" t="s">
        <v>373</v>
      </c>
      <c r="B1084" s="3">
        <v>2017</v>
      </c>
      <c r="C1084" s="3">
        <v>95.176976999999994</v>
      </c>
      <c r="D1084" s="3">
        <v>2066.46</v>
      </c>
      <c r="E1084" t="s">
        <v>374</v>
      </c>
      <c r="G1084" s="3">
        <v>695761.125</v>
      </c>
      <c r="H1084" s="3">
        <v>961025.75</v>
      </c>
      <c r="I1084" s="3">
        <v>956833.1875</v>
      </c>
      <c r="J1084" s="3">
        <v>951154.25</v>
      </c>
      <c r="K1084" s="3">
        <v>2819053</v>
      </c>
      <c r="L1084" s="3"/>
      <c r="M1084" s="3"/>
      <c r="N1084" s="3"/>
      <c r="O1084" s="3">
        <v>696004</v>
      </c>
      <c r="P1084" s="3">
        <v>967439.8125</v>
      </c>
      <c r="Q1084" s="3"/>
      <c r="R1084" s="3"/>
      <c r="S1084" s="3">
        <v>0.27551734447479298</v>
      </c>
      <c r="T1084" s="3">
        <v>0.294046640396118</v>
      </c>
      <c r="U1084" s="3">
        <v>0.29580226540565502</v>
      </c>
      <c r="W1084" t="s">
        <v>51</v>
      </c>
      <c r="X1084" t="s">
        <v>51</v>
      </c>
      <c r="Y1084" t="s">
        <v>52</v>
      </c>
      <c r="Z1084" t="s">
        <v>53</v>
      </c>
      <c r="AC1084" s="2">
        <v>0.42660312318351801</v>
      </c>
      <c r="AD1084" s="2">
        <v>0.59220689535141002</v>
      </c>
      <c r="AE1084" s="2">
        <v>0.27888703346252403</v>
      </c>
      <c r="AF1084" s="2">
        <v>0.13928449153900099</v>
      </c>
      <c r="AG1084" s="2">
        <v>0.38890051841735801</v>
      </c>
      <c r="AH1084" s="2">
        <v>-0.38813000917434698</v>
      </c>
      <c r="AI1084" s="2">
        <v>-1.11489193513989E-2</v>
      </c>
      <c r="AJ1084" s="2">
        <v>0.28969473348545699</v>
      </c>
      <c r="AK1084" s="2">
        <v>0.34264703575084299</v>
      </c>
      <c r="AL1084" s="2">
        <v>0.21523823610458501</v>
      </c>
      <c r="AM1084" s="2">
        <v>0.58155298233032204</v>
      </c>
      <c r="AN1084" s="2">
        <v>0.57754999399185203</v>
      </c>
      <c r="AO1084" s="2">
        <v>0.20639678835868799</v>
      </c>
      <c r="AP1084" s="2"/>
    </row>
    <row r="1085" spans="1:42" x14ac:dyDescent="0.3">
      <c r="A1085" t="s">
        <v>373</v>
      </c>
      <c r="B1085" s="3">
        <v>2018</v>
      </c>
      <c r="C1085" s="3">
        <v>96.237318999999999</v>
      </c>
      <c r="D1085" s="3">
        <v>2143.6999999999998</v>
      </c>
      <c r="E1085" t="s">
        <v>374</v>
      </c>
      <c r="G1085" s="3">
        <v>736388.6875</v>
      </c>
      <c r="H1085" s="3">
        <v>1024466.1875</v>
      </c>
      <c r="I1085" s="3">
        <v>1036465.5625</v>
      </c>
      <c r="J1085" s="3">
        <v>1020182.4375</v>
      </c>
      <c r="K1085" s="3">
        <v>3106546</v>
      </c>
      <c r="L1085" s="3"/>
      <c r="M1085" s="3"/>
      <c r="N1085" s="3"/>
      <c r="O1085" s="3">
        <v>741732</v>
      </c>
      <c r="P1085" s="3">
        <v>1035491.5</v>
      </c>
      <c r="Q1085" s="3"/>
      <c r="R1085" s="3"/>
      <c r="S1085" s="3">
        <v>0.28140270709991499</v>
      </c>
      <c r="T1085" s="3">
        <v>0.29919612407684298</v>
      </c>
      <c r="U1085" s="3">
        <v>0.303971618413925</v>
      </c>
      <c r="W1085" t="s">
        <v>50</v>
      </c>
      <c r="X1085" t="s">
        <v>51</v>
      </c>
      <c r="Y1085" t="s">
        <v>52</v>
      </c>
      <c r="Z1085" t="s">
        <v>53</v>
      </c>
      <c r="AC1085" s="2">
        <v>0.39519560384366897</v>
      </c>
      <c r="AD1085" s="2">
        <v>0.583321213722229</v>
      </c>
      <c r="AE1085" s="2">
        <v>0.28237843513488797</v>
      </c>
      <c r="AF1085" s="2">
        <v>0.13849936425685899</v>
      </c>
      <c r="AG1085" s="2">
        <v>0.395890772342682</v>
      </c>
      <c r="AH1085" s="2">
        <v>-0.38964226841926602</v>
      </c>
      <c r="AI1085" s="2">
        <v>-1.04475263506174E-2</v>
      </c>
      <c r="AJ1085" s="2">
        <v>0.29743051792581299</v>
      </c>
      <c r="AK1085" s="2">
        <v>0.34467997610638501</v>
      </c>
      <c r="AL1085" s="2">
        <v>0.21389798336447099</v>
      </c>
      <c r="AM1085" s="2">
        <v>0.60339337587356601</v>
      </c>
      <c r="AN1085" s="2">
        <v>0.59588754177093495</v>
      </c>
      <c r="AO1085" s="2">
        <v>0.20810407400131201</v>
      </c>
      <c r="AP1085" s="2"/>
    </row>
    <row r="1086" spans="1:42" x14ac:dyDescent="0.3">
      <c r="A1086" t="s">
        <v>373</v>
      </c>
      <c r="B1086" s="3">
        <v>2019</v>
      </c>
      <c r="C1086" s="3">
        <v>97.173776000000004</v>
      </c>
      <c r="D1086" s="3">
        <v>2067.56</v>
      </c>
      <c r="E1086" t="s">
        <v>374</v>
      </c>
      <c r="G1086" s="3">
        <v>776432.625</v>
      </c>
      <c r="H1086" s="3">
        <v>1094801.5</v>
      </c>
      <c r="I1086" s="3">
        <v>1112751.75</v>
      </c>
      <c r="J1086" s="3">
        <v>1090445.625</v>
      </c>
      <c r="K1086" s="3">
        <v>3495883.25</v>
      </c>
      <c r="L1086" s="3"/>
      <c r="M1086" s="3"/>
      <c r="N1086" s="3"/>
      <c r="O1086" s="3">
        <v>792090.9375</v>
      </c>
      <c r="P1086" s="3">
        <v>1108125.75</v>
      </c>
      <c r="Q1086" s="3"/>
      <c r="R1086" s="3"/>
      <c r="S1086" s="3">
        <v>0.28597670793533297</v>
      </c>
      <c r="T1086" s="3">
        <v>0.30048504471778897</v>
      </c>
      <c r="U1086" s="3">
        <v>0.30663174390792802</v>
      </c>
      <c r="W1086" t="s">
        <v>50</v>
      </c>
      <c r="X1086" t="s">
        <v>54</v>
      </c>
      <c r="Y1086" t="s">
        <v>52</v>
      </c>
      <c r="Z1086" t="s">
        <v>53</v>
      </c>
      <c r="AC1086" s="2">
        <v>0.35058267329458298</v>
      </c>
      <c r="AD1086" s="2">
        <v>0.57215839624404896</v>
      </c>
      <c r="AE1086" s="2">
        <v>0.29196223616599998</v>
      </c>
      <c r="AF1086" s="2">
        <v>0.13987399637699099</v>
      </c>
      <c r="AG1086" s="2">
        <v>0.39754614233970598</v>
      </c>
      <c r="AH1086" s="2">
        <v>-0.38427150249481201</v>
      </c>
      <c r="AI1086" s="2">
        <v>-1.72692444175482E-2</v>
      </c>
      <c r="AJ1086" s="2">
        <v>0.30455362822494098</v>
      </c>
      <c r="AK1086" s="2">
        <v>0.33586783234663597</v>
      </c>
      <c r="AL1086" s="2">
        <v>0.20998725098784499</v>
      </c>
      <c r="AM1086" s="2">
        <v>0.61040019989013705</v>
      </c>
      <c r="AN1086" s="2">
        <v>0.60483431816101096</v>
      </c>
      <c r="AO1086" s="2">
        <v>0.20303100347518899</v>
      </c>
      <c r="AP1086" s="2"/>
    </row>
    <row r="1087" spans="1:42" x14ac:dyDescent="0.3">
      <c r="A1087" t="s">
        <v>373</v>
      </c>
      <c r="B1087" s="3">
        <v>2020</v>
      </c>
      <c r="C1087" s="3">
        <v>98.079190999999994</v>
      </c>
      <c r="D1087" s="3">
        <v>2091.9</v>
      </c>
      <c r="E1087" t="s">
        <v>374</v>
      </c>
      <c r="G1087" s="3">
        <v>798596.6875</v>
      </c>
      <c r="H1087" s="3">
        <v>1137635.5</v>
      </c>
      <c r="I1087" s="3">
        <v>1168464.5</v>
      </c>
      <c r="J1087" s="3">
        <v>1157486.375</v>
      </c>
      <c r="K1087" s="3">
        <v>3950379.75</v>
      </c>
      <c r="L1087" s="3"/>
      <c r="M1087" s="3"/>
      <c r="N1087" s="3"/>
      <c r="O1087" s="3">
        <v>796081.9375</v>
      </c>
      <c r="P1087" s="3">
        <v>1126605.625</v>
      </c>
      <c r="Q1087" s="3"/>
      <c r="R1087" s="3"/>
      <c r="S1087" s="3">
        <v>0.28405547142028797</v>
      </c>
      <c r="T1087" s="3">
        <v>0.296642065048218</v>
      </c>
      <c r="U1087" s="3">
        <v>0.29945558309555098</v>
      </c>
      <c r="W1087" t="s">
        <v>50</v>
      </c>
      <c r="X1087" t="s">
        <v>54</v>
      </c>
      <c r="Y1087" t="s">
        <v>52</v>
      </c>
      <c r="Z1087" t="s">
        <v>53</v>
      </c>
      <c r="AC1087" s="2">
        <v>0.383968692743132</v>
      </c>
      <c r="AD1087" s="2">
        <v>0.55719983577728305</v>
      </c>
      <c r="AE1087" s="2">
        <v>0.29290959239005998</v>
      </c>
      <c r="AF1087" s="2">
        <v>0.13274063169956199</v>
      </c>
      <c r="AG1087" s="2">
        <v>0.39184492826461798</v>
      </c>
      <c r="AH1087" s="2">
        <v>-0.36838796734809898</v>
      </c>
      <c r="AI1087" s="2">
        <v>-6.3070277683436897E-3</v>
      </c>
      <c r="AJ1087" s="2">
        <v>0.30078351942731202</v>
      </c>
      <c r="AK1087" s="2">
        <v>0.32628943833203</v>
      </c>
      <c r="AL1087" s="2">
        <v>0.21383681046126701</v>
      </c>
      <c r="AM1087" s="2">
        <v>0.59927707910537698</v>
      </c>
      <c r="AN1087" s="2">
        <v>0.61086165904998802</v>
      </c>
      <c r="AO1087" s="2">
        <v>0.19437424838542899</v>
      </c>
      <c r="AP1087" s="2"/>
    </row>
    <row r="1088" spans="1:42" x14ac:dyDescent="0.3">
      <c r="A1088" t="s">
        <v>375</v>
      </c>
      <c r="B1088" s="3">
        <v>2015</v>
      </c>
      <c r="C1088" s="3">
        <v>31.159379000000001</v>
      </c>
      <c r="D1088" s="3">
        <v>1734.6</v>
      </c>
      <c r="E1088" t="s">
        <v>376</v>
      </c>
      <c r="G1088" s="3">
        <v>71827.03125</v>
      </c>
      <c r="H1088" s="3">
        <v>77555.265625</v>
      </c>
      <c r="I1088" s="3">
        <v>63781.09765625</v>
      </c>
      <c r="J1088" s="3">
        <v>68302.921875</v>
      </c>
      <c r="K1088" s="3">
        <v>660665.5</v>
      </c>
      <c r="L1088" s="3"/>
      <c r="M1088" s="3"/>
      <c r="N1088" s="3"/>
      <c r="O1088" s="3">
        <v>52561.70703125</v>
      </c>
      <c r="P1088" s="3">
        <v>61462.09375</v>
      </c>
      <c r="Q1088" s="3"/>
      <c r="R1088" s="3"/>
      <c r="S1088" s="3">
        <v>0.37674421072006198</v>
      </c>
      <c r="T1088" s="3">
        <v>0.38912636041641202</v>
      </c>
      <c r="U1088" s="3">
        <v>0.36336526274681102</v>
      </c>
      <c r="W1088" t="s">
        <v>67</v>
      </c>
      <c r="X1088" t="s">
        <v>51</v>
      </c>
      <c r="Y1088" t="s">
        <v>52</v>
      </c>
      <c r="Z1088" t="s">
        <v>53</v>
      </c>
      <c r="AC1088" s="2">
        <v>0.366210248673911</v>
      </c>
      <c r="AD1088" s="2">
        <v>0.71838188171386697</v>
      </c>
      <c r="AE1088" s="2">
        <v>8.3865113556384999E-2</v>
      </c>
      <c r="AF1088" s="2">
        <v>0.33321338891982999</v>
      </c>
      <c r="AG1088" s="2">
        <v>1.5336763113737099E-2</v>
      </c>
      <c r="AH1088" s="2">
        <v>-0.17912539839744601</v>
      </c>
      <c r="AI1088" s="2">
        <v>2.83281672745943E-2</v>
      </c>
      <c r="AJ1088" s="2">
        <v>0.459477063182895</v>
      </c>
      <c r="AK1088" s="2">
        <v>0.54438781292372995</v>
      </c>
      <c r="AL1088" s="2">
        <v>0.19837867238715901</v>
      </c>
      <c r="AM1088" s="2">
        <v>0.486716449260712</v>
      </c>
      <c r="AN1088" s="2">
        <v>0.53722405433654796</v>
      </c>
      <c r="AO1088" s="2">
        <v>0.41132399439811701</v>
      </c>
      <c r="AP1088" s="2"/>
    </row>
    <row r="1089" spans="1:42" x14ac:dyDescent="0.3">
      <c r="A1089" t="s">
        <v>375</v>
      </c>
      <c r="B1089" s="3">
        <v>2016</v>
      </c>
      <c r="C1089" s="3">
        <v>32.109009999999998</v>
      </c>
      <c r="D1089" s="3">
        <v>1626.66</v>
      </c>
      <c r="E1089" t="s">
        <v>376</v>
      </c>
      <c r="G1089" s="3">
        <v>56689.375</v>
      </c>
      <c r="H1089" s="3">
        <v>64142.5078125</v>
      </c>
      <c r="I1089" s="3">
        <v>48243.9921875</v>
      </c>
      <c r="J1089" s="3">
        <v>52007.75</v>
      </c>
      <c r="K1089" s="3">
        <v>862702.125</v>
      </c>
      <c r="L1089" s="3"/>
      <c r="M1089" s="3"/>
      <c r="N1089" s="3"/>
      <c r="O1089" s="3">
        <v>49389.875</v>
      </c>
      <c r="P1089" s="3">
        <v>55098.17578125</v>
      </c>
      <c r="Q1089" s="3"/>
      <c r="R1089" s="3"/>
      <c r="S1089" s="3">
        <v>0.38109883666038502</v>
      </c>
      <c r="T1089" s="3">
        <v>0.38820341229438798</v>
      </c>
      <c r="U1089" s="3">
        <v>0.36010947823524497</v>
      </c>
      <c r="W1089" t="s">
        <v>67</v>
      </c>
      <c r="X1089" t="s">
        <v>51</v>
      </c>
      <c r="Y1089" t="s">
        <v>52</v>
      </c>
      <c r="Z1089" t="s">
        <v>53</v>
      </c>
      <c r="AC1089" s="2">
        <v>0.35600520366578697</v>
      </c>
      <c r="AD1089" s="2">
        <v>0.76678329706192005</v>
      </c>
      <c r="AE1089" s="2">
        <v>0.14330808818340299</v>
      </c>
      <c r="AF1089" s="2">
        <v>0.32323455810546903</v>
      </c>
      <c r="AG1089" s="2">
        <v>3.1473401933908497E-2</v>
      </c>
      <c r="AH1089" s="2">
        <v>-0.222491890192032</v>
      </c>
      <c r="AI1089" s="2">
        <v>-4.23074848949909E-2</v>
      </c>
      <c r="AJ1089" s="2">
        <v>0.475572542196532</v>
      </c>
      <c r="AK1089" s="2">
        <v>0.44224164546787897</v>
      </c>
      <c r="AL1089" s="2">
        <v>0.156986458800385</v>
      </c>
      <c r="AM1089" s="2">
        <v>0.54243522882461603</v>
      </c>
      <c r="AN1089" s="2">
        <v>0.54163253307342496</v>
      </c>
      <c r="AO1089" s="2">
        <v>0.33507105708122298</v>
      </c>
      <c r="AP1089" s="2"/>
    </row>
    <row r="1090" spans="1:42" x14ac:dyDescent="0.3">
      <c r="A1090" t="s">
        <v>375</v>
      </c>
      <c r="B1090" s="3">
        <v>2017</v>
      </c>
      <c r="C1090" s="3">
        <v>33.090921000000002</v>
      </c>
      <c r="D1090" s="3">
        <v>1560.19</v>
      </c>
      <c r="E1090" t="s">
        <v>376</v>
      </c>
      <c r="G1090" s="3">
        <v>43440.5546875</v>
      </c>
      <c r="H1090" s="3">
        <v>49228.8984375</v>
      </c>
      <c r="I1090" s="3">
        <v>38343.484375</v>
      </c>
      <c r="J1090" s="3">
        <v>39385.9609375</v>
      </c>
      <c r="K1090" s="3">
        <v>584131.1875</v>
      </c>
      <c r="L1090" s="3"/>
      <c r="M1090" s="3"/>
      <c r="N1090" s="3"/>
      <c r="O1090" s="3">
        <v>48166.27734375</v>
      </c>
      <c r="P1090" s="3">
        <v>55640.37890625</v>
      </c>
      <c r="Q1090" s="3"/>
      <c r="R1090" s="3"/>
      <c r="S1090" s="3">
        <v>0.47880038619041398</v>
      </c>
      <c r="T1090" s="3">
        <v>0.47965511679649397</v>
      </c>
      <c r="U1090" s="3">
        <v>0.46695953607559199</v>
      </c>
      <c r="W1090" t="s">
        <v>67</v>
      </c>
      <c r="X1090" t="s">
        <v>51</v>
      </c>
      <c r="Y1090" t="s">
        <v>52</v>
      </c>
      <c r="Z1090" t="s">
        <v>53</v>
      </c>
      <c r="AC1090" s="2">
        <v>0.35312994232220102</v>
      </c>
      <c r="AD1090" s="2">
        <v>0.75949859619140603</v>
      </c>
      <c r="AE1090" s="2">
        <v>0.14696463942527799</v>
      </c>
      <c r="AF1090" s="2">
        <v>0.34344655275344899</v>
      </c>
      <c r="AG1090" s="2">
        <v>9.1533161699771895E-2</v>
      </c>
      <c r="AH1090" s="2">
        <v>-0.29300731420517001</v>
      </c>
      <c r="AI1090" s="2">
        <v>-4.8435613512992901E-2</v>
      </c>
      <c r="AJ1090" s="2">
        <v>0.62053814654674799</v>
      </c>
      <c r="AK1090" s="2">
        <v>0.48606989377586601</v>
      </c>
      <c r="AL1090" s="2">
        <v>0.16536115465929399</v>
      </c>
      <c r="AM1090" s="2">
        <v>0.51556593179702803</v>
      </c>
      <c r="AN1090" s="2">
        <v>0.53630065917968806</v>
      </c>
      <c r="AO1090" s="2">
        <v>0.37411820888519298</v>
      </c>
      <c r="AP1090" s="2"/>
    </row>
    <row r="1091" spans="1:42" x14ac:dyDescent="0.3">
      <c r="A1091" t="s">
        <v>375</v>
      </c>
      <c r="B1091" s="3">
        <v>2018</v>
      </c>
      <c r="C1091" s="3">
        <v>34.085182000000003</v>
      </c>
      <c r="D1091" s="3">
        <v>1545.29</v>
      </c>
      <c r="E1091" t="s">
        <v>376</v>
      </c>
      <c r="G1091" s="3">
        <v>42773.8203125</v>
      </c>
      <c r="H1091" s="3">
        <v>56871.17578125</v>
      </c>
      <c r="I1091" s="3">
        <v>44577.9375</v>
      </c>
      <c r="J1091" s="3">
        <v>44191.87890625</v>
      </c>
      <c r="K1091" s="3">
        <v>575296</v>
      </c>
      <c r="L1091" s="3"/>
      <c r="M1091" s="3"/>
      <c r="N1091" s="3"/>
      <c r="O1091" s="3">
        <v>46406.30078125</v>
      </c>
      <c r="P1091" s="3">
        <v>60596.89453125</v>
      </c>
      <c r="Q1091" s="3"/>
      <c r="R1091" s="3"/>
      <c r="S1091" s="3">
        <v>0.69472396373748802</v>
      </c>
      <c r="T1091" s="3">
        <v>0.59831339120864901</v>
      </c>
      <c r="U1091" s="3">
        <v>0.60354030132293701</v>
      </c>
      <c r="W1091" t="s">
        <v>54</v>
      </c>
      <c r="X1091" t="s">
        <v>51</v>
      </c>
      <c r="Y1091" t="s">
        <v>52</v>
      </c>
      <c r="Z1091" t="s">
        <v>53</v>
      </c>
      <c r="AC1091" s="2"/>
      <c r="AD1091" s="2">
        <v>0.64000391960143999</v>
      </c>
      <c r="AE1091" s="2">
        <v>0.31900334358215299</v>
      </c>
      <c r="AF1091" s="2">
        <v>0.32790744304656999</v>
      </c>
      <c r="AG1091" s="2">
        <v>6.7687348928302505E-4</v>
      </c>
      <c r="AH1091" s="2">
        <v>-0.135308131575584</v>
      </c>
      <c r="AI1091" s="2">
        <v>-0.152283474802971</v>
      </c>
      <c r="AJ1091" s="2">
        <v>0.93858319332114004</v>
      </c>
      <c r="AK1091" s="2">
        <v>0.30578722733344099</v>
      </c>
      <c r="AL1091" s="2">
        <v>0.21876383367511301</v>
      </c>
      <c r="AM1091" s="2">
        <v>0.51671475172042902</v>
      </c>
      <c r="AN1091" s="2">
        <v>0.55339324474334695</v>
      </c>
      <c r="AO1091" s="2">
        <v>0.22066862881183599</v>
      </c>
      <c r="AP1091" s="2"/>
    </row>
    <row r="1092" spans="1:42" x14ac:dyDescent="0.3">
      <c r="A1092" t="s">
        <v>375</v>
      </c>
      <c r="B1092" s="3">
        <v>2019</v>
      </c>
      <c r="C1092" s="3">
        <v>35.111407999999997</v>
      </c>
      <c r="D1092" s="3">
        <v>1539.7</v>
      </c>
      <c r="E1092" t="s">
        <v>376</v>
      </c>
      <c r="G1092" s="3">
        <v>41772.109375</v>
      </c>
      <c r="H1092" s="3">
        <v>56488.828125</v>
      </c>
      <c r="I1092" s="3">
        <v>42557.625</v>
      </c>
      <c r="J1092" s="3">
        <v>40073.21484375</v>
      </c>
      <c r="K1092" s="3">
        <v>576275.75</v>
      </c>
      <c r="L1092" s="3"/>
      <c r="M1092" s="3"/>
      <c r="N1092" s="3"/>
      <c r="O1092" s="3">
        <v>44552.69921875</v>
      </c>
      <c r="P1092" s="3">
        <v>58838.85546875</v>
      </c>
      <c r="Q1092" s="3"/>
      <c r="R1092" s="3"/>
      <c r="S1092" s="3">
        <v>0.35348147153854398</v>
      </c>
      <c r="T1092" s="3">
        <v>0.30500322580337502</v>
      </c>
      <c r="U1092" s="3">
        <v>0.32391241192817699</v>
      </c>
      <c r="W1092" t="s">
        <v>54</v>
      </c>
      <c r="X1092" t="s">
        <v>54</v>
      </c>
      <c r="Y1092" t="s">
        <v>52</v>
      </c>
      <c r="Z1092" t="s">
        <v>53</v>
      </c>
      <c r="AC1092" s="2"/>
      <c r="AD1092" s="2">
        <v>0.67365103960037198</v>
      </c>
      <c r="AE1092" s="2">
        <v>0.367245733737946</v>
      </c>
      <c r="AF1092" s="2">
        <v>0.36874377727508501</v>
      </c>
      <c r="AG1092" s="2">
        <v>2.3304075002670301E-3</v>
      </c>
      <c r="AH1092" s="2">
        <v>-0.44610852003097501</v>
      </c>
      <c r="AI1092" s="2">
        <v>3.4137580543756499E-2</v>
      </c>
      <c r="AJ1092" s="2">
        <v>0.49101934239369799</v>
      </c>
      <c r="AK1092" s="2">
        <v>0.167402029978759</v>
      </c>
      <c r="AL1092" s="2">
        <v>0.102216137122529</v>
      </c>
      <c r="AM1092" s="2">
        <v>0.254677534103394</v>
      </c>
      <c r="AN1092" s="2">
        <v>0.26380029320716902</v>
      </c>
      <c r="AO1092" s="2">
        <v>0.118829540908337</v>
      </c>
      <c r="AP1092" s="2"/>
    </row>
    <row r="1093" spans="1:42" x14ac:dyDescent="0.3">
      <c r="A1093" t="s">
        <v>375</v>
      </c>
      <c r="B1093" s="3">
        <v>2020</v>
      </c>
      <c r="C1093" s="3">
        <v>36.134863000000003</v>
      </c>
      <c r="D1093" s="3">
        <v>1449.77</v>
      </c>
      <c r="E1093" t="s">
        <v>376</v>
      </c>
      <c r="G1093" s="3">
        <v>41217.12890625</v>
      </c>
      <c r="H1093" s="3">
        <v>53612.59375</v>
      </c>
      <c r="I1093" s="3">
        <v>40937.703125</v>
      </c>
      <c r="J1093" s="3">
        <v>35290.83203125</v>
      </c>
      <c r="K1093" s="3">
        <v>573648.0625</v>
      </c>
      <c r="L1093" s="3"/>
      <c r="M1093" s="3"/>
      <c r="N1093" s="3"/>
      <c r="O1093" s="3">
        <v>42675.1484375</v>
      </c>
      <c r="P1093" s="3">
        <v>55474.26171875</v>
      </c>
      <c r="Q1093" s="3"/>
      <c r="R1093" s="3"/>
      <c r="S1093" s="3">
        <v>0.26276770234107999</v>
      </c>
      <c r="T1093" s="3">
        <v>0.230022206902504</v>
      </c>
      <c r="U1093" s="3">
        <v>0.26682797074317899</v>
      </c>
      <c r="W1093" t="s">
        <v>54</v>
      </c>
      <c r="X1093" t="s">
        <v>54</v>
      </c>
      <c r="Y1093" t="s">
        <v>52</v>
      </c>
      <c r="Z1093" t="s">
        <v>53</v>
      </c>
      <c r="AC1093" s="2"/>
      <c r="AD1093" s="2">
        <v>0.72838288545608498</v>
      </c>
      <c r="AE1093" s="2">
        <v>0.35123753547668501</v>
      </c>
      <c r="AF1093" s="2">
        <v>0.43954449892044101</v>
      </c>
      <c r="AG1093" s="2">
        <v>2.8022069018334198E-3</v>
      </c>
      <c r="AH1093" s="2">
        <v>-0.552592933177948</v>
      </c>
      <c r="AI1093" s="2">
        <v>3.0625756829977001E-2</v>
      </c>
      <c r="AJ1093" s="2">
        <v>0.37972371080077</v>
      </c>
      <c r="AK1093" s="2">
        <v>0.121137581017756</v>
      </c>
      <c r="AL1093" s="2">
        <v>6.8956278640933302E-2</v>
      </c>
      <c r="AM1093" s="2">
        <v>0.16148608922958399</v>
      </c>
      <c r="AN1093" s="2">
        <v>0.16510894894599901</v>
      </c>
      <c r="AO1093" s="2">
        <v>9.5773890614509596E-2</v>
      </c>
      <c r="AP1093" s="2"/>
    </row>
    <row r="1094" spans="1:42" x14ac:dyDescent="0.3">
      <c r="A1094" t="s">
        <v>377</v>
      </c>
      <c r="B1094" s="3">
        <v>2015</v>
      </c>
      <c r="C1094" s="3">
        <v>56.723537</v>
      </c>
      <c r="D1094" s="3"/>
      <c r="E1094" t="s">
        <v>378</v>
      </c>
      <c r="G1094" s="3">
        <v>712131.125</v>
      </c>
      <c r="H1094" s="3">
        <v>867644.6875</v>
      </c>
      <c r="I1094" s="3">
        <v>856515.125</v>
      </c>
      <c r="J1094" s="3">
        <v>854205.6875</v>
      </c>
      <c r="K1094" s="3">
        <v>3110179.25</v>
      </c>
      <c r="L1094" s="3">
        <v>3.6236383020877803E-2</v>
      </c>
      <c r="M1094" s="3">
        <v>0.656102955341339</v>
      </c>
      <c r="N1094" s="3">
        <v>0.64293068647384599</v>
      </c>
      <c r="O1094" s="3">
        <v>621159.5625</v>
      </c>
      <c r="P1094" s="3">
        <v>770302.75</v>
      </c>
      <c r="Q1094" s="3">
        <v>1.00346183776855</v>
      </c>
      <c r="R1094" s="3">
        <v>0.58152168989181496</v>
      </c>
      <c r="S1094" s="3">
        <v>0.40221089124679599</v>
      </c>
      <c r="T1094" s="3">
        <v>0.40453007817268399</v>
      </c>
      <c r="U1094" s="3">
        <v>0.40562379360199002</v>
      </c>
      <c r="W1094" t="s">
        <v>50</v>
      </c>
      <c r="X1094" t="s">
        <v>51</v>
      </c>
      <c r="Y1094" t="s">
        <v>52</v>
      </c>
      <c r="Z1094" t="s">
        <v>53</v>
      </c>
      <c r="AA1094" t="s">
        <v>53</v>
      </c>
      <c r="AC1094" s="2">
        <v>0.725616377794016</v>
      </c>
      <c r="AD1094" s="2">
        <v>0.64271360635757502</v>
      </c>
      <c r="AE1094" s="2">
        <v>0.18205633759498599</v>
      </c>
      <c r="AF1094" s="2">
        <v>0.19096280634403201</v>
      </c>
      <c r="AG1094" s="2">
        <v>0.16263426840305301</v>
      </c>
      <c r="AH1094" s="2">
        <v>-0.180514946579933</v>
      </c>
      <c r="AI1094" s="2">
        <v>2.1479199640452901E-3</v>
      </c>
      <c r="AJ1094" s="2">
        <v>0.40189870112813098</v>
      </c>
      <c r="AK1094" s="2">
        <v>0.41515015223409202</v>
      </c>
      <c r="AL1094" s="2">
        <v>0.40326157436675802</v>
      </c>
      <c r="AM1094" s="2">
        <v>0.57776200771331798</v>
      </c>
      <c r="AN1094" s="2">
        <v>0.55455696582794201</v>
      </c>
      <c r="AO1094" s="2">
        <v>0.24929027259349801</v>
      </c>
      <c r="AP1094" s="2">
        <v>0.53460860252380404</v>
      </c>
    </row>
    <row r="1095" spans="1:42" x14ac:dyDescent="0.3">
      <c r="A1095" t="s">
        <v>377</v>
      </c>
      <c r="B1095" s="3">
        <v>2016</v>
      </c>
      <c r="C1095" s="3">
        <v>57.259551000000002</v>
      </c>
      <c r="D1095" s="3">
        <v>2218.46</v>
      </c>
      <c r="E1095" t="s">
        <v>378</v>
      </c>
      <c r="G1095" s="3">
        <v>726098.0625</v>
      </c>
      <c r="H1095" s="3">
        <v>864167.0625</v>
      </c>
      <c r="I1095" s="3">
        <v>868081.4375</v>
      </c>
      <c r="J1095" s="3">
        <v>858899.875</v>
      </c>
      <c r="K1095" s="3">
        <v>3174744.25</v>
      </c>
      <c r="L1095" s="3">
        <v>3.5734757781028803E-2</v>
      </c>
      <c r="M1095" s="3">
        <v>0.65356689691543601</v>
      </c>
      <c r="N1095" s="3">
        <v>0.63575124740600597</v>
      </c>
      <c r="O1095" s="3">
        <v>627310.9375</v>
      </c>
      <c r="P1095" s="3">
        <v>764622.5</v>
      </c>
      <c r="Q1095" s="3">
        <v>0.99417567253112804</v>
      </c>
      <c r="R1095" s="3">
        <v>0.58238762617111195</v>
      </c>
      <c r="S1095" s="3">
        <v>0.36803585290908802</v>
      </c>
      <c r="T1095" s="3">
        <v>0.372738867998123</v>
      </c>
      <c r="U1095" s="3">
        <v>0.37672337889671298</v>
      </c>
      <c r="W1095" t="s">
        <v>50</v>
      </c>
      <c r="X1095" t="s">
        <v>51</v>
      </c>
      <c r="Y1095" t="s">
        <v>52</v>
      </c>
      <c r="Z1095" t="s">
        <v>53</v>
      </c>
      <c r="AA1095" t="s">
        <v>53</v>
      </c>
      <c r="AC1095" s="2">
        <v>0.72288223020304798</v>
      </c>
      <c r="AD1095" s="2">
        <v>0.64499658346176203</v>
      </c>
      <c r="AE1095" s="2">
        <v>0.16075101494789101</v>
      </c>
      <c r="AF1095" s="2">
        <v>0.20038492977619199</v>
      </c>
      <c r="AG1095" s="2">
        <v>0.15560951828956601</v>
      </c>
      <c r="AH1095" s="2">
        <v>-0.16389170289039601</v>
      </c>
      <c r="AI1095" s="2">
        <v>2.14965385384858E-3</v>
      </c>
      <c r="AJ1095" s="2">
        <v>0.36960598227213498</v>
      </c>
      <c r="AK1095" s="2">
        <v>0.39747176264412998</v>
      </c>
      <c r="AL1095" s="2">
        <v>0.36298189906015998</v>
      </c>
      <c r="AM1095" s="2">
        <v>0.56798273324966397</v>
      </c>
      <c r="AN1095" s="2">
        <v>0.53385639190673795</v>
      </c>
      <c r="AO1095" s="2">
        <v>0.229302242398262</v>
      </c>
      <c r="AP1095" s="2">
        <v>0.48945292830467202</v>
      </c>
    </row>
    <row r="1096" spans="1:42" x14ac:dyDescent="0.3">
      <c r="A1096" t="s">
        <v>377</v>
      </c>
      <c r="B1096" s="3">
        <v>2017</v>
      </c>
      <c r="C1096" s="3">
        <v>57.635162000000001</v>
      </c>
      <c r="D1096" s="3">
        <v>2197.0300000000002</v>
      </c>
      <c r="E1096" t="s">
        <v>378</v>
      </c>
      <c r="G1096" s="3">
        <v>743495.5</v>
      </c>
      <c r="H1096" s="3">
        <v>881568.125</v>
      </c>
      <c r="I1096" s="3">
        <v>891772</v>
      </c>
      <c r="J1096" s="3">
        <v>878366.8125</v>
      </c>
      <c r="K1096" s="3">
        <v>3306505.5</v>
      </c>
      <c r="L1096" s="3">
        <v>3.5862881690263797E-2</v>
      </c>
      <c r="M1096" s="3">
        <v>0.65507149696350098</v>
      </c>
      <c r="N1096" s="3">
        <v>0.63314419984817505</v>
      </c>
      <c r="O1096" s="3">
        <v>635119.6875</v>
      </c>
      <c r="P1096" s="3">
        <v>776365</v>
      </c>
      <c r="Q1096" s="3">
        <v>0.99501264095306396</v>
      </c>
      <c r="R1096" s="3">
        <v>0.58246785402297996</v>
      </c>
      <c r="S1096" s="3">
        <v>0.42161124944686901</v>
      </c>
      <c r="T1096" s="3">
        <v>0.42739257216453602</v>
      </c>
      <c r="U1096" s="3">
        <v>0.43391519784927401</v>
      </c>
      <c r="W1096" t="s">
        <v>51</v>
      </c>
      <c r="X1096" t="s">
        <v>51</v>
      </c>
      <c r="Y1096" t="s">
        <v>52</v>
      </c>
      <c r="Z1096" t="s">
        <v>53</v>
      </c>
      <c r="AA1096" t="s">
        <v>53</v>
      </c>
      <c r="AC1096" s="2">
        <v>0.73092598496350503</v>
      </c>
      <c r="AD1096" s="2">
        <v>0.64091187715530396</v>
      </c>
      <c r="AE1096" s="2">
        <v>0.157192468643188</v>
      </c>
      <c r="AF1096" s="2">
        <v>0.20554034411907199</v>
      </c>
      <c r="AG1096" s="2">
        <v>0.173321038484573</v>
      </c>
      <c r="AH1096" s="2">
        <v>-0.174905270338058</v>
      </c>
      <c r="AI1096" s="2">
        <v>-2.06041615456343E-3</v>
      </c>
      <c r="AJ1096" s="2">
        <v>0.426588305735213</v>
      </c>
      <c r="AK1096" s="2">
        <v>0.45852388035929398</v>
      </c>
      <c r="AL1096" s="2">
        <v>0.40609187926004697</v>
      </c>
      <c r="AM1096" s="2">
        <v>0.57956868410110496</v>
      </c>
      <c r="AN1096" s="2">
        <v>0.54082113504409801</v>
      </c>
      <c r="AO1096" s="2">
        <v>0.258264601230621</v>
      </c>
      <c r="AP1096" s="2">
        <v>0.55362915992736805</v>
      </c>
    </row>
    <row r="1097" spans="1:42" x14ac:dyDescent="0.3">
      <c r="A1097" t="s">
        <v>377</v>
      </c>
      <c r="B1097" s="3">
        <v>2018</v>
      </c>
      <c r="C1097" s="3">
        <v>58.613000999999997</v>
      </c>
      <c r="D1097" s="3">
        <v>2191.36</v>
      </c>
      <c r="E1097" t="s">
        <v>378</v>
      </c>
      <c r="G1097" s="3">
        <v>719494</v>
      </c>
      <c r="H1097" s="3">
        <v>853507.75</v>
      </c>
      <c r="I1097" s="3">
        <v>857870.25</v>
      </c>
      <c r="J1097" s="3">
        <v>846942.3125</v>
      </c>
      <c r="K1097" s="3">
        <v>3173429.5</v>
      </c>
      <c r="L1097" s="3">
        <v>3.4186847507953602E-2</v>
      </c>
      <c r="M1097" s="3">
        <v>0.61775499582290705</v>
      </c>
      <c r="N1097" s="3">
        <v>0.59926056861877397</v>
      </c>
      <c r="O1097" s="3">
        <v>652108.1875</v>
      </c>
      <c r="P1097" s="3">
        <v>792061</v>
      </c>
      <c r="Q1097" s="3">
        <v>0.97401124238967896</v>
      </c>
      <c r="R1097" s="3">
        <v>0.58040392398834195</v>
      </c>
      <c r="S1097" s="3">
        <v>0.46931153535842901</v>
      </c>
      <c r="T1097" s="3">
        <v>0.47240325808525102</v>
      </c>
      <c r="U1097" s="3">
        <v>0.47849866747856101</v>
      </c>
      <c r="W1097" t="s">
        <v>50</v>
      </c>
      <c r="X1097" t="s">
        <v>51</v>
      </c>
      <c r="Y1097" t="s">
        <v>52</v>
      </c>
      <c r="Z1097" t="s">
        <v>53</v>
      </c>
      <c r="AA1097" t="s">
        <v>53</v>
      </c>
      <c r="AC1097" s="2">
        <v>0.72212718319862301</v>
      </c>
      <c r="AD1097" s="2">
        <v>0.65242570638656605</v>
      </c>
      <c r="AE1097" s="2">
        <v>0.15823245048522999</v>
      </c>
      <c r="AF1097" s="2">
        <v>0.19709375500678999</v>
      </c>
      <c r="AG1097" s="2">
        <v>0.185835361480713</v>
      </c>
      <c r="AH1097" s="2">
        <v>-0.196105152368546</v>
      </c>
      <c r="AI1097" s="2">
        <v>2.5178596843033999E-3</v>
      </c>
      <c r="AJ1097" s="2">
        <v>0.46915556734799502</v>
      </c>
      <c r="AK1097" s="2">
        <v>0.48900215735826302</v>
      </c>
      <c r="AL1097" s="2">
        <v>0.46982783910366599</v>
      </c>
      <c r="AM1097" s="2">
        <v>0.59518617391586304</v>
      </c>
      <c r="AN1097" s="2">
        <v>0.55775243043899503</v>
      </c>
      <c r="AO1097" s="2">
        <v>0.28730759024620101</v>
      </c>
      <c r="AP1097" s="2">
        <v>0.58812898397445701</v>
      </c>
    </row>
    <row r="1098" spans="1:42" x14ac:dyDescent="0.3">
      <c r="A1098" t="s">
        <v>377</v>
      </c>
      <c r="B1098" s="3">
        <v>2019</v>
      </c>
      <c r="C1098" s="3">
        <v>59.587885</v>
      </c>
      <c r="D1098" s="3">
        <v>2206.86</v>
      </c>
      <c r="E1098" t="s">
        <v>378</v>
      </c>
      <c r="G1098" s="3">
        <v>716252.8125</v>
      </c>
      <c r="H1098" s="3">
        <v>849117.5625</v>
      </c>
      <c r="I1098" s="3">
        <v>853438.125</v>
      </c>
      <c r="J1098" s="3">
        <v>836385.875</v>
      </c>
      <c r="K1098" s="3">
        <v>3077501.5</v>
      </c>
      <c r="L1098" s="3">
        <v>3.2807599753141403E-2</v>
      </c>
      <c r="M1098" s="3">
        <v>0.59777951240539595</v>
      </c>
      <c r="N1098" s="3">
        <v>0.58398658037185702</v>
      </c>
      <c r="O1098" s="3">
        <v>661315.125</v>
      </c>
      <c r="P1098" s="3">
        <v>801179.5</v>
      </c>
      <c r="Q1098" s="3">
        <v>0.94938731193542503</v>
      </c>
      <c r="R1098" s="3">
        <v>0.57583093643188499</v>
      </c>
      <c r="S1098" s="3">
        <v>0.45481693744659402</v>
      </c>
      <c r="T1098" s="3">
        <v>0.45619007945060702</v>
      </c>
      <c r="U1098" s="3">
        <v>0.46549087762832603</v>
      </c>
      <c r="W1098" t="s">
        <v>50</v>
      </c>
      <c r="X1098" t="s">
        <v>54</v>
      </c>
      <c r="Y1098" t="s">
        <v>52</v>
      </c>
      <c r="Z1098" t="s">
        <v>53</v>
      </c>
      <c r="AA1098" t="s">
        <v>53</v>
      </c>
      <c r="AC1098" s="2">
        <v>0.718034392107332</v>
      </c>
      <c r="AD1098" s="2">
        <v>0.66444027423858598</v>
      </c>
      <c r="AE1098" s="2">
        <v>0.158855780959129</v>
      </c>
      <c r="AF1098" s="2">
        <v>0.19192616641521501</v>
      </c>
      <c r="AG1098" s="2">
        <v>0.18368963897228199</v>
      </c>
      <c r="AH1098" s="2">
        <v>-0.200485154986382</v>
      </c>
      <c r="AI1098" s="2">
        <v>1.5732856700196899E-3</v>
      </c>
      <c r="AJ1098" s="2">
        <v>0.44901924153106498</v>
      </c>
      <c r="AK1098" s="2">
        <v>0.46359253211289497</v>
      </c>
      <c r="AL1098" s="2">
        <v>0.47488832772277501</v>
      </c>
      <c r="AM1098" s="2">
        <v>0.58187097311019897</v>
      </c>
      <c r="AN1098" s="2">
        <v>0.52502346038818404</v>
      </c>
      <c r="AO1098" s="2">
        <v>0.28562399744987499</v>
      </c>
      <c r="AP1098" s="2">
        <v>0.57253068685531605</v>
      </c>
    </row>
    <row r="1099" spans="1:42" x14ac:dyDescent="0.3">
      <c r="A1099" t="s">
        <v>377</v>
      </c>
      <c r="B1099" s="3">
        <v>2020</v>
      </c>
      <c r="C1099" s="3">
        <v>60.562381000000002</v>
      </c>
      <c r="D1099" s="3">
        <v>2071.62</v>
      </c>
      <c r="E1099" t="s">
        <v>378</v>
      </c>
      <c r="G1099" s="3">
        <v>662036.625</v>
      </c>
      <c r="H1099" s="3">
        <v>763229.875</v>
      </c>
      <c r="I1099" s="3">
        <v>798089.3125</v>
      </c>
      <c r="J1099" s="3">
        <v>766688.0625</v>
      </c>
      <c r="K1099" s="3">
        <v>3000721.25</v>
      </c>
      <c r="L1099" s="3">
        <v>3.0962117016315498E-2</v>
      </c>
      <c r="M1099" s="3">
        <v>0.61059689521789595</v>
      </c>
      <c r="N1099" s="3">
        <v>0.58311587572097801</v>
      </c>
      <c r="O1099" s="3">
        <v>631693.9375</v>
      </c>
      <c r="P1099" s="3">
        <v>739597.8125</v>
      </c>
      <c r="Q1099" s="3">
        <v>0.99610990285873402</v>
      </c>
      <c r="R1099" s="3">
        <v>0.57499104738235496</v>
      </c>
      <c r="S1099" s="3">
        <v>0.42460173368454002</v>
      </c>
      <c r="T1099" s="3">
        <v>0.423876643180847</v>
      </c>
      <c r="U1099" s="3">
        <v>0.44123736023902899</v>
      </c>
      <c r="W1099" t="s">
        <v>50</v>
      </c>
      <c r="X1099" t="s">
        <v>54</v>
      </c>
      <c r="Y1099" t="s">
        <v>52</v>
      </c>
      <c r="Z1099" t="s">
        <v>53</v>
      </c>
      <c r="AA1099" t="s">
        <v>53</v>
      </c>
      <c r="AC1099" s="2">
        <v>0.71018048233924702</v>
      </c>
      <c r="AD1099" s="2">
        <v>0.66959106922149703</v>
      </c>
      <c r="AE1099" s="2">
        <v>0.13198754191398601</v>
      </c>
      <c r="AF1099" s="2">
        <v>0.193910866975784</v>
      </c>
      <c r="AG1099" s="2">
        <v>0.174362272024155</v>
      </c>
      <c r="AH1099" s="2">
        <v>-0.177341148257256</v>
      </c>
      <c r="AI1099" s="2">
        <v>7.4893939308822198E-3</v>
      </c>
      <c r="AJ1099" s="2">
        <v>0.41198326016644099</v>
      </c>
      <c r="AK1099" s="2">
        <v>0.419132812008779</v>
      </c>
      <c r="AL1099" s="2">
        <v>0.46817444446258299</v>
      </c>
      <c r="AM1099" s="2">
        <v>0.58800548315048196</v>
      </c>
      <c r="AN1099" s="2">
        <v>0.48808723688125599</v>
      </c>
      <c r="AO1099" s="2">
        <v>0.26742163300514199</v>
      </c>
      <c r="AP1099" s="2">
        <v>0.55142104625701904</v>
      </c>
    </row>
    <row r="1100" spans="1:42" x14ac:dyDescent="0.3">
      <c r="A1100" t="s">
        <v>379</v>
      </c>
      <c r="B1100" s="3">
        <v>2015</v>
      </c>
      <c r="C1100" s="3">
        <v>16.399089</v>
      </c>
      <c r="D1100" s="3">
        <v>1969.82</v>
      </c>
      <c r="E1100" t="s">
        <v>269</v>
      </c>
      <c r="G1100" s="3">
        <v>41054.984375</v>
      </c>
      <c r="H1100" s="3">
        <v>62784.0078125</v>
      </c>
      <c r="I1100" s="3">
        <v>56962.734375</v>
      </c>
      <c r="J1100" s="3">
        <v>57083.62890625</v>
      </c>
      <c r="K1100" s="3">
        <v>291604.4375</v>
      </c>
      <c r="L1100" s="3">
        <v>3.8612603675574099E-3</v>
      </c>
      <c r="M1100" s="3">
        <v>0.29994708299636802</v>
      </c>
      <c r="N1100" s="3">
        <v>0.318269312381744</v>
      </c>
      <c r="O1100" s="3">
        <v>43378.25</v>
      </c>
      <c r="P1100" s="3">
        <v>61147.59375</v>
      </c>
      <c r="Q1100" s="3">
        <v>1.18071937561035</v>
      </c>
      <c r="R1100" s="3">
        <v>0.351851046085358</v>
      </c>
      <c r="S1100" s="3">
        <v>0.33869656920433</v>
      </c>
      <c r="T1100" s="3">
        <v>0.36627638339996299</v>
      </c>
      <c r="U1100" s="3">
        <v>0.365500688552856</v>
      </c>
      <c r="W1100" t="s">
        <v>50</v>
      </c>
      <c r="X1100" t="s">
        <v>51</v>
      </c>
      <c r="Y1100" t="s">
        <v>52</v>
      </c>
      <c r="Z1100" t="s">
        <v>53</v>
      </c>
      <c r="AA1100" t="s">
        <v>53</v>
      </c>
      <c r="AC1100" s="2">
        <v>0.42947001578469701</v>
      </c>
      <c r="AD1100" s="2">
        <v>0.55153542757034302</v>
      </c>
      <c r="AE1100" s="2">
        <v>0.38065248727798501</v>
      </c>
      <c r="AF1100" s="2">
        <v>0.16767227649688701</v>
      </c>
      <c r="AG1100" s="2">
        <v>0.20023837685585</v>
      </c>
      <c r="AH1100" s="2">
        <v>-0.26154902577400202</v>
      </c>
      <c r="AI1100" s="2">
        <v>-3.85495312511921E-2</v>
      </c>
      <c r="AJ1100" s="2">
        <v>0.34192434182320802</v>
      </c>
      <c r="AK1100" s="2">
        <v>0.41838591104559802</v>
      </c>
      <c r="AL1100" s="2">
        <v>0.32807921040834098</v>
      </c>
      <c r="AM1100" s="2">
        <v>0.577980816364288</v>
      </c>
      <c r="AN1100" s="2">
        <v>0.53143459558486905</v>
      </c>
      <c r="AO1100" s="2">
        <v>0.232340663671494</v>
      </c>
      <c r="AP1100" s="2">
        <v>0.46791556477546697</v>
      </c>
    </row>
    <row r="1101" spans="1:42" x14ac:dyDescent="0.3">
      <c r="A1101" t="s">
        <v>379</v>
      </c>
      <c r="B1101" s="3">
        <v>2016</v>
      </c>
      <c r="C1101" s="3">
        <v>16.914422999999999</v>
      </c>
      <c r="D1101" s="3">
        <v>1974.41</v>
      </c>
      <c r="E1101" t="s">
        <v>269</v>
      </c>
      <c r="G1101" s="3">
        <v>40506.83984375</v>
      </c>
      <c r="H1101" s="3">
        <v>59856.37890625</v>
      </c>
      <c r="I1101" s="3">
        <v>57906.3125</v>
      </c>
      <c r="J1101" s="3">
        <v>57648.9765625</v>
      </c>
      <c r="K1101" s="3">
        <v>303038.9375</v>
      </c>
      <c r="L1101" s="3">
        <v>3.8744315970689102E-3</v>
      </c>
      <c r="M1101" s="3">
        <v>0.289706021547318</v>
      </c>
      <c r="N1101" s="3">
        <v>0.29081603884696999</v>
      </c>
      <c r="O1101" s="3">
        <v>43557.9765625</v>
      </c>
      <c r="P1101" s="3">
        <v>59512.16796875</v>
      </c>
      <c r="Q1101" s="3">
        <v>1.14227783679962</v>
      </c>
      <c r="R1101" s="3">
        <v>0.340649783611298</v>
      </c>
      <c r="S1101" s="3">
        <v>0.32797670364379899</v>
      </c>
      <c r="T1101" s="3">
        <v>0.35577300190925598</v>
      </c>
      <c r="U1101" s="3">
        <v>0.35736113786697399</v>
      </c>
      <c r="W1101" t="s">
        <v>50</v>
      </c>
      <c r="X1101" t="s">
        <v>51</v>
      </c>
      <c r="Y1101" t="s">
        <v>52</v>
      </c>
      <c r="Z1101" t="s">
        <v>53</v>
      </c>
      <c r="AA1101" t="s">
        <v>53</v>
      </c>
      <c r="AC1101" s="2">
        <v>0.45652703294147601</v>
      </c>
      <c r="AD1101" s="2">
        <v>0.51314508914947499</v>
      </c>
      <c r="AE1101" s="2">
        <v>0.33564409613609297</v>
      </c>
      <c r="AF1101" s="2">
        <v>0.18950124084949499</v>
      </c>
      <c r="AG1101" s="2">
        <v>0.19363290071487399</v>
      </c>
      <c r="AH1101" s="2">
        <v>-0.242587611079216</v>
      </c>
      <c r="AI1101" s="2">
        <v>1.06643503531814E-2</v>
      </c>
      <c r="AJ1101" s="2">
        <v>0.33519421525649801</v>
      </c>
      <c r="AK1101" s="2">
        <v>0.41396251139498202</v>
      </c>
      <c r="AL1101" s="2">
        <v>0.308432601268321</v>
      </c>
      <c r="AM1101" s="2">
        <v>0.57086229324340798</v>
      </c>
      <c r="AN1101" s="2">
        <v>0.52098006010055498</v>
      </c>
      <c r="AO1101" s="2">
        <v>0.22684493660926799</v>
      </c>
      <c r="AP1101" s="2">
        <v>0.453806132078171</v>
      </c>
    </row>
    <row r="1102" spans="1:42" x14ac:dyDescent="0.3">
      <c r="A1102" t="s">
        <v>379</v>
      </c>
      <c r="B1102" s="3">
        <v>2017</v>
      </c>
      <c r="C1102" s="3">
        <v>17.441320000000001</v>
      </c>
      <c r="D1102" s="3">
        <v>1979.93</v>
      </c>
      <c r="E1102" t="s">
        <v>269</v>
      </c>
      <c r="G1102" s="3">
        <v>40614.7421875</v>
      </c>
      <c r="H1102" s="3">
        <v>61635.81640625</v>
      </c>
      <c r="I1102" s="3">
        <v>60666.1875</v>
      </c>
      <c r="J1102" s="3">
        <v>59296.703125</v>
      </c>
      <c r="K1102" s="3">
        <v>323803.90625</v>
      </c>
      <c r="L1102" s="3">
        <v>4.0546753443777596E-3</v>
      </c>
      <c r="M1102" s="3">
        <v>0.28809058666229298</v>
      </c>
      <c r="N1102" s="3">
        <v>0.28838059306144698</v>
      </c>
      <c r="O1102" s="3">
        <v>42393.59765625</v>
      </c>
      <c r="P1102" s="3">
        <v>60543.32421875</v>
      </c>
      <c r="Q1102" s="3">
        <v>1.1128565073013299</v>
      </c>
      <c r="R1102" s="3">
        <v>0.28323590755462602</v>
      </c>
      <c r="S1102" s="3">
        <v>0.38670024275779702</v>
      </c>
      <c r="T1102" s="3">
        <v>0.426938146352768</v>
      </c>
      <c r="U1102" s="3">
        <v>0.43679848313331598</v>
      </c>
      <c r="W1102" t="s">
        <v>51</v>
      </c>
      <c r="X1102" t="s">
        <v>51</v>
      </c>
      <c r="Y1102" t="s">
        <v>52</v>
      </c>
      <c r="Z1102" t="s">
        <v>53</v>
      </c>
      <c r="AA1102" t="s">
        <v>53</v>
      </c>
      <c r="AC1102" s="2">
        <v>0.44293789303772002</v>
      </c>
      <c r="AD1102" s="2">
        <v>0.50930058956146196</v>
      </c>
      <c r="AE1102" s="2">
        <v>0.35450661182403598</v>
      </c>
      <c r="AF1102" s="2">
        <v>0.175640419125557</v>
      </c>
      <c r="AG1102" s="2">
        <v>0.23074534535408001</v>
      </c>
      <c r="AH1102" s="2">
        <v>-0.25325191020965598</v>
      </c>
      <c r="AI1102" s="2">
        <v>-1.6941044479608501E-2</v>
      </c>
      <c r="AJ1102" s="2">
        <v>0.4025075931698</v>
      </c>
      <c r="AK1102" s="2">
        <v>0.50468166424334704</v>
      </c>
      <c r="AL1102" s="2">
        <v>0.34086400432249497</v>
      </c>
      <c r="AM1102" s="2">
        <v>0.58518731594085704</v>
      </c>
      <c r="AN1102" s="2">
        <v>0.53152924776077304</v>
      </c>
      <c r="AO1102" s="2">
        <v>0.275901049375534</v>
      </c>
      <c r="AP1102" s="2">
        <v>0.57124876976013195</v>
      </c>
    </row>
    <row r="1103" spans="1:42" x14ac:dyDescent="0.3">
      <c r="A1103" t="s">
        <v>379</v>
      </c>
      <c r="B1103" s="3">
        <v>2018</v>
      </c>
      <c r="C1103" s="3">
        <v>17.973569000000001</v>
      </c>
      <c r="D1103" s="3">
        <v>1964.42</v>
      </c>
      <c r="E1103" t="s">
        <v>269</v>
      </c>
      <c r="G1103" s="3">
        <v>39712.48046875</v>
      </c>
      <c r="H1103" s="3">
        <v>59398.38671875</v>
      </c>
      <c r="I1103" s="3">
        <v>61669.15234375</v>
      </c>
      <c r="J1103" s="3">
        <v>60541.203125</v>
      </c>
      <c r="K1103" s="3">
        <v>308991.84375</v>
      </c>
      <c r="L1103" s="3">
        <v>4.0439483709633402E-3</v>
      </c>
      <c r="M1103" s="3">
        <v>0.28060734272003202</v>
      </c>
      <c r="N1103" s="3">
        <v>0.26501375436782798</v>
      </c>
      <c r="O1103" s="3">
        <v>41950.12109375</v>
      </c>
      <c r="P1103" s="3">
        <v>59712.48828125</v>
      </c>
      <c r="Q1103" s="3">
        <v>1.1070703268051101</v>
      </c>
      <c r="R1103" s="3">
        <v>0.34711822867393499</v>
      </c>
      <c r="S1103" s="3">
        <v>0.38213729858398399</v>
      </c>
      <c r="T1103" s="3">
        <v>0.42665585875511203</v>
      </c>
      <c r="U1103" s="3">
        <v>0.434604942798615</v>
      </c>
      <c r="W1103" t="s">
        <v>50</v>
      </c>
      <c r="X1103" t="s">
        <v>51</v>
      </c>
      <c r="Y1103" t="s">
        <v>52</v>
      </c>
      <c r="Z1103" t="s">
        <v>53</v>
      </c>
      <c r="AA1103" t="s">
        <v>53</v>
      </c>
      <c r="AC1103" s="2">
        <v>0.44645569682994801</v>
      </c>
      <c r="AD1103" s="2">
        <v>0.49324750900268599</v>
      </c>
      <c r="AE1103" s="2">
        <v>0.32516545057296797</v>
      </c>
      <c r="AF1103" s="2">
        <v>0.16271044313907601</v>
      </c>
      <c r="AG1103" s="2">
        <v>0.24821080267429399</v>
      </c>
      <c r="AH1103" s="2">
        <v>-0.28209120035171498</v>
      </c>
      <c r="AI1103" s="2">
        <v>5.2757009863853503E-2</v>
      </c>
      <c r="AJ1103" s="2">
        <v>0.39621795607528698</v>
      </c>
      <c r="AK1103" s="2">
        <v>0.51646336055117004</v>
      </c>
      <c r="AL1103" s="2">
        <v>0.33945257932293599</v>
      </c>
      <c r="AM1103" s="2">
        <v>0.60179471969604503</v>
      </c>
      <c r="AN1103" s="2">
        <v>0.55406725406646695</v>
      </c>
      <c r="AO1103" s="2">
        <v>0.29818105697631803</v>
      </c>
      <c r="AP1103" s="2">
        <v>0.50227367877960205</v>
      </c>
    </row>
    <row r="1104" spans="1:42" x14ac:dyDescent="0.3">
      <c r="A1104" t="s">
        <v>379</v>
      </c>
      <c r="B1104" s="3">
        <v>2019</v>
      </c>
      <c r="C1104" s="3">
        <v>18.513839000000001</v>
      </c>
      <c r="D1104" s="3">
        <v>2110.5700000000002</v>
      </c>
      <c r="E1104" t="s">
        <v>269</v>
      </c>
      <c r="G1104" s="3">
        <v>42137.46875</v>
      </c>
      <c r="H1104" s="3">
        <v>60920.390625</v>
      </c>
      <c r="I1104" s="3">
        <v>61416.34765625</v>
      </c>
      <c r="J1104" s="3">
        <v>60398.01171875</v>
      </c>
      <c r="K1104" s="3">
        <v>286285.28125</v>
      </c>
      <c r="L1104" s="3">
        <v>3.8246943149715701E-3</v>
      </c>
      <c r="M1104" s="3">
        <v>0.26466104388237</v>
      </c>
      <c r="N1104" s="3">
        <v>0.25688010454177901</v>
      </c>
      <c r="O1104" s="3">
        <v>44218.42578125</v>
      </c>
      <c r="P1104" s="3">
        <v>62380.94921875</v>
      </c>
      <c r="Q1104" s="3">
        <v>1.0420272350311299</v>
      </c>
      <c r="R1104" s="3">
        <v>0.38049194216728199</v>
      </c>
      <c r="S1104" s="3">
        <v>0.33152526617050199</v>
      </c>
      <c r="T1104" s="3">
        <v>0.379529118537903</v>
      </c>
      <c r="U1104" s="3">
        <v>0.385928153991699</v>
      </c>
      <c r="W1104" t="s">
        <v>50</v>
      </c>
      <c r="X1104" t="s">
        <v>54</v>
      </c>
      <c r="Y1104" t="s">
        <v>52</v>
      </c>
      <c r="Z1104" t="s">
        <v>53</v>
      </c>
      <c r="AA1104" t="s">
        <v>53</v>
      </c>
      <c r="AC1104" s="2">
        <v>0.46183752708514703</v>
      </c>
      <c r="AD1104" s="2">
        <v>0.47311311960220298</v>
      </c>
      <c r="AE1104" s="2">
        <v>0.31098577380180398</v>
      </c>
      <c r="AF1104" s="2">
        <v>0.22455005347728699</v>
      </c>
      <c r="AG1104" s="2">
        <v>0.22315408289432501</v>
      </c>
      <c r="AH1104" s="2">
        <v>-0.24811503291130099</v>
      </c>
      <c r="AI1104" s="2">
        <v>1.6311969608068501E-2</v>
      </c>
      <c r="AJ1104" s="2">
        <v>0.34462436551911202</v>
      </c>
      <c r="AK1104" s="2">
        <v>0.48722062503876701</v>
      </c>
      <c r="AL1104" s="2">
        <v>0.30392628557484902</v>
      </c>
      <c r="AM1104" s="2">
        <v>0.52152115106582597</v>
      </c>
      <c r="AN1104" s="2">
        <v>0.48186647891998302</v>
      </c>
      <c r="AO1104" s="2">
        <v>0.29655534029007002</v>
      </c>
      <c r="AP1104" s="2">
        <v>0.42943328619003301</v>
      </c>
    </row>
    <row r="1105" spans="1:42" x14ac:dyDescent="0.3">
      <c r="A1105" t="s">
        <v>379</v>
      </c>
      <c r="B1105" s="3">
        <v>2020</v>
      </c>
      <c r="C1105" s="3">
        <v>19.059394999999999</v>
      </c>
      <c r="D1105" s="3">
        <v>2113.64</v>
      </c>
      <c r="E1105" t="s">
        <v>269</v>
      </c>
      <c r="G1105" s="3">
        <v>35927.73046875</v>
      </c>
      <c r="H1105" s="3">
        <v>49786.04296875</v>
      </c>
      <c r="I1105" s="3">
        <v>58087.890625</v>
      </c>
      <c r="J1105" s="3">
        <v>55399.28125</v>
      </c>
      <c r="K1105" s="3">
        <v>261497.015625</v>
      </c>
      <c r="L1105" s="3">
        <v>3.2815735321492E-3</v>
      </c>
      <c r="M1105" s="3">
        <v>0.26391300559043901</v>
      </c>
      <c r="N1105" s="3">
        <v>0.22752426564693501</v>
      </c>
      <c r="O1105" s="3">
        <v>38252.67578125</v>
      </c>
      <c r="P1105" s="3">
        <v>52399.640625</v>
      </c>
      <c r="Q1105" s="3">
        <v>0.98145979642867998</v>
      </c>
      <c r="R1105" s="3">
        <v>0.316945940256119</v>
      </c>
      <c r="S1105" s="3">
        <v>0.26813927292823803</v>
      </c>
      <c r="T1105" s="3">
        <v>0.31097325682640098</v>
      </c>
      <c r="U1105" s="3">
        <v>0.32606524229049699</v>
      </c>
      <c r="W1105" t="s">
        <v>50</v>
      </c>
      <c r="X1105" t="s">
        <v>54</v>
      </c>
      <c r="Y1105" t="s">
        <v>52</v>
      </c>
      <c r="Z1105" t="s">
        <v>53</v>
      </c>
      <c r="AA1105" t="s">
        <v>53</v>
      </c>
      <c r="AC1105" s="2">
        <v>0.46978336431989798</v>
      </c>
      <c r="AD1105" s="2">
        <v>0.45575273036956798</v>
      </c>
      <c r="AE1105" s="2">
        <v>0.25015333294868503</v>
      </c>
      <c r="AF1105" s="2">
        <v>0.19277067482471499</v>
      </c>
      <c r="AG1105" s="2">
        <v>0.318313598632813</v>
      </c>
      <c r="AH1105" s="2">
        <v>-0.24734270572662401</v>
      </c>
      <c r="AI1105" s="2">
        <v>3.03523615002632E-2</v>
      </c>
      <c r="AJ1105" s="2">
        <v>0.276028179398148</v>
      </c>
      <c r="AK1105" s="2">
        <v>0.42202053072020701</v>
      </c>
      <c r="AL1105" s="2">
        <v>0.24948813478328</v>
      </c>
      <c r="AM1105" s="2">
        <v>0.41838955879211398</v>
      </c>
      <c r="AN1105" s="2">
        <v>0.39004632830619801</v>
      </c>
      <c r="AO1105" s="2">
        <v>0.26780715584754899</v>
      </c>
      <c r="AP1105" s="2">
        <v>0.446484684944153</v>
      </c>
    </row>
    <row r="1106" spans="1:42" x14ac:dyDescent="0.3">
      <c r="A1106" t="s">
        <v>380</v>
      </c>
      <c r="B1106" s="3">
        <v>2015</v>
      </c>
      <c r="C1106" s="3">
        <v>14.399013</v>
      </c>
      <c r="D1106" s="3">
        <v>1884.57</v>
      </c>
      <c r="E1106" t="s">
        <v>153</v>
      </c>
      <c r="G1106" s="3">
        <v>49030.91015625</v>
      </c>
      <c r="H1106" s="3">
        <v>52628.33984375</v>
      </c>
      <c r="I1106" s="3">
        <v>44438.9296875</v>
      </c>
      <c r="J1106" s="3">
        <v>43948.94921875</v>
      </c>
      <c r="K1106" s="3">
        <v>61341.66015625</v>
      </c>
      <c r="L1106" s="3">
        <v>7.29749968741089E-4</v>
      </c>
      <c r="M1106" s="3">
        <v>0.458447605371475</v>
      </c>
      <c r="N1106" s="3">
        <v>0.52963113784789995</v>
      </c>
      <c r="O1106" s="3">
        <v>43092.92578125</v>
      </c>
      <c r="P1106" s="3">
        <v>49918.97265625</v>
      </c>
      <c r="Q1106" s="3">
        <v>1.1323722600936901</v>
      </c>
      <c r="R1106" s="3">
        <v>0.53338110446929898</v>
      </c>
      <c r="S1106" s="3">
        <v>0.44132545590400701</v>
      </c>
      <c r="T1106" s="3">
        <v>0.44922593235969499</v>
      </c>
      <c r="U1106" s="3">
        <v>0.45423436164856001</v>
      </c>
      <c r="W1106" t="s">
        <v>50</v>
      </c>
      <c r="X1106" t="s">
        <v>51</v>
      </c>
      <c r="Y1106" t="s">
        <v>52</v>
      </c>
      <c r="Z1106" t="s">
        <v>53</v>
      </c>
      <c r="AA1106" t="s">
        <v>53</v>
      </c>
      <c r="AC1106" s="2">
        <v>0.50250644392158395</v>
      </c>
      <c r="AD1106" s="2">
        <v>0.94174897670745905</v>
      </c>
      <c r="AE1106" s="2">
        <v>8.1854753196239499E-2</v>
      </c>
      <c r="AF1106" s="2">
        <v>0.173884332180023</v>
      </c>
      <c r="AG1106" s="2">
        <v>0.13845044374465901</v>
      </c>
      <c r="AH1106" s="2">
        <v>-0.28400814533233598</v>
      </c>
      <c r="AI1106" s="2">
        <v>-5.1930330693721799E-2</v>
      </c>
      <c r="AJ1106" s="2">
        <v>0.43175968015053701</v>
      </c>
      <c r="AK1106" s="2">
        <v>0.55690503477851105</v>
      </c>
      <c r="AL1106" s="2">
        <v>0.49313322330164699</v>
      </c>
      <c r="AM1106" s="2">
        <v>0.56052565574645996</v>
      </c>
      <c r="AN1106" s="2">
        <v>0.48493281006813099</v>
      </c>
      <c r="AO1106" s="2">
        <v>0.360383540391922</v>
      </c>
      <c r="AP1106" s="2">
        <v>1.7054488658905</v>
      </c>
    </row>
    <row r="1107" spans="1:42" x14ac:dyDescent="0.3">
      <c r="A1107" t="s">
        <v>380</v>
      </c>
      <c r="B1107" s="3">
        <v>2016</v>
      </c>
      <c r="C1107" s="3">
        <v>14.600294</v>
      </c>
      <c r="D1107" s="3">
        <v>1887.54</v>
      </c>
      <c r="E1107" t="s">
        <v>153</v>
      </c>
      <c r="G1107" s="3">
        <v>48724.9453125</v>
      </c>
      <c r="H1107" s="3">
        <v>52435.140625</v>
      </c>
      <c r="I1107" s="3">
        <v>47098.01171875</v>
      </c>
      <c r="J1107" s="3">
        <v>46295.74609375</v>
      </c>
      <c r="K1107" s="3">
        <v>65224.1484375</v>
      </c>
      <c r="L1107" s="3">
        <v>7.5282447505742301E-4</v>
      </c>
      <c r="M1107" s="3">
        <v>0.46581971645355202</v>
      </c>
      <c r="N1107" s="3">
        <v>0.51008337736129805</v>
      </c>
      <c r="O1107" s="3">
        <v>40284.01171875</v>
      </c>
      <c r="P1107" s="3">
        <v>46956.9296875</v>
      </c>
      <c r="Q1107" s="3">
        <v>1.1122744083404501</v>
      </c>
      <c r="R1107" s="3">
        <v>0.53338110446929898</v>
      </c>
      <c r="S1107" s="3">
        <v>0.42792996764183</v>
      </c>
      <c r="T1107" s="3">
        <v>0.43629607558250399</v>
      </c>
      <c r="U1107" s="3">
        <v>0.44385674595832803</v>
      </c>
      <c r="W1107" t="s">
        <v>50</v>
      </c>
      <c r="X1107" t="s">
        <v>51</v>
      </c>
      <c r="Y1107" t="s">
        <v>52</v>
      </c>
      <c r="Z1107" t="s">
        <v>53</v>
      </c>
      <c r="AA1107" t="s">
        <v>53</v>
      </c>
      <c r="AC1107" s="2">
        <v>0.50005904062560902</v>
      </c>
      <c r="AD1107" s="2">
        <v>0.88675528764724698</v>
      </c>
      <c r="AE1107" s="2">
        <v>8.0141142010688796E-2</v>
      </c>
      <c r="AF1107" s="2">
        <v>0.165716037154198</v>
      </c>
      <c r="AG1107" s="2">
        <v>0.12888942658901201</v>
      </c>
      <c r="AH1107" s="2">
        <v>-0.24524380266666401</v>
      </c>
      <c r="AI1107" s="2">
        <v>-1.62581093609333E-2</v>
      </c>
      <c r="AJ1107" s="2">
        <v>0.41718354705847399</v>
      </c>
      <c r="AK1107" s="2">
        <v>0.54616588538230804</v>
      </c>
      <c r="AL1107" s="2">
        <v>0.48543471331097798</v>
      </c>
      <c r="AM1107" s="2">
        <v>0.55993515253067005</v>
      </c>
      <c r="AN1107" s="2">
        <v>0.46994510293006903</v>
      </c>
      <c r="AO1107" s="2">
        <v>0.34963110089302102</v>
      </c>
      <c r="AP1107" s="2">
        <v>1.6486018896102901</v>
      </c>
    </row>
    <row r="1108" spans="1:42" x14ac:dyDescent="0.3">
      <c r="A1108" t="s">
        <v>380</v>
      </c>
      <c r="B1108" s="3">
        <v>2017</v>
      </c>
      <c r="C1108" s="3">
        <v>14.812481999999999</v>
      </c>
      <c r="D1108" s="3">
        <v>1891.96</v>
      </c>
      <c r="E1108" t="s">
        <v>153</v>
      </c>
      <c r="G1108" s="3">
        <v>48311.59765625</v>
      </c>
      <c r="H1108" s="3">
        <v>54439.4140625</v>
      </c>
      <c r="I1108" s="3">
        <v>51497.734375</v>
      </c>
      <c r="J1108" s="3">
        <v>51237.96875</v>
      </c>
      <c r="K1108" s="3">
        <v>82183.359375</v>
      </c>
      <c r="L1108" s="3">
        <v>9.2421198496595003E-4</v>
      </c>
      <c r="M1108" s="3">
        <v>0.45703041553497298</v>
      </c>
      <c r="N1108" s="3">
        <v>0.46762859821319602</v>
      </c>
      <c r="O1108" s="3">
        <v>41684.8515625</v>
      </c>
      <c r="P1108" s="3">
        <v>48633.01953125</v>
      </c>
      <c r="Q1108" s="3">
        <v>1.13294017314911</v>
      </c>
      <c r="R1108" s="3">
        <v>0.53338110446929898</v>
      </c>
      <c r="S1108" s="3">
        <v>0.41520494222641002</v>
      </c>
      <c r="T1108" s="3">
        <v>0.42799267172813399</v>
      </c>
      <c r="U1108" s="3">
        <v>0.43016251921653798</v>
      </c>
      <c r="W1108" t="s">
        <v>51</v>
      </c>
      <c r="X1108" t="s">
        <v>51</v>
      </c>
      <c r="Y1108" t="s">
        <v>52</v>
      </c>
      <c r="Z1108" t="s">
        <v>53</v>
      </c>
      <c r="AA1108" t="s">
        <v>53</v>
      </c>
      <c r="AC1108" s="2">
        <v>0.503140390124446</v>
      </c>
      <c r="AD1108" s="2">
        <v>0.83512049913406405</v>
      </c>
      <c r="AE1108" s="2">
        <v>0.119595251977444</v>
      </c>
      <c r="AF1108" s="2">
        <v>0.107766188681126</v>
      </c>
      <c r="AG1108" s="2">
        <v>0.120776079595089</v>
      </c>
      <c r="AH1108" s="2">
        <v>-0.193362191319466</v>
      </c>
      <c r="AI1108" s="2">
        <v>1.0104207322001501E-2</v>
      </c>
      <c r="AJ1108" s="2">
        <v>0.40876866394151701</v>
      </c>
      <c r="AK1108" s="2">
        <v>0.52881115697956604</v>
      </c>
      <c r="AL1108" s="2">
        <v>0.46508194102630002</v>
      </c>
      <c r="AM1108" s="2">
        <v>0.562411308288574</v>
      </c>
      <c r="AN1108" s="2">
        <v>0.50084376335143999</v>
      </c>
      <c r="AO1108" s="2">
        <v>0.33937844634056102</v>
      </c>
      <c r="AP1108" s="2">
        <v>1.3883810043335001</v>
      </c>
    </row>
    <row r="1109" spans="1:42" x14ac:dyDescent="0.3">
      <c r="A1109" t="s">
        <v>380</v>
      </c>
      <c r="B1109" s="3">
        <v>2018</v>
      </c>
      <c r="C1109" s="3">
        <v>15.034452</v>
      </c>
      <c r="D1109" s="3">
        <v>1897.8</v>
      </c>
      <c r="E1109" t="s">
        <v>153</v>
      </c>
      <c r="G1109" s="3">
        <v>27890.611328125</v>
      </c>
      <c r="H1109" s="3">
        <v>31649.876953125</v>
      </c>
      <c r="I1109" s="3">
        <v>30961.8046875</v>
      </c>
      <c r="J1109" s="3">
        <v>28124.1328125</v>
      </c>
      <c r="K1109" s="3">
        <v>50606.08203125</v>
      </c>
      <c r="L1109" s="3">
        <v>5.5842363508418202E-4</v>
      </c>
      <c r="M1109" s="3">
        <v>0.31159332394599898</v>
      </c>
      <c r="N1109" s="3">
        <v>0.33754131197929399</v>
      </c>
      <c r="O1109" s="3">
        <v>41399.90234375</v>
      </c>
      <c r="P1109" s="3">
        <v>49085.01171875</v>
      </c>
      <c r="Q1109" s="3">
        <v>1.15351450443268</v>
      </c>
      <c r="R1109" s="3">
        <v>0.53338110446929898</v>
      </c>
      <c r="S1109" s="3">
        <v>0.746679067611694</v>
      </c>
      <c r="T1109" s="3">
        <v>0.76369148492813099</v>
      </c>
      <c r="U1109" s="3">
        <v>0.84074652194976796</v>
      </c>
      <c r="W1109" t="s">
        <v>50</v>
      </c>
      <c r="X1109" t="s">
        <v>51</v>
      </c>
      <c r="Y1109" t="s">
        <v>52</v>
      </c>
      <c r="Z1109" t="s">
        <v>53</v>
      </c>
      <c r="AA1109" t="s">
        <v>53</v>
      </c>
      <c r="AC1109" s="2">
        <v>0.503163497555429</v>
      </c>
      <c r="AD1109" s="2">
        <v>0.86896663904190097</v>
      </c>
      <c r="AE1109" s="2">
        <v>0.13366687297821001</v>
      </c>
      <c r="AF1109" s="2">
        <v>0.12273012846708301</v>
      </c>
      <c r="AG1109" s="2">
        <v>0.248986631631851</v>
      </c>
      <c r="AH1109" s="2">
        <v>-0.45417425036430398</v>
      </c>
      <c r="AI1109" s="2">
        <v>7.9824015498161302E-2</v>
      </c>
      <c r="AJ1109" s="2">
        <v>0.75176373142335795</v>
      </c>
      <c r="AK1109" s="2">
        <v>0.88990929690502296</v>
      </c>
      <c r="AL1109" s="2">
        <v>0.71067812036240297</v>
      </c>
      <c r="AM1109" s="2">
        <v>0.57654380798339799</v>
      </c>
      <c r="AN1109" s="2">
        <v>0.504977107048035</v>
      </c>
      <c r="AO1109" s="2">
        <v>0.56761687994003296</v>
      </c>
      <c r="AP1109" s="2">
        <v>2.33619165420532</v>
      </c>
    </row>
    <row r="1110" spans="1:42" x14ac:dyDescent="0.3">
      <c r="A1110" t="s">
        <v>380</v>
      </c>
      <c r="B1110" s="3">
        <v>2019</v>
      </c>
      <c r="C1110" s="3">
        <v>15.271368000000001</v>
      </c>
      <c r="D1110" s="3">
        <v>1903.71</v>
      </c>
      <c r="E1110" t="s">
        <v>153</v>
      </c>
      <c r="G1110" s="3">
        <v>39602.75390625</v>
      </c>
      <c r="H1110" s="3">
        <v>45432.328125</v>
      </c>
      <c r="I1110" s="3">
        <v>46189.53515625</v>
      </c>
      <c r="J1110" s="3">
        <v>44792.2890625</v>
      </c>
      <c r="K1110" s="3">
        <v>83138.546875</v>
      </c>
      <c r="L1110" s="3">
        <v>8.9044246124103698E-4</v>
      </c>
      <c r="M1110" s="3">
        <v>0.383651673793793</v>
      </c>
      <c r="N1110" s="3">
        <v>0.37445479631424</v>
      </c>
      <c r="O1110" s="3">
        <v>37161.71484375</v>
      </c>
      <c r="P1110" s="3">
        <v>44397.05859375</v>
      </c>
      <c r="Q1110" s="3">
        <v>1.05773997306824</v>
      </c>
      <c r="R1110" s="3">
        <v>0.53338110446929898</v>
      </c>
      <c r="S1110" s="3">
        <v>0.482446789741516</v>
      </c>
      <c r="T1110" s="3">
        <v>0.48916968703269997</v>
      </c>
      <c r="U1110" s="3">
        <v>0.50442874431610096</v>
      </c>
      <c r="W1110" t="s">
        <v>50</v>
      </c>
      <c r="X1110" t="s">
        <v>54</v>
      </c>
      <c r="Y1110" t="s">
        <v>52</v>
      </c>
      <c r="Z1110" t="s">
        <v>53</v>
      </c>
      <c r="AA1110" t="s">
        <v>53</v>
      </c>
      <c r="AC1110" s="2">
        <v>0.50430599095293704</v>
      </c>
      <c r="AD1110" s="2">
        <v>0.77712762355804399</v>
      </c>
      <c r="AE1110" s="2">
        <v>0.13014683127403301</v>
      </c>
      <c r="AF1110" s="2">
        <v>0.10701458156108901</v>
      </c>
      <c r="AG1110" s="2">
        <v>0.18906585872173301</v>
      </c>
      <c r="AH1110" s="2">
        <v>-0.24223448336124401</v>
      </c>
      <c r="AI1110" s="2">
        <v>3.8879618048667901E-2</v>
      </c>
      <c r="AJ1110" s="2">
        <v>0.50124420770810196</v>
      </c>
      <c r="AK1110" s="2">
        <v>0.53484133720846605</v>
      </c>
      <c r="AL1110" s="2">
        <v>0.34594202484023001</v>
      </c>
      <c r="AM1110" s="2">
        <v>0.50531804561615001</v>
      </c>
      <c r="AN1110" s="2">
        <v>0.44122970104217502</v>
      </c>
      <c r="AO1110" s="2">
        <v>0.339267998933792</v>
      </c>
      <c r="AP1110" s="2">
        <v>1.3467158079147299</v>
      </c>
    </row>
    <row r="1111" spans="1:42" x14ac:dyDescent="0.3">
      <c r="A1111" t="s">
        <v>380</v>
      </c>
      <c r="B1111" s="3">
        <v>2020</v>
      </c>
      <c r="E1111" t="s">
        <v>153</v>
      </c>
      <c r="G1111" s="3">
        <v>41572.53515625</v>
      </c>
      <c r="H1111" s="3">
        <v>47053.40625</v>
      </c>
      <c r="I1111" s="3">
        <v>45764.43359375</v>
      </c>
      <c r="J1111" s="3">
        <v>45884.21875</v>
      </c>
      <c r="K1111" s="3">
        <v>86924.0703125</v>
      </c>
      <c r="L1111" s="3">
        <v>8.8674022117629701E-4</v>
      </c>
      <c r="M1111" s="3">
        <v>0.386659115552902</v>
      </c>
      <c r="N1111" s="3">
        <v>0.38038149476051297</v>
      </c>
      <c r="O1111" s="3">
        <v>35333.140625</v>
      </c>
      <c r="P1111" s="3">
        <v>42262.01171875</v>
      </c>
      <c r="Q1111" s="3">
        <v>0.97318738698959395</v>
      </c>
      <c r="R1111" s="3">
        <v>0.53338110446929898</v>
      </c>
      <c r="S1111" s="3">
        <v>0.46730071306228599</v>
      </c>
      <c r="T1111" s="3">
        <v>0.473397016525269</v>
      </c>
      <c r="U1111" s="3">
        <v>0.47216117382049599</v>
      </c>
      <c r="W1111" t="s">
        <v>50</v>
      </c>
      <c r="X1111" t="s">
        <v>54</v>
      </c>
      <c r="Y1111" t="s">
        <v>52</v>
      </c>
      <c r="Z1111" t="s">
        <v>53</v>
      </c>
      <c r="AA1111" t="s">
        <v>53</v>
      </c>
      <c r="AC1111" s="2">
        <v>0.50574697651146905</v>
      </c>
      <c r="AD1111" s="2">
        <v>0.76199269294738803</v>
      </c>
      <c r="AE1111" s="2">
        <v>0.119450010359287</v>
      </c>
      <c r="AF1111" s="2">
        <v>0.14403854310512501</v>
      </c>
      <c r="AG1111" s="2">
        <v>0.110438004136086</v>
      </c>
      <c r="AH1111" s="2">
        <v>-0.165573760867119</v>
      </c>
      <c r="AI1111" s="2">
        <v>2.96544767916203E-2</v>
      </c>
      <c r="AJ1111" s="2">
        <v>0.50068522600995102</v>
      </c>
      <c r="AK1111" s="2">
        <v>0.51963737282016298</v>
      </c>
      <c r="AL1111" s="2">
        <v>0.29068998554991399</v>
      </c>
      <c r="AM1111" s="2">
        <v>0.77259105443954501</v>
      </c>
      <c r="AN1111" s="2">
        <v>0.68020248413085904</v>
      </c>
      <c r="AO1111" s="2">
        <v>0.32410544157028198</v>
      </c>
      <c r="AP1111" s="2">
        <v>1.3537687063217201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data_2015-2020</vt:lpstr>
      <vt:lpstr>Sheet2</vt:lpstr>
      <vt:lpstr>Sheet1</vt:lpstr>
      <vt:lpstr>'data_2015-2020'!_FilterDatabase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Molina</dc:creator>
  <cp:lastModifiedBy>Alexander Molina</cp:lastModifiedBy>
  <dcterms:created xsi:type="dcterms:W3CDTF">2025-11-08T19:37:23Z</dcterms:created>
  <dcterms:modified xsi:type="dcterms:W3CDTF">2025-11-10T06:19:19Z</dcterms:modified>
</cp:coreProperties>
</file>